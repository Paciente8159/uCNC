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tables/table1.xml" ContentType="application/vnd.openxmlformats-officedocument.spreadsheetml.table+xml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ustomProperty12.bin" ContentType="application/vnd.openxmlformats-officedocument.spreadsheetml.customProperty"/>
  <Override PartName="/xl/customProperty13.bin" ContentType="application/vnd.openxmlformats-officedocument.spreadsheetml.customProperty"/>
  <Override PartName="/xl/customProperty14.bin" ContentType="application/vnd.openxmlformats-officedocument.spreadsheetml.customProperty"/>
  <Override PartName="/xl/customProperty15.bin" ContentType="application/vnd.openxmlformats-officedocument.spreadsheetml.customProperty"/>
  <Override PartName="/xl/customProperty16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jcmartins\Downloads\GitHub\uCNC\docs\"/>
    </mc:Choice>
  </mc:AlternateContent>
  <xr:revisionPtr revIDLastSave="0" documentId="13_ncr:1_{AA338FFE-4374-451F-AD43-55BE85C8DA91}" xr6:coauthVersionLast="47" xr6:coauthVersionMax="47" xr10:uidLastSave="{00000000-0000-0000-0000-000000000000}"/>
  <bookViews>
    <workbookView xWindow="-120" yWindow="-120" windowWidth="29040" windowHeight="15720" tabRatio="748" firstSheet="2" activeTab="5" xr2:uid="{00000000-000D-0000-FFFF-FFFF00000000}"/>
  </bookViews>
  <sheets>
    <sheet name="Defaults" sheetId="1" r:id="rId1"/>
    <sheet name="IO HAL" sheetId="13" r:id="rId2"/>
    <sheet name="Virtual" sheetId="11" r:id="rId3"/>
    <sheet name="Tools" sheetId="14" r:id="rId4"/>
    <sheet name="AVR" sheetId="2" r:id="rId5"/>
    <sheet name="SAMD21" sheetId="5" r:id="rId6"/>
    <sheet name="STM32F0" sheetId="16" r:id="rId7"/>
    <sheet name="STM32F1" sheetId="3" r:id="rId8"/>
    <sheet name="STM32F4" sheetId="4" r:id="rId9"/>
    <sheet name="STM32H7" sheetId="17" r:id="rId10"/>
    <sheet name="ESP8266" sheetId="6" r:id="rId11"/>
    <sheet name="ESP32" sheetId="8" r:id="rId12"/>
    <sheet name="LPC176x" sheetId="9" r:id="rId13"/>
    <sheet name="RP2040" sheetId="12" r:id="rId14"/>
    <sheet name="Dual-Axis" sheetId="7" r:id="rId15"/>
    <sheet name="ShiftRegister" sheetId="10" r:id="rId16"/>
    <sheet name="TMC" sheetId="15" r:id="rId17"/>
    <sheet name="Encoders" sheetId="18" r:id="rId18"/>
  </sheets>
  <definedNames>
    <definedName name="_xlnm._FilterDatabase" localSheetId="6" hidden="1">STM32F0!$A$201:$E$256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5" l="1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99" i="5"/>
  <c r="F99" i="5"/>
  <c r="F110" i="5"/>
  <c r="F111" i="5"/>
  <c r="F112" i="5"/>
  <c r="F109" i="5"/>
  <c r="F108" i="5"/>
  <c r="F100" i="5"/>
  <c r="F101" i="5"/>
  <c r="F102" i="5"/>
  <c r="F103" i="5"/>
  <c r="F104" i="5"/>
  <c r="F105" i="5"/>
  <c r="F106" i="5"/>
  <c r="F107" i="5"/>
  <c r="F130" i="5"/>
  <c r="F131" i="5"/>
  <c r="F132" i="5"/>
  <c r="F133" i="5"/>
  <c r="F134" i="5"/>
  <c r="F135" i="5"/>
  <c r="F136" i="5"/>
  <c r="F129" i="5"/>
  <c r="C4" i="18"/>
  <c r="C5" i="18"/>
  <c r="C6" i="18"/>
  <c r="C7" i="18"/>
  <c r="C8" i="18"/>
  <c r="C9" i="18"/>
  <c r="C10" i="18"/>
  <c r="J4" i="18"/>
  <c r="J5" i="18"/>
  <c r="J6" i="18"/>
  <c r="J7" i="18"/>
  <c r="J8" i="18"/>
  <c r="J9" i="18"/>
  <c r="J10" i="18"/>
  <c r="J3" i="18"/>
  <c r="C3" i="18"/>
  <c r="I4" i="18"/>
  <c r="I5" i="18"/>
  <c r="I6" i="18"/>
  <c r="I7" i="18"/>
  <c r="I8" i="18"/>
  <c r="I9" i="18"/>
  <c r="I10" i="18"/>
  <c r="I3" i="18"/>
  <c r="F203" i="16"/>
  <c r="F204" i="16"/>
  <c r="F205" i="16"/>
  <c r="F206" i="16"/>
  <c r="F207" i="16"/>
  <c r="F208" i="16"/>
  <c r="F209" i="16"/>
  <c r="F210" i="16"/>
  <c r="F211" i="16"/>
  <c r="F212" i="16"/>
  <c r="F213" i="16"/>
  <c r="F214" i="16"/>
  <c r="F215" i="16"/>
  <c r="F216" i="16"/>
  <c r="F217" i="16"/>
  <c r="F218" i="16"/>
  <c r="F219" i="16"/>
  <c r="F220" i="16"/>
  <c r="F221" i="16"/>
  <c r="F222" i="16"/>
  <c r="F223" i="16"/>
  <c r="F224" i="16"/>
  <c r="F225" i="16"/>
  <c r="F226" i="16"/>
  <c r="F227" i="16"/>
  <c r="F228" i="16"/>
  <c r="F229" i="16"/>
  <c r="F230" i="16"/>
  <c r="F231" i="16"/>
  <c r="F232" i="16"/>
  <c r="F233" i="16"/>
  <c r="F234" i="16"/>
  <c r="F235" i="16"/>
  <c r="F236" i="16"/>
  <c r="F237" i="16"/>
  <c r="F238" i="16"/>
  <c r="F239" i="16"/>
  <c r="F240" i="16"/>
  <c r="F241" i="16"/>
  <c r="F242" i="16"/>
  <c r="F243" i="16"/>
  <c r="F244" i="16"/>
  <c r="F245" i="16"/>
  <c r="F246" i="16"/>
  <c r="F247" i="16"/>
  <c r="F202" i="16"/>
  <c r="F130" i="2"/>
  <c r="F131" i="2"/>
  <c r="F132" i="2"/>
  <c r="F133" i="2"/>
  <c r="F134" i="2"/>
  <c r="F135" i="2"/>
  <c r="F136" i="2"/>
  <c r="F12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99" i="2"/>
  <c r="Q98" i="2"/>
  <c r="Q99" i="2"/>
  <c r="Q100" i="2"/>
  <c r="Q101" i="2"/>
  <c r="Q102" i="2"/>
  <c r="Q103" i="2"/>
  <c r="Q104" i="2"/>
  <c r="Q105" i="2"/>
  <c r="G130" i="2"/>
  <c r="G129" i="2"/>
  <c r="H10" i="18"/>
  <c r="G10" i="18"/>
  <c r="F10" i="18"/>
  <c r="H9" i="18"/>
  <c r="G9" i="18"/>
  <c r="F9" i="18"/>
  <c r="H8" i="18"/>
  <c r="G8" i="18"/>
  <c r="F8" i="18"/>
  <c r="E8" i="18"/>
  <c r="H7" i="18"/>
  <c r="G7" i="18"/>
  <c r="F7" i="18"/>
  <c r="E7" i="18"/>
  <c r="H6" i="18"/>
  <c r="G6" i="18"/>
  <c r="F6" i="18"/>
  <c r="E6" i="18"/>
  <c r="H5" i="18"/>
  <c r="G5" i="18"/>
  <c r="F5" i="18"/>
  <c r="E5" i="18"/>
  <c r="H4" i="18"/>
  <c r="G4" i="18"/>
  <c r="F4" i="18"/>
  <c r="E4" i="18"/>
  <c r="H3" i="18"/>
  <c r="G3" i="18"/>
  <c r="F3" i="18"/>
  <c r="E3" i="18"/>
  <c r="G131" i="2"/>
  <c r="G132" i="2"/>
  <c r="G133" i="2"/>
  <c r="G134" i="2"/>
  <c r="G135" i="2"/>
  <c r="G136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99" i="2"/>
  <c r="I99" i="2"/>
  <c r="O117" i="2"/>
  <c r="O118" i="2"/>
  <c r="O119" i="2"/>
  <c r="O116" i="2"/>
  <c r="O120" i="2"/>
  <c r="O121" i="2"/>
  <c r="O122" i="2"/>
  <c r="O123" i="2"/>
  <c r="M3" i="2"/>
  <c r="H114" i="17"/>
  <c r="H115" i="17"/>
  <c r="H116" i="17"/>
  <c r="H117" i="17"/>
  <c r="H118" i="17"/>
  <c r="H119" i="17"/>
  <c r="H120" i="17"/>
  <c r="H121" i="17"/>
  <c r="H122" i="17"/>
  <c r="H123" i="17"/>
  <c r="H124" i="17"/>
  <c r="H125" i="17"/>
  <c r="H126" i="17"/>
  <c r="H127" i="17"/>
  <c r="H128" i="17"/>
  <c r="H113" i="17"/>
  <c r="E292" i="17"/>
  <c r="E291" i="17"/>
  <c r="E290" i="17"/>
  <c r="E289" i="17"/>
  <c r="E288" i="17"/>
  <c r="E287" i="17"/>
  <c r="E286" i="17"/>
  <c r="E285" i="17"/>
  <c r="E284" i="17"/>
  <c r="E283" i="17"/>
  <c r="E282" i="17"/>
  <c r="E281" i="17"/>
  <c r="E280" i="17"/>
  <c r="E279" i="17"/>
  <c r="E278" i="17"/>
  <c r="E277" i="17"/>
  <c r="E276" i="17"/>
  <c r="E275" i="17"/>
  <c r="E274" i="17"/>
  <c r="E273" i="17"/>
  <c r="E272" i="17"/>
  <c r="E271" i="17"/>
  <c r="E270" i="17"/>
  <c r="E269" i="17"/>
  <c r="E268" i="17"/>
  <c r="E267" i="17"/>
  <c r="E266" i="17"/>
  <c r="E265" i="17"/>
  <c r="E264" i="17"/>
  <c r="E263" i="17"/>
  <c r="E262" i="17"/>
  <c r="E261" i="17"/>
  <c r="E260" i="17"/>
  <c r="E259" i="17"/>
  <c r="E258" i="17"/>
  <c r="E257" i="17"/>
  <c r="E256" i="17"/>
  <c r="E255" i="17"/>
  <c r="E254" i="17"/>
  <c r="E253" i="17"/>
  <c r="E252" i="17"/>
  <c r="E251" i="17"/>
  <c r="E250" i="17"/>
  <c r="E249" i="17"/>
  <c r="E248" i="17"/>
  <c r="E247" i="17"/>
  <c r="E246" i="17"/>
  <c r="E245" i="17"/>
  <c r="E244" i="17"/>
  <c r="E243" i="17"/>
  <c r="E242" i="17"/>
  <c r="E241" i="17"/>
  <c r="E240" i="17"/>
  <c r="E239" i="17"/>
  <c r="E238" i="17"/>
  <c r="E237" i="17"/>
  <c r="E236" i="17"/>
  <c r="E235" i="17"/>
  <c r="E234" i="17"/>
  <c r="E233" i="17"/>
  <c r="E232" i="17"/>
  <c r="E231" i="17"/>
  <c r="E230" i="17"/>
  <c r="E229" i="17"/>
  <c r="E228" i="17"/>
  <c r="E227" i="17"/>
  <c r="E226" i="17"/>
  <c r="E225" i="17"/>
  <c r="E224" i="17"/>
  <c r="E221" i="17"/>
  <c r="H220" i="17"/>
  <c r="E220" i="17"/>
  <c r="I220" i="17" s="1"/>
  <c r="I219" i="17"/>
  <c r="H219" i="17"/>
  <c r="E219" i="17"/>
  <c r="H218" i="17"/>
  <c r="E218" i="17"/>
  <c r="I218" i="17" s="1"/>
  <c r="E217" i="17"/>
  <c r="I216" i="17"/>
  <c r="H216" i="17"/>
  <c r="E216" i="17"/>
  <c r="I215" i="17"/>
  <c r="H215" i="17"/>
  <c r="E215" i="17"/>
  <c r="E214" i="17"/>
  <c r="I214" i="17" s="1"/>
  <c r="E213" i="17"/>
  <c r="I212" i="17"/>
  <c r="E212" i="17"/>
  <c r="H212" i="17" s="1"/>
  <c r="I211" i="17"/>
  <c r="H211" i="17"/>
  <c r="E211" i="17"/>
  <c r="E210" i="17"/>
  <c r="I210" i="17" s="1"/>
  <c r="E209" i="17"/>
  <c r="I208" i="17"/>
  <c r="E208" i="17"/>
  <c r="H208" i="17" s="1"/>
  <c r="I207" i="17"/>
  <c r="H207" i="17"/>
  <c r="E207" i="17"/>
  <c r="E206" i="17"/>
  <c r="I206" i="17" s="1"/>
  <c r="E205" i="17"/>
  <c r="I204" i="17"/>
  <c r="E204" i="17"/>
  <c r="H204" i="17" s="1"/>
  <c r="I203" i="17"/>
  <c r="H203" i="17"/>
  <c r="E203" i="17"/>
  <c r="E202" i="17"/>
  <c r="I202" i="17" s="1"/>
  <c r="E201" i="17"/>
  <c r="I198" i="17"/>
  <c r="H198" i="17"/>
  <c r="I194" i="17"/>
  <c r="E194" i="17"/>
  <c r="I193" i="17"/>
  <c r="E193" i="17"/>
  <c r="I192" i="17"/>
  <c r="E192" i="17"/>
  <c r="I191" i="17"/>
  <c r="E191" i="17"/>
  <c r="I190" i="17"/>
  <c r="B190" i="17"/>
  <c r="E190" i="17" s="1"/>
  <c r="I189" i="17"/>
  <c r="B189" i="17"/>
  <c r="E189" i="17" s="1"/>
  <c r="I188" i="17"/>
  <c r="E188" i="17"/>
  <c r="B188" i="17"/>
  <c r="I187" i="17"/>
  <c r="E187" i="17"/>
  <c r="B187" i="17"/>
  <c r="I186" i="17"/>
  <c r="B186" i="17"/>
  <c r="E186" i="17" s="1"/>
  <c r="I185" i="17"/>
  <c r="B185" i="17"/>
  <c r="E185" i="17" s="1"/>
  <c r="I184" i="17"/>
  <c r="E184" i="17"/>
  <c r="B184" i="17"/>
  <c r="I183" i="17"/>
  <c r="E183" i="17"/>
  <c r="B183" i="17"/>
  <c r="I182" i="17"/>
  <c r="B182" i="17"/>
  <c r="E182" i="17" s="1"/>
  <c r="I181" i="17"/>
  <c r="B181" i="17"/>
  <c r="E181" i="17" s="1"/>
  <c r="I180" i="17"/>
  <c r="E180" i="17"/>
  <c r="B180" i="17"/>
  <c r="I179" i="17"/>
  <c r="E179" i="17"/>
  <c r="B179" i="17"/>
  <c r="B178" i="17"/>
  <c r="E178" i="17" s="1"/>
  <c r="E177" i="17"/>
  <c r="B177" i="17"/>
  <c r="B176" i="17"/>
  <c r="E176" i="17" s="1"/>
  <c r="E175" i="17"/>
  <c r="B175" i="17"/>
  <c r="B174" i="17"/>
  <c r="E174" i="17" s="1"/>
  <c r="E173" i="17"/>
  <c r="B173" i="17"/>
  <c r="B172" i="17"/>
  <c r="E172" i="17" s="1"/>
  <c r="E171" i="17"/>
  <c r="B171" i="17"/>
  <c r="B170" i="17"/>
  <c r="E170" i="17" s="1"/>
  <c r="E169" i="17"/>
  <c r="B169" i="17"/>
  <c r="B168" i="17"/>
  <c r="E168" i="17" s="1"/>
  <c r="E167" i="17"/>
  <c r="B167" i="17"/>
  <c r="B166" i="17"/>
  <c r="E166" i="17" s="1"/>
  <c r="E165" i="17"/>
  <c r="B165" i="17"/>
  <c r="B164" i="17"/>
  <c r="E164" i="17" s="1"/>
  <c r="E163" i="17"/>
  <c r="B163" i="17"/>
  <c r="B162" i="17"/>
  <c r="E162" i="17" s="1"/>
  <c r="E161" i="17"/>
  <c r="B161" i="17"/>
  <c r="I160" i="17"/>
  <c r="B160" i="17"/>
  <c r="E160" i="17" s="1"/>
  <c r="I159" i="17"/>
  <c r="B159" i="17"/>
  <c r="E159" i="17" s="1"/>
  <c r="I158" i="17"/>
  <c r="E158" i="17"/>
  <c r="B158" i="17"/>
  <c r="I157" i="17"/>
  <c r="E157" i="17"/>
  <c r="B157" i="17"/>
  <c r="I156" i="17"/>
  <c r="B156" i="17"/>
  <c r="E156" i="17" s="1"/>
  <c r="I155" i="17"/>
  <c r="B155" i="17"/>
  <c r="E155" i="17" s="1"/>
  <c r="I154" i="17"/>
  <c r="E154" i="17"/>
  <c r="B154" i="17"/>
  <c r="I153" i="17"/>
  <c r="B153" i="17"/>
  <c r="E153" i="17" s="1"/>
  <c r="I152" i="17"/>
  <c r="B152" i="17"/>
  <c r="E152" i="17" s="1"/>
  <c r="I151" i="17"/>
  <c r="B151" i="17"/>
  <c r="E151" i="17" s="1"/>
  <c r="I150" i="17"/>
  <c r="E150" i="17"/>
  <c r="B150" i="17"/>
  <c r="I149" i="17"/>
  <c r="B149" i="17"/>
  <c r="E149" i="17" s="1"/>
  <c r="I148" i="17"/>
  <c r="E148" i="17"/>
  <c r="B148" i="17"/>
  <c r="I147" i="17"/>
  <c r="B147" i="17"/>
  <c r="E147" i="17" s="1"/>
  <c r="I146" i="17"/>
  <c r="E146" i="17"/>
  <c r="B146" i="17"/>
  <c r="I145" i="17"/>
  <c r="E145" i="17"/>
  <c r="B145" i="17"/>
  <c r="I144" i="17"/>
  <c r="B144" i="17"/>
  <c r="E144" i="17" s="1"/>
  <c r="I143" i="17"/>
  <c r="B143" i="17"/>
  <c r="E143" i="17" s="1"/>
  <c r="I142" i="17"/>
  <c r="E142" i="17"/>
  <c r="B142" i="17"/>
  <c r="I141" i="17"/>
  <c r="B141" i="17"/>
  <c r="E141" i="17" s="1"/>
  <c r="I140" i="17"/>
  <c r="B140" i="17"/>
  <c r="E140" i="17" s="1"/>
  <c r="I139" i="17"/>
  <c r="B139" i="17"/>
  <c r="E139" i="17" s="1"/>
  <c r="I138" i="17"/>
  <c r="B138" i="17"/>
  <c r="E138" i="17" s="1"/>
  <c r="I137" i="17"/>
  <c r="B137" i="17"/>
  <c r="E137" i="17" s="1"/>
  <c r="I136" i="17"/>
  <c r="B136" i="17"/>
  <c r="E136" i="17" s="1"/>
  <c r="I135" i="17"/>
  <c r="F135" i="17"/>
  <c r="B135" i="17"/>
  <c r="E135" i="17" s="1"/>
  <c r="I134" i="17"/>
  <c r="B134" i="17"/>
  <c r="E134" i="17" s="1"/>
  <c r="I133" i="17"/>
  <c r="B133" i="17"/>
  <c r="E133" i="17" s="1"/>
  <c r="I132" i="17"/>
  <c r="B132" i="17"/>
  <c r="E132" i="17" s="1"/>
  <c r="I131" i="17"/>
  <c r="F131" i="17"/>
  <c r="B131" i="17"/>
  <c r="E131" i="17" s="1"/>
  <c r="I130" i="17"/>
  <c r="B130" i="17"/>
  <c r="E130" i="17" s="1"/>
  <c r="I129" i="17"/>
  <c r="B129" i="17"/>
  <c r="E129" i="17" s="1"/>
  <c r="I128" i="17"/>
  <c r="B128" i="17"/>
  <c r="E128" i="17" s="1"/>
  <c r="I127" i="17"/>
  <c r="B127" i="17"/>
  <c r="E127" i="17" s="1"/>
  <c r="I126" i="17"/>
  <c r="B126" i="17"/>
  <c r="E126" i="17" s="1"/>
  <c r="I125" i="17"/>
  <c r="B125" i="17"/>
  <c r="E125" i="17" s="1"/>
  <c r="I124" i="17"/>
  <c r="B124" i="17"/>
  <c r="E124" i="17" s="1"/>
  <c r="I123" i="17"/>
  <c r="B123" i="17"/>
  <c r="E123" i="17" s="1"/>
  <c r="I122" i="17"/>
  <c r="B122" i="17"/>
  <c r="E122" i="17" s="1"/>
  <c r="I121" i="17"/>
  <c r="B121" i="17"/>
  <c r="E121" i="17" s="1"/>
  <c r="I120" i="17"/>
  <c r="B120" i="17"/>
  <c r="E120" i="17" s="1"/>
  <c r="I119" i="17"/>
  <c r="B119" i="17"/>
  <c r="E119" i="17" s="1"/>
  <c r="I118" i="17"/>
  <c r="B118" i="17"/>
  <c r="E118" i="17" s="1"/>
  <c r="I117" i="17"/>
  <c r="B117" i="17"/>
  <c r="E117" i="17" s="1"/>
  <c r="I116" i="17"/>
  <c r="B116" i="17"/>
  <c r="E116" i="17" s="1"/>
  <c r="I115" i="17"/>
  <c r="B115" i="17"/>
  <c r="E115" i="17" s="1"/>
  <c r="I114" i="17"/>
  <c r="B114" i="17"/>
  <c r="E114" i="17" s="1"/>
  <c r="I113" i="17"/>
  <c r="B113" i="17"/>
  <c r="E113" i="17" s="1"/>
  <c r="I112" i="17"/>
  <c r="B112" i="17"/>
  <c r="E112" i="17" s="1"/>
  <c r="I111" i="17"/>
  <c r="F111" i="17"/>
  <c r="B111" i="17"/>
  <c r="E111" i="17" s="1"/>
  <c r="I110" i="17"/>
  <c r="B110" i="17"/>
  <c r="E110" i="17" s="1"/>
  <c r="I109" i="17"/>
  <c r="B109" i="17"/>
  <c r="E109" i="17" s="1"/>
  <c r="I108" i="17"/>
  <c r="B108" i="17"/>
  <c r="E108" i="17" s="1"/>
  <c r="I107" i="17"/>
  <c r="F107" i="17"/>
  <c r="B107" i="17"/>
  <c r="E107" i="17" s="1"/>
  <c r="I106" i="17"/>
  <c r="B106" i="17"/>
  <c r="E106" i="17" s="1"/>
  <c r="I105" i="17"/>
  <c r="B105" i="17"/>
  <c r="E105" i="17" s="1"/>
  <c r="I104" i="17"/>
  <c r="B104" i="17"/>
  <c r="E104" i="17" s="1"/>
  <c r="I103" i="17"/>
  <c r="F103" i="17"/>
  <c r="B103" i="17"/>
  <c r="E103" i="17" s="1"/>
  <c r="I102" i="17"/>
  <c r="B102" i="17"/>
  <c r="E102" i="17" s="1"/>
  <c r="I101" i="17"/>
  <c r="B101" i="17"/>
  <c r="E101" i="17" s="1"/>
  <c r="I100" i="17"/>
  <c r="B100" i="17"/>
  <c r="E100" i="17" s="1"/>
  <c r="I99" i="17"/>
  <c r="F99" i="17"/>
  <c r="B99" i="17"/>
  <c r="E99" i="17" s="1"/>
  <c r="B98" i="17"/>
  <c r="E98" i="17" s="1"/>
  <c r="B97" i="17"/>
  <c r="E97" i="17" s="1"/>
  <c r="B96" i="17"/>
  <c r="E96" i="17" s="1"/>
  <c r="B95" i="17"/>
  <c r="E95" i="17" s="1"/>
  <c r="E94" i="17"/>
  <c r="B94" i="17"/>
  <c r="B93" i="17"/>
  <c r="E93" i="17" s="1"/>
  <c r="B92" i="17"/>
  <c r="E92" i="17" s="1"/>
  <c r="B91" i="17"/>
  <c r="E91" i="17" s="1"/>
  <c r="B90" i="17"/>
  <c r="E90" i="17" s="1"/>
  <c r="B89" i="17"/>
  <c r="E89" i="17" s="1"/>
  <c r="B88" i="17"/>
  <c r="E88" i="17" s="1"/>
  <c r="B87" i="17"/>
  <c r="E87" i="17" s="1"/>
  <c r="E86" i="17"/>
  <c r="B86" i="17"/>
  <c r="B85" i="17"/>
  <c r="E85" i="17" s="1"/>
  <c r="B84" i="17"/>
  <c r="E84" i="17" s="1"/>
  <c r="B83" i="17"/>
  <c r="E83" i="17" s="1"/>
  <c r="B82" i="17"/>
  <c r="E82" i="17" s="1"/>
  <c r="B81" i="17"/>
  <c r="E81" i="17" s="1"/>
  <c r="I80" i="17"/>
  <c r="E80" i="17"/>
  <c r="B80" i="17"/>
  <c r="I79" i="17"/>
  <c r="B79" i="17"/>
  <c r="E79" i="17" s="1"/>
  <c r="I78" i="17"/>
  <c r="E78" i="17"/>
  <c r="B78" i="17"/>
  <c r="I77" i="17"/>
  <c r="B77" i="17"/>
  <c r="E77" i="17" s="1"/>
  <c r="I76" i="17"/>
  <c r="E76" i="17"/>
  <c r="B76" i="17"/>
  <c r="I75" i="17"/>
  <c r="E75" i="17"/>
  <c r="B75" i="17"/>
  <c r="I74" i="17"/>
  <c r="B74" i="17"/>
  <c r="E74" i="17" s="1"/>
  <c r="I73" i="17"/>
  <c r="B73" i="17"/>
  <c r="E73" i="17" s="1"/>
  <c r="I72" i="17"/>
  <c r="E72" i="17"/>
  <c r="B72" i="17"/>
  <c r="I71" i="17"/>
  <c r="B71" i="17"/>
  <c r="E71" i="17" s="1"/>
  <c r="I70" i="17"/>
  <c r="B70" i="17"/>
  <c r="E70" i="17" s="1"/>
  <c r="I69" i="17"/>
  <c r="B69" i="17"/>
  <c r="E69" i="17" s="1"/>
  <c r="I68" i="17"/>
  <c r="E68" i="17"/>
  <c r="B68" i="17"/>
  <c r="I67" i="17"/>
  <c r="B67" i="17"/>
  <c r="E67" i="17" s="1"/>
  <c r="I66" i="17"/>
  <c r="B66" i="17"/>
  <c r="E66" i="17" s="1"/>
  <c r="I65" i="17"/>
  <c r="B65" i="17"/>
  <c r="E65" i="17" s="1"/>
  <c r="I64" i="17"/>
  <c r="E64" i="17"/>
  <c r="B64" i="17"/>
  <c r="I63" i="17"/>
  <c r="B63" i="17"/>
  <c r="E63" i="17" s="1"/>
  <c r="I62" i="17"/>
  <c r="E62" i="17"/>
  <c r="B62" i="17"/>
  <c r="I61" i="17"/>
  <c r="B61" i="17"/>
  <c r="E61" i="17" s="1"/>
  <c r="I60" i="17"/>
  <c r="E60" i="17"/>
  <c r="B60" i="17"/>
  <c r="I59" i="17"/>
  <c r="E59" i="17"/>
  <c r="B59" i="17"/>
  <c r="I58" i="17"/>
  <c r="B58" i="17"/>
  <c r="E58" i="17" s="1"/>
  <c r="I57" i="17"/>
  <c r="B57" i="17"/>
  <c r="E57" i="17" s="1"/>
  <c r="I56" i="17"/>
  <c r="E56" i="17"/>
  <c r="B56" i="17"/>
  <c r="I55" i="17"/>
  <c r="B55" i="17"/>
  <c r="E55" i="17" s="1"/>
  <c r="I54" i="17"/>
  <c r="B54" i="17"/>
  <c r="E54" i="17" s="1"/>
  <c r="I53" i="17"/>
  <c r="B53" i="17"/>
  <c r="E53" i="17" s="1"/>
  <c r="I52" i="17"/>
  <c r="B52" i="17"/>
  <c r="E52" i="17" s="1"/>
  <c r="I51" i="17"/>
  <c r="B51" i="17"/>
  <c r="E51" i="17" s="1"/>
  <c r="I50" i="17"/>
  <c r="B50" i="17"/>
  <c r="E50" i="17" s="1"/>
  <c r="I49" i="17"/>
  <c r="E49" i="17"/>
  <c r="B49" i="17"/>
  <c r="I48" i="17"/>
  <c r="G48" i="17"/>
  <c r="F48" i="17"/>
  <c r="B48" i="17"/>
  <c r="E48" i="17" s="1"/>
  <c r="I47" i="17"/>
  <c r="G47" i="17"/>
  <c r="F47" i="17"/>
  <c r="B47" i="17"/>
  <c r="E47" i="17" s="1"/>
  <c r="I46" i="17"/>
  <c r="G46" i="17"/>
  <c r="F46" i="17"/>
  <c r="B46" i="17"/>
  <c r="E46" i="17" s="1"/>
  <c r="I45" i="17"/>
  <c r="G45" i="17"/>
  <c r="F45" i="17"/>
  <c r="E45" i="17"/>
  <c r="B45" i="17"/>
  <c r="I44" i="17"/>
  <c r="G44" i="17"/>
  <c r="F44" i="17"/>
  <c r="B44" i="17"/>
  <c r="E44" i="17" s="1"/>
  <c r="I43" i="17"/>
  <c r="G43" i="17"/>
  <c r="F43" i="17"/>
  <c r="B43" i="17"/>
  <c r="E43" i="17" s="1"/>
  <c r="I42" i="17"/>
  <c r="B42" i="17"/>
  <c r="H42" i="17" s="1"/>
  <c r="I41" i="17"/>
  <c r="B41" i="17"/>
  <c r="H41" i="17" s="1"/>
  <c r="I40" i="17"/>
  <c r="B40" i="17"/>
  <c r="H40" i="17" s="1"/>
  <c r="I39" i="17"/>
  <c r="B39" i="17"/>
  <c r="H39" i="17" s="1"/>
  <c r="I38" i="17"/>
  <c r="B38" i="17"/>
  <c r="H38" i="17" s="1"/>
  <c r="I37" i="17"/>
  <c r="B37" i="17"/>
  <c r="H37" i="17" s="1"/>
  <c r="I36" i="17"/>
  <c r="B36" i="17"/>
  <c r="H36" i="17" s="1"/>
  <c r="I35" i="17"/>
  <c r="B35" i="17"/>
  <c r="H35" i="17" s="1"/>
  <c r="I34" i="17"/>
  <c r="B34" i="17"/>
  <c r="H34" i="17" s="1"/>
  <c r="I33" i="17"/>
  <c r="B33" i="17"/>
  <c r="H33" i="17" s="1"/>
  <c r="I32" i="17"/>
  <c r="B32" i="17"/>
  <c r="H32" i="17" s="1"/>
  <c r="I31" i="17"/>
  <c r="B31" i="17"/>
  <c r="H31" i="17" s="1"/>
  <c r="I30" i="17"/>
  <c r="B30" i="17"/>
  <c r="H30" i="17" s="1"/>
  <c r="I29" i="17"/>
  <c r="B29" i="17"/>
  <c r="H29" i="17" s="1"/>
  <c r="I28" i="17"/>
  <c r="B28" i="17"/>
  <c r="H28" i="17" s="1"/>
  <c r="I27" i="17"/>
  <c r="B27" i="17"/>
  <c r="H27" i="17" s="1"/>
  <c r="I26" i="17"/>
  <c r="B26" i="17"/>
  <c r="E26" i="17" s="1"/>
  <c r="I25" i="17"/>
  <c r="E25" i="17"/>
  <c r="B25" i="17"/>
  <c r="I24" i="17"/>
  <c r="B24" i="17"/>
  <c r="E24" i="17" s="1"/>
  <c r="I23" i="17"/>
  <c r="B23" i="17"/>
  <c r="E23" i="17" s="1"/>
  <c r="I22" i="17"/>
  <c r="B22" i="17"/>
  <c r="E22" i="17" s="1"/>
  <c r="I21" i="17"/>
  <c r="E21" i="17"/>
  <c r="B21" i="17"/>
  <c r="I20" i="17"/>
  <c r="B20" i="17"/>
  <c r="E20" i="17" s="1"/>
  <c r="I19" i="17"/>
  <c r="B19" i="17"/>
  <c r="E19" i="17" s="1"/>
  <c r="I18" i="17"/>
  <c r="B18" i="17"/>
  <c r="E18" i="17" s="1"/>
  <c r="I17" i="17"/>
  <c r="E17" i="17"/>
  <c r="B17" i="17"/>
  <c r="I16" i="17"/>
  <c r="B16" i="17"/>
  <c r="E16" i="17" s="1"/>
  <c r="I15" i="17"/>
  <c r="B15" i="17"/>
  <c r="E15" i="17" s="1"/>
  <c r="I14" i="17"/>
  <c r="B14" i="17"/>
  <c r="E14" i="17" s="1"/>
  <c r="I13" i="17"/>
  <c r="E13" i="17"/>
  <c r="B13" i="17"/>
  <c r="I12" i="17"/>
  <c r="B12" i="17"/>
  <c r="E12" i="17" s="1"/>
  <c r="I11" i="17"/>
  <c r="B11" i="17"/>
  <c r="E11" i="17" s="1"/>
  <c r="I10" i="17"/>
  <c r="B10" i="17"/>
  <c r="E10" i="17" s="1"/>
  <c r="I9" i="17"/>
  <c r="E9" i="17"/>
  <c r="B9" i="17"/>
  <c r="I8" i="17"/>
  <c r="B8" i="17"/>
  <c r="E8" i="17" s="1"/>
  <c r="I7" i="17"/>
  <c r="B7" i="17"/>
  <c r="E7" i="17" s="1"/>
  <c r="I6" i="17"/>
  <c r="B6" i="17"/>
  <c r="E6" i="17" s="1"/>
  <c r="I5" i="17"/>
  <c r="E5" i="17"/>
  <c r="B5" i="17"/>
  <c r="I4" i="17"/>
  <c r="B4" i="17"/>
  <c r="E4" i="17" s="1"/>
  <c r="I3" i="17"/>
  <c r="B3" i="17"/>
  <c r="E3" i="17" s="1"/>
  <c r="F106" i="17" l="1"/>
  <c r="F130" i="17"/>
  <c r="F134" i="17"/>
  <c r="F138" i="17"/>
  <c r="I205" i="17"/>
  <c r="H205" i="17"/>
  <c r="E27" i="17"/>
  <c r="E28" i="17"/>
  <c r="E29" i="17"/>
  <c r="E30" i="17"/>
  <c r="E31" i="17"/>
  <c r="E32" i="17"/>
  <c r="E33" i="17"/>
  <c r="E34" i="17"/>
  <c r="E35" i="17"/>
  <c r="E36" i="17"/>
  <c r="E37" i="17"/>
  <c r="E38" i="17"/>
  <c r="E39" i="17"/>
  <c r="E40" i="17"/>
  <c r="E41" i="17"/>
  <c r="E42" i="17"/>
  <c r="F101" i="17"/>
  <c r="F105" i="17"/>
  <c r="F109" i="17"/>
  <c r="F129" i="17"/>
  <c r="F133" i="17"/>
  <c r="F137" i="17"/>
  <c r="I217" i="17"/>
  <c r="H217" i="17"/>
  <c r="I221" i="17"/>
  <c r="H221" i="17"/>
  <c r="F102" i="17"/>
  <c r="F110" i="17"/>
  <c r="I201" i="17"/>
  <c r="H201" i="17"/>
  <c r="I209" i="17"/>
  <c r="H209" i="17"/>
  <c r="I213" i="17"/>
  <c r="H213" i="17"/>
  <c r="F100" i="17"/>
  <c r="F104" i="17"/>
  <c r="F108" i="17"/>
  <c r="F112" i="17"/>
  <c r="F132" i="17"/>
  <c r="F136" i="17"/>
  <c r="H202" i="17"/>
  <c r="H206" i="17"/>
  <c r="H210" i="17"/>
  <c r="H214" i="17"/>
  <c r="I194" i="2" l="1"/>
  <c r="I193" i="2"/>
  <c r="I192" i="2"/>
  <c r="I191" i="2"/>
  <c r="E194" i="2"/>
  <c r="E193" i="2"/>
  <c r="E192" i="2"/>
  <c r="E191" i="2"/>
  <c r="F28" i="10"/>
  <c r="F29" i="10"/>
  <c r="F30" i="10"/>
  <c r="F31" i="10"/>
  <c r="F32" i="10"/>
  <c r="F33" i="10"/>
  <c r="F34" i="10"/>
  <c r="F35" i="10"/>
  <c r="F36" i="10"/>
  <c r="F37" i="10"/>
  <c r="F38" i="10"/>
  <c r="F39" i="10"/>
  <c r="F40" i="10"/>
  <c r="F41" i="10"/>
  <c r="F42" i="10"/>
  <c r="F27" i="10"/>
  <c r="F180" i="10"/>
  <c r="F179" i="10"/>
  <c r="B179" i="10"/>
  <c r="F130" i="10"/>
  <c r="F131" i="10"/>
  <c r="F132" i="10"/>
  <c r="F133" i="10"/>
  <c r="F134" i="10"/>
  <c r="F135" i="10"/>
  <c r="F136" i="10"/>
  <c r="F137" i="10"/>
  <c r="F138" i="10"/>
  <c r="F139" i="10"/>
  <c r="F140" i="10"/>
  <c r="F141" i="10"/>
  <c r="F142" i="10"/>
  <c r="F143" i="10"/>
  <c r="F144" i="10"/>
  <c r="F145" i="10"/>
  <c r="F146" i="10"/>
  <c r="F147" i="10"/>
  <c r="F148" i="10"/>
  <c r="F149" i="10"/>
  <c r="F150" i="10"/>
  <c r="F151" i="10"/>
  <c r="F152" i="10"/>
  <c r="F153" i="10"/>
  <c r="F154" i="10"/>
  <c r="F155" i="10"/>
  <c r="F156" i="10"/>
  <c r="F157" i="10"/>
  <c r="F158" i="10"/>
  <c r="F159" i="10"/>
  <c r="F160" i="10"/>
  <c r="F161" i="10"/>
  <c r="F162" i="10"/>
  <c r="F163" i="10"/>
  <c r="F164" i="10"/>
  <c r="F165" i="10"/>
  <c r="F166" i="10"/>
  <c r="F167" i="10"/>
  <c r="F168" i="10"/>
  <c r="F169" i="10"/>
  <c r="F170" i="10"/>
  <c r="F171" i="10"/>
  <c r="F172" i="10"/>
  <c r="F173" i="10"/>
  <c r="F174" i="10"/>
  <c r="F175" i="10"/>
  <c r="F176" i="10"/>
  <c r="F177" i="10"/>
  <c r="F178" i="10"/>
  <c r="F129" i="10"/>
  <c r="F114" i="10"/>
  <c r="F115" i="10"/>
  <c r="F116" i="10"/>
  <c r="F117" i="10"/>
  <c r="F118" i="10"/>
  <c r="F119" i="10"/>
  <c r="F120" i="10"/>
  <c r="F121" i="10"/>
  <c r="F122" i="10"/>
  <c r="F123" i="10"/>
  <c r="F124" i="10"/>
  <c r="F125" i="10"/>
  <c r="F126" i="10"/>
  <c r="F127" i="10"/>
  <c r="F128" i="10"/>
  <c r="F113" i="10"/>
  <c r="F100" i="10"/>
  <c r="F101" i="10"/>
  <c r="F102" i="10"/>
  <c r="F103" i="10"/>
  <c r="F104" i="10"/>
  <c r="F105" i="10"/>
  <c r="F106" i="10"/>
  <c r="F107" i="10"/>
  <c r="F108" i="10"/>
  <c r="F109" i="10"/>
  <c r="F110" i="10"/>
  <c r="F111" i="10"/>
  <c r="F112" i="10"/>
  <c r="F99" i="10"/>
  <c r="F50" i="10"/>
  <c r="F51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F66" i="10"/>
  <c r="F67" i="10"/>
  <c r="F68" i="10"/>
  <c r="F69" i="10"/>
  <c r="F70" i="10"/>
  <c r="F71" i="10"/>
  <c r="F72" i="10"/>
  <c r="F73" i="10"/>
  <c r="F74" i="10"/>
  <c r="F75" i="10"/>
  <c r="F76" i="10"/>
  <c r="F77" i="10"/>
  <c r="F78" i="10"/>
  <c r="F79" i="10"/>
  <c r="F80" i="10"/>
  <c r="F81" i="10"/>
  <c r="F82" i="10"/>
  <c r="F83" i="10"/>
  <c r="F84" i="10"/>
  <c r="F85" i="10"/>
  <c r="F86" i="10"/>
  <c r="F87" i="10"/>
  <c r="F88" i="10"/>
  <c r="F89" i="10"/>
  <c r="F90" i="10"/>
  <c r="F91" i="10"/>
  <c r="F92" i="10"/>
  <c r="F93" i="10"/>
  <c r="F94" i="10"/>
  <c r="F95" i="10"/>
  <c r="F96" i="10"/>
  <c r="F97" i="10"/>
  <c r="F98" i="10"/>
  <c r="F49" i="10"/>
  <c r="F44" i="10"/>
  <c r="F45" i="10"/>
  <c r="F46" i="10"/>
  <c r="F47" i="10"/>
  <c r="F48" i="10"/>
  <c r="F43" i="10"/>
  <c r="F4" i="10"/>
  <c r="F5" i="10"/>
  <c r="F6" i="10"/>
  <c r="F7" i="10"/>
  <c r="F8" i="10"/>
  <c r="F9" i="10"/>
  <c r="F10" i="10"/>
  <c r="F11" i="10"/>
  <c r="F12" i="10"/>
  <c r="F13" i="10"/>
  <c r="F14" i="10"/>
  <c r="F15" i="10"/>
  <c r="F16" i="10"/>
  <c r="F17" i="10"/>
  <c r="F18" i="10"/>
  <c r="F19" i="10"/>
  <c r="F20" i="10"/>
  <c r="F21" i="10"/>
  <c r="F22" i="10"/>
  <c r="F23" i="10"/>
  <c r="F24" i="10"/>
  <c r="F25" i="10"/>
  <c r="F26" i="10"/>
  <c r="F3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2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99" i="10"/>
  <c r="B178" i="10"/>
  <c r="B177" i="10"/>
  <c r="B176" i="10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F3" i="15"/>
  <c r="F4" i="15"/>
  <c r="F5" i="15"/>
  <c r="F6" i="15"/>
  <c r="F7" i="15"/>
  <c r="F8" i="15"/>
  <c r="F9" i="15"/>
  <c r="F2" i="15"/>
  <c r="E3" i="15"/>
  <c r="E4" i="15"/>
  <c r="E5" i="15"/>
  <c r="E6" i="15"/>
  <c r="E7" i="15"/>
  <c r="E8" i="15"/>
  <c r="E9" i="15"/>
  <c r="E2" i="15"/>
  <c r="D194" i="13"/>
  <c r="D186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2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99" i="13"/>
  <c r="D4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3" i="13"/>
  <c r="B98" i="10"/>
  <c r="E98" i="10" s="1"/>
  <c r="B97" i="10"/>
  <c r="E97" i="10" s="1"/>
  <c r="B96" i="10"/>
  <c r="E96" i="10" s="1"/>
  <c r="B95" i="10"/>
  <c r="E95" i="10" s="1"/>
  <c r="B94" i="10"/>
  <c r="E94" i="10" s="1"/>
  <c r="B93" i="10"/>
  <c r="E93" i="10" s="1"/>
  <c r="B92" i="10"/>
  <c r="E92" i="10" s="1"/>
  <c r="B91" i="10"/>
  <c r="E91" i="10" s="1"/>
  <c r="B90" i="10"/>
  <c r="E90" i="10" s="1"/>
  <c r="B89" i="10"/>
  <c r="E89" i="10" s="1"/>
  <c r="B88" i="10"/>
  <c r="E88" i="10" s="1"/>
  <c r="B87" i="10"/>
  <c r="E87" i="10" s="1"/>
  <c r="B86" i="10"/>
  <c r="E86" i="10" s="1"/>
  <c r="B85" i="10"/>
  <c r="E85" i="10" s="1"/>
  <c r="B84" i="10"/>
  <c r="E84" i="10" s="1"/>
  <c r="B83" i="10"/>
  <c r="E83" i="10" s="1"/>
  <c r="B82" i="10"/>
  <c r="E82" i="10" s="1"/>
  <c r="B81" i="10"/>
  <c r="E81" i="10" s="1"/>
  <c r="B161" i="9"/>
  <c r="E161" i="9" s="1"/>
  <c r="B162" i="9"/>
  <c r="E162" i="9" s="1"/>
  <c r="B163" i="9"/>
  <c r="E163" i="9"/>
  <c r="B164" i="9"/>
  <c r="E164" i="9"/>
  <c r="B165" i="9"/>
  <c r="E165" i="9" s="1"/>
  <c r="B166" i="9"/>
  <c r="E166" i="9" s="1"/>
  <c r="B167" i="9"/>
  <c r="E167" i="9"/>
  <c r="B168" i="9"/>
  <c r="E168" i="9"/>
  <c r="B169" i="9"/>
  <c r="E169" i="9" s="1"/>
  <c r="B170" i="9"/>
  <c r="E170" i="9" s="1"/>
  <c r="B171" i="9"/>
  <c r="E171" i="9"/>
  <c r="B172" i="9"/>
  <c r="E172" i="9"/>
  <c r="B173" i="9"/>
  <c r="E173" i="9" s="1"/>
  <c r="B174" i="9"/>
  <c r="E174" i="9" s="1"/>
  <c r="B175" i="9"/>
  <c r="E175" i="9"/>
  <c r="B176" i="9"/>
  <c r="E176" i="9"/>
  <c r="B177" i="9"/>
  <c r="E177" i="9" s="1"/>
  <c r="B178" i="9"/>
  <c r="E178" i="9" s="1"/>
  <c r="B81" i="9"/>
  <c r="E81" i="9" s="1"/>
  <c r="B82" i="9"/>
  <c r="E82" i="9" s="1"/>
  <c r="B83" i="9"/>
  <c r="E83" i="9" s="1"/>
  <c r="B84" i="9"/>
  <c r="E84" i="9"/>
  <c r="B85" i="9"/>
  <c r="E85" i="9" s="1"/>
  <c r="B86" i="9"/>
  <c r="E86" i="9" s="1"/>
  <c r="B87" i="9"/>
  <c r="E87" i="9"/>
  <c r="B88" i="9"/>
  <c r="E88" i="9"/>
  <c r="B89" i="9"/>
  <c r="E89" i="9" s="1"/>
  <c r="B90" i="9"/>
  <c r="E90" i="9" s="1"/>
  <c r="B91" i="9"/>
  <c r="E91" i="9"/>
  <c r="B92" i="9"/>
  <c r="E92" i="9"/>
  <c r="B93" i="9"/>
  <c r="E93" i="9" s="1"/>
  <c r="B94" i="9"/>
  <c r="E94" i="9" s="1"/>
  <c r="B95" i="9"/>
  <c r="E95" i="9"/>
  <c r="B96" i="9"/>
  <c r="E96" i="9"/>
  <c r="B97" i="9"/>
  <c r="E97" i="9" s="1"/>
  <c r="B98" i="9"/>
  <c r="E98" i="9" s="1"/>
  <c r="B161" i="8"/>
  <c r="E161" i="8" s="1"/>
  <c r="B162" i="8"/>
  <c r="E162" i="8" s="1"/>
  <c r="B163" i="8"/>
  <c r="E163" i="8"/>
  <c r="B164" i="8"/>
  <c r="E164" i="8" s="1"/>
  <c r="B165" i="8"/>
  <c r="E165" i="8" s="1"/>
  <c r="B166" i="8"/>
  <c r="E166" i="8" s="1"/>
  <c r="B167" i="8"/>
  <c r="E167" i="8"/>
  <c r="B168" i="8"/>
  <c r="E168" i="8" s="1"/>
  <c r="B169" i="8"/>
  <c r="E169" i="8" s="1"/>
  <c r="B170" i="8"/>
  <c r="E170" i="8" s="1"/>
  <c r="B171" i="8"/>
  <c r="E171" i="8"/>
  <c r="B172" i="8"/>
  <c r="E172" i="8" s="1"/>
  <c r="B173" i="8"/>
  <c r="E173" i="8" s="1"/>
  <c r="B174" i="8"/>
  <c r="E174" i="8" s="1"/>
  <c r="B175" i="8"/>
  <c r="E175" i="8"/>
  <c r="B176" i="8"/>
  <c r="E176" i="8" s="1"/>
  <c r="B177" i="8"/>
  <c r="E177" i="8" s="1"/>
  <c r="B178" i="8"/>
  <c r="E178" i="8" s="1"/>
  <c r="B81" i="8"/>
  <c r="E81" i="8" s="1"/>
  <c r="B82" i="8"/>
  <c r="E82" i="8" s="1"/>
  <c r="B83" i="8"/>
  <c r="E83" i="8" s="1"/>
  <c r="B84" i="8"/>
  <c r="E84" i="8" s="1"/>
  <c r="B85" i="8"/>
  <c r="E85" i="8" s="1"/>
  <c r="B86" i="8"/>
  <c r="E86" i="8" s="1"/>
  <c r="B87" i="8"/>
  <c r="E87" i="8" s="1"/>
  <c r="B88" i="8"/>
  <c r="E88" i="8"/>
  <c r="B89" i="8"/>
  <c r="E89" i="8" s="1"/>
  <c r="B90" i="8"/>
  <c r="E90" i="8"/>
  <c r="B91" i="8"/>
  <c r="E91" i="8" s="1"/>
  <c r="B92" i="8"/>
  <c r="E92" i="8" s="1"/>
  <c r="B93" i="8"/>
  <c r="E93" i="8" s="1"/>
  <c r="B94" i="8"/>
  <c r="E94" i="8"/>
  <c r="B95" i="8"/>
  <c r="E95" i="8" s="1"/>
  <c r="B96" i="8"/>
  <c r="E96" i="8" s="1"/>
  <c r="B97" i="8"/>
  <c r="E97" i="8" s="1"/>
  <c r="B98" i="8"/>
  <c r="E98" i="8" s="1"/>
  <c r="B81" i="6"/>
  <c r="E81" i="6" s="1"/>
  <c r="B82" i="6"/>
  <c r="E82" i="6" s="1"/>
  <c r="B83" i="6"/>
  <c r="E83" i="6" s="1"/>
  <c r="B84" i="6"/>
  <c r="E84" i="6"/>
  <c r="B85" i="6"/>
  <c r="E85" i="6" s="1"/>
  <c r="B86" i="6"/>
  <c r="E86" i="6" s="1"/>
  <c r="B87" i="6"/>
  <c r="E87" i="6" s="1"/>
  <c r="B88" i="6"/>
  <c r="E88" i="6"/>
  <c r="B89" i="6"/>
  <c r="E89" i="6" s="1"/>
  <c r="B90" i="6"/>
  <c r="E90" i="6" s="1"/>
  <c r="B91" i="6"/>
  <c r="E91" i="6" s="1"/>
  <c r="B92" i="6"/>
  <c r="E92" i="6"/>
  <c r="B93" i="6"/>
  <c r="E93" i="6" s="1"/>
  <c r="B94" i="6"/>
  <c r="E94" i="6" s="1"/>
  <c r="B95" i="6"/>
  <c r="E95" i="6" s="1"/>
  <c r="B96" i="6"/>
  <c r="E96" i="6"/>
  <c r="B97" i="6"/>
  <c r="E97" i="6" s="1"/>
  <c r="B98" i="6"/>
  <c r="E98" i="6" s="1"/>
  <c r="B161" i="6"/>
  <c r="E161" i="6" s="1"/>
  <c r="B162" i="6"/>
  <c r="E162" i="6" s="1"/>
  <c r="B163" i="6"/>
  <c r="E163" i="6" s="1"/>
  <c r="B164" i="6"/>
  <c r="E164" i="6" s="1"/>
  <c r="B165" i="6"/>
  <c r="E165" i="6" s="1"/>
  <c r="B166" i="6"/>
  <c r="E166" i="6" s="1"/>
  <c r="B167" i="6"/>
  <c r="E167" i="6" s="1"/>
  <c r="B168" i="6"/>
  <c r="E168" i="6" s="1"/>
  <c r="B169" i="6"/>
  <c r="E169" i="6" s="1"/>
  <c r="B170" i="6"/>
  <c r="E170" i="6" s="1"/>
  <c r="B171" i="6"/>
  <c r="E171" i="6" s="1"/>
  <c r="B172" i="6"/>
  <c r="E172" i="6" s="1"/>
  <c r="B173" i="6"/>
  <c r="E173" i="6" s="1"/>
  <c r="B174" i="6"/>
  <c r="E174" i="6" s="1"/>
  <c r="B175" i="6"/>
  <c r="E175" i="6" s="1"/>
  <c r="B176" i="6"/>
  <c r="E176" i="6" s="1"/>
  <c r="B177" i="6"/>
  <c r="E177" i="6" s="1"/>
  <c r="B178" i="6"/>
  <c r="E178" i="6" s="1"/>
  <c r="B161" i="4"/>
  <c r="E161" i="4" s="1"/>
  <c r="B162" i="4"/>
  <c r="E162" i="4" s="1"/>
  <c r="B163" i="4"/>
  <c r="E163" i="4" s="1"/>
  <c r="B164" i="4"/>
  <c r="E164" i="4"/>
  <c r="B165" i="4"/>
  <c r="E165" i="4" s="1"/>
  <c r="B166" i="4"/>
  <c r="E166" i="4" s="1"/>
  <c r="B167" i="4"/>
  <c r="E167" i="4" s="1"/>
  <c r="B168" i="4"/>
  <c r="E168" i="4" s="1"/>
  <c r="B169" i="4"/>
  <c r="E169" i="4" s="1"/>
  <c r="B170" i="4"/>
  <c r="E170" i="4" s="1"/>
  <c r="B171" i="4"/>
  <c r="E171" i="4" s="1"/>
  <c r="B172" i="4"/>
  <c r="E172" i="4"/>
  <c r="B173" i="4"/>
  <c r="E173" i="4" s="1"/>
  <c r="B174" i="4"/>
  <c r="E174" i="4" s="1"/>
  <c r="B175" i="4"/>
  <c r="E175" i="4" s="1"/>
  <c r="B176" i="4"/>
  <c r="E176" i="4" s="1"/>
  <c r="B177" i="4"/>
  <c r="E177" i="4" s="1"/>
  <c r="B178" i="4"/>
  <c r="E178" i="4" s="1"/>
  <c r="B81" i="4"/>
  <c r="E81" i="4" s="1"/>
  <c r="B82" i="4"/>
  <c r="E82" i="4" s="1"/>
  <c r="B83" i="4"/>
  <c r="E83" i="4" s="1"/>
  <c r="B84" i="4"/>
  <c r="E84" i="4" s="1"/>
  <c r="B85" i="4"/>
  <c r="E85" i="4" s="1"/>
  <c r="B86" i="4"/>
  <c r="E86" i="4" s="1"/>
  <c r="B87" i="4"/>
  <c r="E87" i="4" s="1"/>
  <c r="B88" i="4"/>
  <c r="E88" i="4" s="1"/>
  <c r="B89" i="4"/>
  <c r="E89" i="4" s="1"/>
  <c r="B90" i="4"/>
  <c r="E90" i="4" s="1"/>
  <c r="B91" i="4"/>
  <c r="E91" i="4" s="1"/>
  <c r="B92" i="4"/>
  <c r="E92" i="4" s="1"/>
  <c r="B93" i="4"/>
  <c r="E93" i="4" s="1"/>
  <c r="B94" i="4"/>
  <c r="E94" i="4" s="1"/>
  <c r="B95" i="4"/>
  <c r="E95" i="4" s="1"/>
  <c r="B96" i="4"/>
  <c r="E96" i="4" s="1"/>
  <c r="B97" i="4"/>
  <c r="E97" i="4" s="1"/>
  <c r="B98" i="4"/>
  <c r="E98" i="4" s="1"/>
  <c r="B81" i="3"/>
  <c r="E81" i="3"/>
  <c r="B82" i="3"/>
  <c r="E82" i="3" s="1"/>
  <c r="B83" i="3"/>
  <c r="E83" i="3"/>
  <c r="B84" i="3"/>
  <c r="E84" i="3"/>
  <c r="B85" i="3"/>
  <c r="E85" i="3"/>
  <c r="B86" i="3"/>
  <c r="E86" i="3" s="1"/>
  <c r="B87" i="3"/>
  <c r="E87" i="3"/>
  <c r="B88" i="3"/>
  <c r="E88" i="3"/>
  <c r="B89" i="3"/>
  <c r="E89" i="3"/>
  <c r="B90" i="3"/>
  <c r="E90" i="3" s="1"/>
  <c r="B91" i="3"/>
  <c r="E91" i="3"/>
  <c r="B92" i="3"/>
  <c r="E92" i="3"/>
  <c r="B93" i="3"/>
  <c r="E93" i="3"/>
  <c r="B94" i="3"/>
  <c r="E94" i="3" s="1"/>
  <c r="B95" i="3"/>
  <c r="E95" i="3"/>
  <c r="B96" i="3"/>
  <c r="E96" i="3"/>
  <c r="B97" i="3"/>
  <c r="E97" i="3"/>
  <c r="B98" i="3"/>
  <c r="E98" i="3" s="1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61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81" i="16"/>
  <c r="E81" i="16" s="1"/>
  <c r="B82" i="16"/>
  <c r="E82" i="16" s="1"/>
  <c r="B83" i="16"/>
  <c r="E83" i="16"/>
  <c r="B84" i="16"/>
  <c r="E84" i="16"/>
  <c r="B85" i="16"/>
  <c r="E85" i="16" s="1"/>
  <c r="B86" i="16"/>
  <c r="E86" i="16" s="1"/>
  <c r="B87" i="16"/>
  <c r="E87" i="16" s="1"/>
  <c r="B88" i="16"/>
  <c r="E88" i="16"/>
  <c r="B89" i="16"/>
  <c r="E89" i="16" s="1"/>
  <c r="B90" i="16"/>
  <c r="E90" i="16" s="1"/>
  <c r="B91" i="16"/>
  <c r="E91" i="16"/>
  <c r="B92" i="16"/>
  <c r="E92" i="16" s="1"/>
  <c r="B93" i="16"/>
  <c r="E93" i="16" s="1"/>
  <c r="B94" i="16"/>
  <c r="E94" i="16" s="1"/>
  <c r="B95" i="16"/>
  <c r="E95" i="16"/>
  <c r="B96" i="16"/>
  <c r="E96" i="16"/>
  <c r="B97" i="16"/>
  <c r="E97" i="16" s="1"/>
  <c r="B98" i="16"/>
  <c r="E98" i="16" s="1"/>
  <c r="B178" i="16"/>
  <c r="E178" i="16" s="1"/>
  <c r="B161" i="16"/>
  <c r="E161" i="16" s="1"/>
  <c r="B162" i="16"/>
  <c r="E162" i="16" s="1"/>
  <c r="B163" i="16"/>
  <c r="E163" i="16" s="1"/>
  <c r="B164" i="16"/>
  <c r="E164" i="16"/>
  <c r="B165" i="16"/>
  <c r="E165" i="16" s="1"/>
  <c r="B166" i="16"/>
  <c r="E166" i="16" s="1"/>
  <c r="B167" i="16"/>
  <c r="E167" i="16" s="1"/>
  <c r="B168" i="16"/>
  <c r="E168" i="16" s="1"/>
  <c r="B169" i="16"/>
  <c r="E169" i="16" s="1"/>
  <c r="B170" i="16"/>
  <c r="E170" i="16" s="1"/>
  <c r="B171" i="16"/>
  <c r="E171" i="16"/>
  <c r="B172" i="16"/>
  <c r="E172" i="16" s="1"/>
  <c r="B173" i="16"/>
  <c r="E173" i="16" s="1"/>
  <c r="B174" i="16"/>
  <c r="E174" i="16" s="1"/>
  <c r="B175" i="16"/>
  <c r="E175" i="16" s="1"/>
  <c r="B176" i="16"/>
  <c r="E176" i="16" s="1"/>
  <c r="B177" i="16"/>
  <c r="E177" i="16" s="1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37" i="2"/>
  <c r="B161" i="2"/>
  <c r="E161" i="2" s="1"/>
  <c r="B162" i="2"/>
  <c r="E162" i="2" s="1"/>
  <c r="B163" i="2"/>
  <c r="E163" i="2"/>
  <c r="B164" i="2"/>
  <c r="E164" i="2"/>
  <c r="B165" i="2"/>
  <c r="E165" i="2" s="1"/>
  <c r="B166" i="2"/>
  <c r="E166" i="2" s="1"/>
  <c r="B167" i="2"/>
  <c r="E167" i="2" s="1"/>
  <c r="B168" i="2"/>
  <c r="E168" i="2" s="1"/>
  <c r="B169" i="2"/>
  <c r="E169" i="2" s="1"/>
  <c r="B170" i="2"/>
  <c r="E170" i="2"/>
  <c r="B171" i="2"/>
  <c r="E171" i="2" s="1"/>
  <c r="B172" i="2"/>
  <c r="E172" i="2"/>
  <c r="B173" i="2"/>
  <c r="E173" i="2" s="1"/>
  <c r="B174" i="2"/>
  <c r="E174" i="2" s="1"/>
  <c r="B175" i="2"/>
  <c r="E175" i="2" s="1"/>
  <c r="B176" i="2"/>
  <c r="E176" i="2" s="1"/>
  <c r="B177" i="2"/>
  <c r="E177" i="2" s="1"/>
  <c r="B178" i="2"/>
  <c r="E178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81" i="2"/>
  <c r="B98" i="2"/>
  <c r="E98" i="2" s="1"/>
  <c r="B81" i="2"/>
  <c r="E81" i="2" s="1"/>
  <c r="B82" i="2"/>
  <c r="E82" i="2" s="1"/>
  <c r="B83" i="2"/>
  <c r="E83" i="2" s="1"/>
  <c r="B84" i="2"/>
  <c r="E84" i="2" s="1"/>
  <c r="B85" i="2"/>
  <c r="E85" i="2" s="1"/>
  <c r="B86" i="2"/>
  <c r="E86" i="2" s="1"/>
  <c r="B87" i="2"/>
  <c r="E87" i="2"/>
  <c r="B88" i="2"/>
  <c r="E88" i="2" s="1"/>
  <c r="B89" i="2"/>
  <c r="E89" i="2"/>
  <c r="B90" i="2"/>
  <c r="E90" i="2"/>
  <c r="B91" i="2"/>
  <c r="E91" i="2"/>
  <c r="B92" i="2"/>
  <c r="E92" i="2" s="1"/>
  <c r="B93" i="2"/>
  <c r="E93" i="2"/>
  <c r="B94" i="2"/>
  <c r="E94" i="2"/>
  <c r="B95" i="2"/>
  <c r="E95" i="2"/>
  <c r="B96" i="2"/>
  <c r="E96" i="2" s="1"/>
  <c r="B97" i="2"/>
  <c r="E97" i="2"/>
  <c r="B161" i="13"/>
  <c r="B162" i="13"/>
  <c r="B163" i="13"/>
  <c r="B164" i="13"/>
  <c r="B165" i="13"/>
  <c r="B166" i="13"/>
  <c r="B167" i="13"/>
  <c r="B168" i="13"/>
  <c r="B169" i="13"/>
  <c r="B170" i="13"/>
  <c r="B171" i="13"/>
  <c r="B172" i="13"/>
  <c r="B173" i="13"/>
  <c r="B174" i="13"/>
  <c r="B175" i="13"/>
  <c r="B176" i="13"/>
  <c r="B177" i="13"/>
  <c r="B178" i="13"/>
  <c r="B98" i="13"/>
  <c r="B95" i="13"/>
  <c r="B96" i="13"/>
  <c r="B97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49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59" i="1"/>
  <c r="D161" i="1"/>
  <c r="E161" i="1"/>
  <c r="F161" i="1"/>
  <c r="D162" i="1"/>
  <c r="E162" i="1"/>
  <c r="F162" i="1"/>
  <c r="D163" i="1"/>
  <c r="E163" i="1"/>
  <c r="F163" i="1"/>
  <c r="D164" i="1"/>
  <c r="E164" i="1"/>
  <c r="F164" i="1"/>
  <c r="D165" i="1"/>
  <c r="E165" i="1"/>
  <c r="F165" i="1"/>
  <c r="D166" i="1"/>
  <c r="E166" i="1"/>
  <c r="F166" i="1"/>
  <c r="D167" i="1"/>
  <c r="E167" i="1"/>
  <c r="F167" i="1"/>
  <c r="D168" i="1"/>
  <c r="E168" i="1"/>
  <c r="F168" i="1"/>
  <c r="D169" i="1"/>
  <c r="E169" i="1"/>
  <c r="F169" i="1"/>
  <c r="D170" i="1"/>
  <c r="E170" i="1"/>
  <c r="F170" i="1"/>
  <c r="D171" i="1"/>
  <c r="E171" i="1"/>
  <c r="F171" i="1"/>
  <c r="D172" i="1"/>
  <c r="E172" i="1"/>
  <c r="F172" i="1"/>
  <c r="D173" i="1"/>
  <c r="E173" i="1"/>
  <c r="F173" i="1"/>
  <c r="D174" i="1"/>
  <c r="E174" i="1"/>
  <c r="F174" i="1"/>
  <c r="D175" i="1"/>
  <c r="E175" i="1"/>
  <c r="F175" i="1"/>
  <c r="D176" i="1"/>
  <c r="E176" i="1"/>
  <c r="F176" i="1"/>
  <c r="D177" i="1"/>
  <c r="E177" i="1"/>
  <c r="F177" i="1"/>
  <c r="D178" i="1"/>
  <c r="E178" i="1"/>
  <c r="F178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D93" i="1"/>
  <c r="B97" i="1"/>
  <c r="F97" i="1" s="1"/>
  <c r="B98" i="1"/>
  <c r="D98" i="1" s="1"/>
  <c r="B81" i="1"/>
  <c r="D81" i="1" s="1"/>
  <c r="B82" i="1"/>
  <c r="D82" i="1" s="1"/>
  <c r="B83" i="1"/>
  <c r="F83" i="1" s="1"/>
  <c r="B84" i="1"/>
  <c r="F84" i="1" s="1"/>
  <c r="B85" i="1"/>
  <c r="G85" i="1" s="1"/>
  <c r="B86" i="1"/>
  <c r="F86" i="1" s="1"/>
  <c r="B87" i="1"/>
  <c r="F87" i="1" s="1"/>
  <c r="B88" i="1"/>
  <c r="D88" i="1" s="1"/>
  <c r="B89" i="1"/>
  <c r="F89" i="1" s="1"/>
  <c r="B90" i="1"/>
  <c r="F90" i="1" s="1"/>
  <c r="B91" i="1"/>
  <c r="F91" i="1" s="1"/>
  <c r="B92" i="1"/>
  <c r="D92" i="1" s="1"/>
  <c r="B93" i="1"/>
  <c r="G93" i="1" s="1"/>
  <c r="B94" i="1"/>
  <c r="F94" i="1" s="1"/>
  <c r="B95" i="1"/>
  <c r="F95" i="1" s="1"/>
  <c r="B96" i="1"/>
  <c r="G96" i="1" s="1"/>
  <c r="G194" i="1"/>
  <c r="F194" i="1"/>
  <c r="E194" i="1"/>
  <c r="D194" i="1"/>
  <c r="F193" i="1"/>
  <c r="D193" i="1"/>
  <c r="F192" i="1"/>
  <c r="D192" i="1"/>
  <c r="F191" i="1"/>
  <c r="D191" i="1"/>
  <c r="E186" i="1"/>
  <c r="I158" i="12"/>
  <c r="E158" i="12"/>
  <c r="I157" i="12"/>
  <c r="E157" i="12"/>
  <c r="I156" i="12"/>
  <c r="E156" i="12"/>
  <c r="I155" i="12"/>
  <c r="E155" i="12"/>
  <c r="E194" i="9"/>
  <c r="E193" i="9"/>
  <c r="E192" i="9"/>
  <c r="E191" i="9"/>
  <c r="I195" i="8"/>
  <c r="E195" i="8"/>
  <c r="I194" i="8"/>
  <c r="E194" i="8"/>
  <c r="I193" i="8"/>
  <c r="E193" i="8"/>
  <c r="I192" i="8"/>
  <c r="E192" i="8"/>
  <c r="I194" i="6"/>
  <c r="E194" i="6"/>
  <c r="I193" i="6"/>
  <c r="E193" i="6"/>
  <c r="I192" i="6"/>
  <c r="E192" i="6"/>
  <c r="I191" i="6"/>
  <c r="E191" i="6"/>
  <c r="I194" i="4"/>
  <c r="E194" i="4"/>
  <c r="I193" i="4"/>
  <c r="E193" i="4"/>
  <c r="I192" i="4"/>
  <c r="E192" i="4"/>
  <c r="I191" i="4"/>
  <c r="E191" i="4"/>
  <c r="I194" i="3"/>
  <c r="E194" i="3"/>
  <c r="I193" i="3"/>
  <c r="E193" i="3"/>
  <c r="I192" i="3"/>
  <c r="E192" i="3"/>
  <c r="I191" i="3"/>
  <c r="E191" i="3"/>
  <c r="I194" i="16"/>
  <c r="E194" i="16"/>
  <c r="I193" i="16"/>
  <c r="E193" i="16"/>
  <c r="I192" i="16"/>
  <c r="E192" i="16"/>
  <c r="I191" i="16"/>
  <c r="E191" i="16"/>
  <c r="I194" i="5"/>
  <c r="I193" i="5"/>
  <c r="I192" i="5"/>
  <c r="I191" i="5"/>
  <c r="E158" i="11"/>
  <c r="E157" i="11"/>
  <c r="E156" i="11"/>
  <c r="E155" i="11"/>
  <c r="E250" i="16"/>
  <c r="E251" i="16"/>
  <c r="E252" i="16"/>
  <c r="E253" i="16"/>
  <c r="E254" i="16"/>
  <c r="E255" i="16"/>
  <c r="E256" i="16"/>
  <c r="E249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02" i="16"/>
  <c r="B197" i="16"/>
  <c r="B198" i="16"/>
  <c r="B196" i="16"/>
  <c r="I190" i="16"/>
  <c r="B190" i="16"/>
  <c r="E190" i="16" s="1"/>
  <c r="I189" i="16"/>
  <c r="B189" i="16"/>
  <c r="E189" i="16" s="1"/>
  <c r="I188" i="16"/>
  <c r="B188" i="16"/>
  <c r="E188" i="16" s="1"/>
  <c r="I187" i="16"/>
  <c r="B187" i="16"/>
  <c r="E187" i="16" s="1"/>
  <c r="I186" i="16"/>
  <c r="B186" i="16"/>
  <c r="E186" i="16" s="1"/>
  <c r="I185" i="16"/>
  <c r="B185" i="16"/>
  <c r="E185" i="16" s="1"/>
  <c r="I184" i="16"/>
  <c r="B184" i="16"/>
  <c r="E184" i="16" s="1"/>
  <c r="I183" i="16"/>
  <c r="B183" i="16"/>
  <c r="E183" i="16" s="1"/>
  <c r="I182" i="16"/>
  <c r="B182" i="16"/>
  <c r="E182" i="16" s="1"/>
  <c r="I181" i="16"/>
  <c r="B181" i="16"/>
  <c r="E181" i="16" s="1"/>
  <c r="I180" i="16"/>
  <c r="B180" i="16"/>
  <c r="E180" i="16" s="1"/>
  <c r="I179" i="16"/>
  <c r="B179" i="16"/>
  <c r="E179" i="16" s="1"/>
  <c r="I160" i="16"/>
  <c r="B160" i="16"/>
  <c r="E160" i="16" s="1"/>
  <c r="I159" i="16"/>
  <c r="B159" i="16"/>
  <c r="E159" i="16" s="1"/>
  <c r="I158" i="16"/>
  <c r="B158" i="16"/>
  <c r="E158" i="16" s="1"/>
  <c r="I157" i="16"/>
  <c r="B157" i="16"/>
  <c r="E157" i="16" s="1"/>
  <c r="I156" i="16"/>
  <c r="B156" i="16"/>
  <c r="E156" i="16" s="1"/>
  <c r="I155" i="16"/>
  <c r="B155" i="16"/>
  <c r="E155" i="16" s="1"/>
  <c r="I154" i="16"/>
  <c r="B154" i="16"/>
  <c r="E154" i="16" s="1"/>
  <c r="I153" i="16"/>
  <c r="B153" i="16"/>
  <c r="E153" i="16" s="1"/>
  <c r="I152" i="16"/>
  <c r="B152" i="16"/>
  <c r="E152" i="16" s="1"/>
  <c r="I151" i="16"/>
  <c r="B151" i="16"/>
  <c r="E151" i="16" s="1"/>
  <c r="I150" i="16"/>
  <c r="B150" i="16"/>
  <c r="E150" i="16" s="1"/>
  <c r="I149" i="16"/>
  <c r="B149" i="16"/>
  <c r="E149" i="16" s="1"/>
  <c r="I148" i="16"/>
  <c r="B148" i="16"/>
  <c r="E148" i="16" s="1"/>
  <c r="I147" i="16"/>
  <c r="B147" i="16"/>
  <c r="E147" i="16" s="1"/>
  <c r="I146" i="16"/>
  <c r="B146" i="16"/>
  <c r="E146" i="16" s="1"/>
  <c r="I145" i="16"/>
  <c r="B145" i="16"/>
  <c r="E145" i="16" s="1"/>
  <c r="I144" i="16"/>
  <c r="B144" i="16"/>
  <c r="E144" i="16" s="1"/>
  <c r="I143" i="16"/>
  <c r="B143" i="16"/>
  <c r="E143" i="16" s="1"/>
  <c r="I142" i="16"/>
  <c r="B142" i="16"/>
  <c r="E142" i="16" s="1"/>
  <c r="I141" i="16"/>
  <c r="B141" i="16"/>
  <c r="E141" i="16" s="1"/>
  <c r="I140" i="16"/>
  <c r="B140" i="16"/>
  <c r="E140" i="16" s="1"/>
  <c r="I139" i="16"/>
  <c r="B139" i="16"/>
  <c r="E139" i="16" s="1"/>
  <c r="I138" i="16"/>
  <c r="B138" i="16"/>
  <c r="E138" i="16" s="1"/>
  <c r="I137" i="16"/>
  <c r="B137" i="16"/>
  <c r="E137" i="16" s="1"/>
  <c r="I136" i="16"/>
  <c r="B136" i="16"/>
  <c r="E136" i="16" s="1"/>
  <c r="I135" i="16"/>
  <c r="B135" i="16"/>
  <c r="E135" i="16" s="1"/>
  <c r="I134" i="16"/>
  <c r="B134" i="16"/>
  <c r="E134" i="16" s="1"/>
  <c r="I133" i="16"/>
  <c r="B133" i="16"/>
  <c r="E133" i="16" s="1"/>
  <c r="I132" i="16"/>
  <c r="B132" i="16"/>
  <c r="E132" i="16" s="1"/>
  <c r="I131" i="16"/>
  <c r="B131" i="16"/>
  <c r="E131" i="16" s="1"/>
  <c r="I130" i="16"/>
  <c r="B130" i="16"/>
  <c r="F130" i="16" s="1"/>
  <c r="I129" i="16"/>
  <c r="B129" i="16"/>
  <c r="E129" i="16" s="1"/>
  <c r="I128" i="16"/>
  <c r="B128" i="16"/>
  <c r="H128" i="16" s="1"/>
  <c r="I127" i="16"/>
  <c r="B127" i="16"/>
  <c r="E127" i="16" s="1"/>
  <c r="I126" i="16"/>
  <c r="B126" i="16"/>
  <c r="H126" i="16" s="1"/>
  <c r="I125" i="16"/>
  <c r="B125" i="16"/>
  <c r="E125" i="16" s="1"/>
  <c r="I124" i="16"/>
  <c r="B124" i="16"/>
  <c r="H124" i="16" s="1"/>
  <c r="I123" i="16"/>
  <c r="B123" i="16"/>
  <c r="H123" i="16" s="1"/>
  <c r="I122" i="16"/>
  <c r="B122" i="16"/>
  <c r="H122" i="16" s="1"/>
  <c r="I121" i="16"/>
  <c r="B121" i="16"/>
  <c r="E121" i="16" s="1"/>
  <c r="I120" i="16"/>
  <c r="B120" i="16"/>
  <c r="H120" i="16" s="1"/>
  <c r="I119" i="16"/>
  <c r="B119" i="16"/>
  <c r="E119" i="16" s="1"/>
  <c r="I118" i="16"/>
  <c r="B118" i="16"/>
  <c r="H118" i="16" s="1"/>
  <c r="I117" i="16"/>
  <c r="B117" i="16"/>
  <c r="E117" i="16" s="1"/>
  <c r="I116" i="16"/>
  <c r="B116" i="16"/>
  <c r="H116" i="16" s="1"/>
  <c r="I115" i="16"/>
  <c r="B115" i="16"/>
  <c r="E115" i="16" s="1"/>
  <c r="I114" i="16"/>
  <c r="B114" i="16"/>
  <c r="H114" i="16" s="1"/>
  <c r="I113" i="16"/>
  <c r="B113" i="16"/>
  <c r="E113" i="16" s="1"/>
  <c r="I112" i="16"/>
  <c r="B112" i="16"/>
  <c r="E112" i="16" s="1"/>
  <c r="I111" i="16"/>
  <c r="B111" i="16"/>
  <c r="E111" i="16" s="1"/>
  <c r="I110" i="16"/>
  <c r="B110" i="16"/>
  <c r="F110" i="16" s="1"/>
  <c r="I109" i="16"/>
  <c r="B109" i="16"/>
  <c r="F109" i="16" s="1"/>
  <c r="I108" i="16"/>
  <c r="B108" i="16"/>
  <c r="E108" i="16" s="1"/>
  <c r="I107" i="16"/>
  <c r="B107" i="16"/>
  <c r="F107" i="16" s="1"/>
  <c r="I106" i="16"/>
  <c r="B106" i="16"/>
  <c r="F106" i="16" s="1"/>
  <c r="I105" i="16"/>
  <c r="B105" i="16"/>
  <c r="F105" i="16" s="1"/>
  <c r="I104" i="16"/>
  <c r="B104" i="16"/>
  <c r="E104" i="16" s="1"/>
  <c r="I103" i="16"/>
  <c r="B103" i="16"/>
  <c r="E103" i="16" s="1"/>
  <c r="I102" i="16"/>
  <c r="B102" i="16"/>
  <c r="F102" i="16" s="1"/>
  <c r="I101" i="16"/>
  <c r="B101" i="16"/>
  <c r="F101" i="16" s="1"/>
  <c r="I100" i="16"/>
  <c r="B100" i="16"/>
  <c r="E100" i="16" s="1"/>
  <c r="I99" i="16"/>
  <c r="B99" i="16"/>
  <c r="F99" i="16" s="1"/>
  <c r="I80" i="16"/>
  <c r="B80" i="16"/>
  <c r="E80" i="16" s="1"/>
  <c r="I79" i="16"/>
  <c r="B79" i="16"/>
  <c r="E79" i="16" s="1"/>
  <c r="I78" i="16"/>
  <c r="B78" i="16"/>
  <c r="E78" i="16" s="1"/>
  <c r="I77" i="16"/>
  <c r="B77" i="16"/>
  <c r="E77" i="16" s="1"/>
  <c r="I76" i="16"/>
  <c r="B76" i="16"/>
  <c r="E76" i="16" s="1"/>
  <c r="I75" i="16"/>
  <c r="B75" i="16"/>
  <c r="E75" i="16" s="1"/>
  <c r="I74" i="16"/>
  <c r="B74" i="16"/>
  <c r="E74" i="16" s="1"/>
  <c r="I73" i="16"/>
  <c r="B73" i="16"/>
  <c r="E73" i="16" s="1"/>
  <c r="I72" i="16"/>
  <c r="B72" i="16"/>
  <c r="E72" i="16" s="1"/>
  <c r="I71" i="16"/>
  <c r="B71" i="16"/>
  <c r="E71" i="16" s="1"/>
  <c r="I70" i="16"/>
  <c r="B70" i="16"/>
  <c r="E70" i="16" s="1"/>
  <c r="I69" i="16"/>
  <c r="B69" i="16"/>
  <c r="E69" i="16" s="1"/>
  <c r="I68" i="16"/>
  <c r="B68" i="16"/>
  <c r="E68" i="16" s="1"/>
  <c r="I67" i="16"/>
  <c r="B67" i="16"/>
  <c r="E67" i="16" s="1"/>
  <c r="I66" i="16"/>
  <c r="B66" i="16"/>
  <c r="E66" i="16" s="1"/>
  <c r="I65" i="16"/>
  <c r="B65" i="16"/>
  <c r="E65" i="16" s="1"/>
  <c r="I64" i="16"/>
  <c r="B64" i="16"/>
  <c r="E64" i="16" s="1"/>
  <c r="I63" i="16"/>
  <c r="B63" i="16"/>
  <c r="E63" i="16" s="1"/>
  <c r="I62" i="16"/>
  <c r="B62" i="16"/>
  <c r="E62" i="16" s="1"/>
  <c r="I61" i="16"/>
  <c r="B61" i="16"/>
  <c r="E61" i="16" s="1"/>
  <c r="I60" i="16"/>
  <c r="B60" i="16"/>
  <c r="E60" i="16" s="1"/>
  <c r="I59" i="16"/>
  <c r="B59" i="16"/>
  <c r="E59" i="16" s="1"/>
  <c r="I58" i="16"/>
  <c r="B58" i="16"/>
  <c r="E58" i="16" s="1"/>
  <c r="I57" i="16"/>
  <c r="B57" i="16"/>
  <c r="E57" i="16" s="1"/>
  <c r="I56" i="16"/>
  <c r="B56" i="16"/>
  <c r="E56" i="16" s="1"/>
  <c r="I55" i="16"/>
  <c r="B55" i="16"/>
  <c r="E55" i="16" s="1"/>
  <c r="I54" i="16"/>
  <c r="B54" i="16"/>
  <c r="E54" i="16" s="1"/>
  <c r="I53" i="16"/>
  <c r="B53" i="16"/>
  <c r="E53" i="16" s="1"/>
  <c r="I52" i="16"/>
  <c r="B52" i="16"/>
  <c r="E52" i="16" s="1"/>
  <c r="I51" i="16"/>
  <c r="B51" i="16"/>
  <c r="E51" i="16" s="1"/>
  <c r="I50" i="16"/>
  <c r="B50" i="16"/>
  <c r="E50" i="16" s="1"/>
  <c r="I49" i="16"/>
  <c r="B49" i="16"/>
  <c r="E49" i="16" s="1"/>
  <c r="I48" i="16"/>
  <c r="G48" i="16"/>
  <c r="F48" i="16"/>
  <c r="B48" i="16"/>
  <c r="E48" i="16" s="1"/>
  <c r="I47" i="16"/>
  <c r="G47" i="16"/>
  <c r="F47" i="16"/>
  <c r="B47" i="16"/>
  <c r="E47" i="16" s="1"/>
  <c r="I46" i="16"/>
  <c r="G46" i="16"/>
  <c r="F46" i="16"/>
  <c r="B46" i="16"/>
  <c r="E46" i="16" s="1"/>
  <c r="I45" i="16"/>
  <c r="G45" i="16"/>
  <c r="F45" i="16"/>
  <c r="B45" i="16"/>
  <c r="E45" i="16" s="1"/>
  <c r="I44" i="16"/>
  <c r="G44" i="16"/>
  <c r="F44" i="16"/>
  <c r="B44" i="16"/>
  <c r="E44" i="16" s="1"/>
  <c r="I43" i="16"/>
  <c r="G43" i="16"/>
  <c r="F43" i="16"/>
  <c r="B43" i="16"/>
  <c r="E43" i="16" s="1"/>
  <c r="I42" i="16"/>
  <c r="B42" i="16"/>
  <c r="E42" i="16" s="1"/>
  <c r="I41" i="16"/>
  <c r="B41" i="16"/>
  <c r="E41" i="16" s="1"/>
  <c r="I40" i="16"/>
  <c r="B40" i="16"/>
  <c r="E40" i="16" s="1"/>
  <c r="I39" i="16"/>
  <c r="B39" i="16"/>
  <c r="E39" i="16" s="1"/>
  <c r="I38" i="16"/>
  <c r="B38" i="16"/>
  <c r="H38" i="16" s="1"/>
  <c r="I37" i="16"/>
  <c r="B37" i="16"/>
  <c r="E37" i="16" s="1"/>
  <c r="I36" i="16"/>
  <c r="B36" i="16"/>
  <c r="E36" i="16" s="1"/>
  <c r="I35" i="16"/>
  <c r="B35" i="16"/>
  <c r="E35" i="16" s="1"/>
  <c r="I34" i="16"/>
  <c r="B34" i="16"/>
  <c r="E34" i="16" s="1"/>
  <c r="I33" i="16"/>
  <c r="B33" i="16"/>
  <c r="E33" i="16" s="1"/>
  <c r="I32" i="16"/>
  <c r="B32" i="16"/>
  <c r="H32" i="16" s="1"/>
  <c r="I31" i="16"/>
  <c r="B31" i="16"/>
  <c r="E31" i="16" s="1"/>
  <c r="I30" i="16"/>
  <c r="B30" i="16"/>
  <c r="E30" i="16" s="1"/>
  <c r="I29" i="16"/>
  <c r="B29" i="16"/>
  <c r="E29" i="16" s="1"/>
  <c r="I28" i="16"/>
  <c r="B28" i="16"/>
  <c r="E28" i="16" s="1"/>
  <c r="I27" i="16"/>
  <c r="B27" i="16"/>
  <c r="E27" i="16" s="1"/>
  <c r="I26" i="16"/>
  <c r="B26" i="16"/>
  <c r="E26" i="16" s="1"/>
  <c r="I25" i="16"/>
  <c r="B25" i="16"/>
  <c r="E25" i="16" s="1"/>
  <c r="I24" i="16"/>
  <c r="B24" i="16"/>
  <c r="E24" i="16" s="1"/>
  <c r="I23" i="16"/>
  <c r="B23" i="16"/>
  <c r="E23" i="16" s="1"/>
  <c r="I22" i="16"/>
  <c r="B22" i="16"/>
  <c r="E22" i="16" s="1"/>
  <c r="I21" i="16"/>
  <c r="B21" i="16"/>
  <c r="E21" i="16" s="1"/>
  <c r="I20" i="16"/>
  <c r="B20" i="16"/>
  <c r="E20" i="16" s="1"/>
  <c r="I19" i="16"/>
  <c r="B19" i="16"/>
  <c r="E19" i="16" s="1"/>
  <c r="I18" i="16"/>
  <c r="B18" i="16"/>
  <c r="E18" i="16" s="1"/>
  <c r="I17" i="16"/>
  <c r="B17" i="16"/>
  <c r="E17" i="16" s="1"/>
  <c r="I16" i="16"/>
  <c r="B16" i="16"/>
  <c r="E16" i="16" s="1"/>
  <c r="I15" i="16"/>
  <c r="B15" i="16"/>
  <c r="E15" i="16" s="1"/>
  <c r="I14" i="16"/>
  <c r="B14" i="16"/>
  <c r="E14" i="16" s="1"/>
  <c r="I13" i="16"/>
  <c r="B13" i="16"/>
  <c r="E13" i="16" s="1"/>
  <c r="I12" i="16"/>
  <c r="B12" i="16"/>
  <c r="E12" i="16" s="1"/>
  <c r="I11" i="16"/>
  <c r="B11" i="16"/>
  <c r="E11" i="16" s="1"/>
  <c r="I10" i="16"/>
  <c r="B10" i="16"/>
  <c r="E10" i="16" s="1"/>
  <c r="I9" i="16"/>
  <c r="B9" i="16"/>
  <c r="E9" i="16" s="1"/>
  <c r="I8" i="16"/>
  <c r="B8" i="16"/>
  <c r="E8" i="16" s="1"/>
  <c r="I7" i="16"/>
  <c r="B7" i="16"/>
  <c r="E7" i="16" s="1"/>
  <c r="I6" i="16"/>
  <c r="B6" i="16"/>
  <c r="E6" i="16" s="1"/>
  <c r="I5" i="16"/>
  <c r="B5" i="16"/>
  <c r="E5" i="16" s="1"/>
  <c r="I4" i="16"/>
  <c r="B4" i="16"/>
  <c r="E4" i="16" s="1"/>
  <c r="I3" i="16"/>
  <c r="B3" i="16"/>
  <c r="E3" i="16" s="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" i="14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27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13" i="13"/>
  <c r="F44" i="13"/>
  <c r="F45" i="13"/>
  <c r="F46" i="13"/>
  <c r="F47" i="13"/>
  <c r="F48" i="13"/>
  <c r="F43" i="13"/>
  <c r="B190" i="13"/>
  <c r="B189" i="13"/>
  <c r="B188" i="13"/>
  <c r="B187" i="13"/>
  <c r="B186" i="13"/>
  <c r="B185" i="13"/>
  <c r="B184" i="13"/>
  <c r="B183" i="13"/>
  <c r="B182" i="13"/>
  <c r="B181" i="13"/>
  <c r="B180" i="13"/>
  <c r="B179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I190" i="2"/>
  <c r="I189" i="2"/>
  <c r="I154" i="12"/>
  <c r="B154" i="12"/>
  <c r="E154" i="12" s="1"/>
  <c r="I153" i="12"/>
  <c r="B153" i="12"/>
  <c r="E153" i="12" s="1"/>
  <c r="B190" i="9"/>
  <c r="E190" i="9" s="1"/>
  <c r="B189" i="9"/>
  <c r="E189" i="9" s="1"/>
  <c r="I191" i="8"/>
  <c r="B191" i="8"/>
  <c r="E191" i="8" s="1"/>
  <c r="I190" i="8"/>
  <c r="B190" i="8"/>
  <c r="E190" i="8" s="1"/>
  <c r="I190" i="6"/>
  <c r="B190" i="6"/>
  <c r="E190" i="6" s="1"/>
  <c r="I189" i="6"/>
  <c r="B189" i="6"/>
  <c r="E189" i="6" s="1"/>
  <c r="I190" i="4"/>
  <c r="B190" i="4"/>
  <c r="E190" i="4" s="1"/>
  <c r="I189" i="4"/>
  <c r="B189" i="4"/>
  <c r="E189" i="4" s="1"/>
  <c r="I190" i="3"/>
  <c r="B190" i="3"/>
  <c r="E190" i="3" s="1"/>
  <c r="I189" i="3"/>
  <c r="B189" i="3"/>
  <c r="E189" i="3" s="1"/>
  <c r="I190" i="5"/>
  <c r="B190" i="5"/>
  <c r="I189" i="5"/>
  <c r="B189" i="5"/>
  <c r="B190" i="2"/>
  <c r="E190" i="2" s="1"/>
  <c r="B189" i="2"/>
  <c r="E189" i="2" s="1"/>
  <c r="B154" i="11"/>
  <c r="E154" i="11" s="1"/>
  <c r="B153" i="11"/>
  <c r="E153" i="11" s="1"/>
  <c r="B190" i="1"/>
  <c r="F190" i="1" s="1"/>
  <c r="B189" i="1"/>
  <c r="I152" i="12"/>
  <c r="B152" i="12"/>
  <c r="E152" i="12" s="1"/>
  <c r="I151" i="12"/>
  <c r="B151" i="12"/>
  <c r="E151" i="12" s="1"/>
  <c r="I150" i="12"/>
  <c r="B150" i="12"/>
  <c r="E150" i="12" s="1"/>
  <c r="I149" i="12"/>
  <c r="B149" i="12"/>
  <c r="E149" i="12" s="1"/>
  <c r="I148" i="12"/>
  <c r="B148" i="12"/>
  <c r="E148" i="12" s="1"/>
  <c r="I147" i="12"/>
  <c r="B147" i="12"/>
  <c r="E147" i="12" s="1"/>
  <c r="I146" i="12"/>
  <c r="B146" i="12"/>
  <c r="E146" i="12" s="1"/>
  <c r="I145" i="12"/>
  <c r="B145" i="12"/>
  <c r="E145" i="12" s="1"/>
  <c r="I144" i="12"/>
  <c r="B144" i="12"/>
  <c r="E144" i="12" s="1"/>
  <c r="I143" i="12"/>
  <c r="B143" i="12"/>
  <c r="E143" i="12" s="1"/>
  <c r="I142" i="12"/>
  <c r="B142" i="12"/>
  <c r="E142" i="12" s="1"/>
  <c r="I141" i="12"/>
  <c r="B141" i="12"/>
  <c r="E141" i="12" s="1"/>
  <c r="I140" i="12"/>
  <c r="B140" i="12"/>
  <c r="E140" i="12" s="1"/>
  <c r="I139" i="12"/>
  <c r="B139" i="12"/>
  <c r="E139" i="12" s="1"/>
  <c r="I138" i="12"/>
  <c r="B138" i="12"/>
  <c r="E138" i="12" s="1"/>
  <c r="I137" i="12"/>
  <c r="B137" i="12"/>
  <c r="E137" i="12" s="1"/>
  <c r="I136" i="12"/>
  <c r="B136" i="12"/>
  <c r="E136" i="12" s="1"/>
  <c r="I135" i="12"/>
  <c r="B135" i="12"/>
  <c r="E135" i="12" s="1"/>
  <c r="I134" i="12"/>
  <c r="B134" i="12"/>
  <c r="E134" i="12" s="1"/>
  <c r="I133" i="12"/>
  <c r="B133" i="12"/>
  <c r="E133" i="12" s="1"/>
  <c r="I132" i="12"/>
  <c r="B132" i="12"/>
  <c r="E132" i="12" s="1"/>
  <c r="I131" i="12"/>
  <c r="B131" i="12"/>
  <c r="E131" i="12" s="1"/>
  <c r="I130" i="12"/>
  <c r="B130" i="12"/>
  <c r="E130" i="12" s="1"/>
  <c r="I129" i="12"/>
  <c r="B129" i="12"/>
  <c r="E129" i="12" s="1"/>
  <c r="I128" i="12"/>
  <c r="B128" i="12"/>
  <c r="E128" i="12" s="1"/>
  <c r="I127" i="12"/>
  <c r="B127" i="12"/>
  <c r="E127" i="12" s="1"/>
  <c r="I126" i="12"/>
  <c r="B126" i="12"/>
  <c r="E126" i="12" s="1"/>
  <c r="I125" i="12"/>
  <c r="B125" i="12"/>
  <c r="E125" i="12" s="1"/>
  <c r="I124" i="12"/>
  <c r="B124" i="12"/>
  <c r="E124" i="12" s="1"/>
  <c r="I123" i="12"/>
  <c r="B123" i="12"/>
  <c r="E123" i="12" s="1"/>
  <c r="I122" i="12"/>
  <c r="B122" i="12"/>
  <c r="E122" i="12" s="1"/>
  <c r="I121" i="12"/>
  <c r="B121" i="12"/>
  <c r="E121" i="12" s="1"/>
  <c r="I120" i="12"/>
  <c r="B120" i="12"/>
  <c r="E120" i="12" s="1"/>
  <c r="I119" i="12"/>
  <c r="B119" i="12"/>
  <c r="E119" i="12" s="1"/>
  <c r="I118" i="12"/>
  <c r="B118" i="12"/>
  <c r="E118" i="12" s="1"/>
  <c r="I117" i="12"/>
  <c r="B117" i="12"/>
  <c r="G117" i="12" s="1"/>
  <c r="I116" i="12"/>
  <c r="B116" i="12"/>
  <c r="G116" i="12" s="1"/>
  <c r="I115" i="12"/>
  <c r="B115" i="12"/>
  <c r="E115" i="12" s="1"/>
  <c r="I114" i="12"/>
  <c r="B114" i="12"/>
  <c r="G114" i="12" s="1"/>
  <c r="I113" i="12"/>
  <c r="B113" i="12"/>
  <c r="F113" i="12" s="1"/>
  <c r="I112" i="12"/>
  <c r="B112" i="12"/>
  <c r="E112" i="12" s="1"/>
  <c r="I111" i="12"/>
  <c r="B111" i="12"/>
  <c r="G111" i="12" s="1"/>
  <c r="I110" i="12"/>
  <c r="B110" i="12"/>
  <c r="H110" i="12" s="1"/>
  <c r="I109" i="12"/>
  <c r="B109" i="12"/>
  <c r="H109" i="12" s="1"/>
  <c r="I108" i="12"/>
  <c r="B108" i="12"/>
  <c r="E108" i="12" s="1"/>
  <c r="I107" i="12"/>
  <c r="B107" i="12"/>
  <c r="H107" i="12" s="1"/>
  <c r="I106" i="12"/>
  <c r="B106" i="12"/>
  <c r="H106" i="12" s="1"/>
  <c r="I105" i="12"/>
  <c r="B105" i="12"/>
  <c r="H105" i="12" s="1"/>
  <c r="I104" i="12"/>
  <c r="B104" i="12"/>
  <c r="E104" i="12" s="1"/>
  <c r="I103" i="12"/>
  <c r="B103" i="12"/>
  <c r="H103" i="12" s="1"/>
  <c r="I102" i="12"/>
  <c r="B102" i="12"/>
  <c r="H102" i="12" s="1"/>
  <c r="I101" i="12"/>
  <c r="B101" i="12"/>
  <c r="H101" i="12" s="1"/>
  <c r="I100" i="12"/>
  <c r="B100" i="12"/>
  <c r="E100" i="12" s="1"/>
  <c r="I99" i="12"/>
  <c r="B99" i="12"/>
  <c r="H99" i="12" s="1"/>
  <c r="I98" i="12"/>
  <c r="B98" i="12"/>
  <c r="H98" i="12" s="1"/>
  <c r="I97" i="12"/>
  <c r="B97" i="12"/>
  <c r="H97" i="12" s="1"/>
  <c r="I96" i="12"/>
  <c r="B96" i="12"/>
  <c r="E96" i="12" s="1"/>
  <c r="I95" i="12"/>
  <c r="B95" i="12"/>
  <c r="H95" i="12" s="1"/>
  <c r="I94" i="12"/>
  <c r="B94" i="12"/>
  <c r="E94" i="12" s="1"/>
  <c r="I93" i="12"/>
  <c r="B93" i="12"/>
  <c r="G93" i="12" s="1"/>
  <c r="I92" i="12"/>
  <c r="B92" i="12"/>
  <c r="G92" i="12" s="1"/>
  <c r="I91" i="12"/>
  <c r="B91" i="12"/>
  <c r="F91" i="12" s="1"/>
  <c r="I90" i="12"/>
  <c r="B90" i="12"/>
  <c r="G90" i="12" s="1"/>
  <c r="I89" i="12"/>
  <c r="B89" i="12"/>
  <c r="F89" i="12" s="1"/>
  <c r="I88" i="12"/>
  <c r="B88" i="12"/>
  <c r="F88" i="12" s="1"/>
  <c r="I87" i="12"/>
  <c r="B87" i="12"/>
  <c r="F87" i="12" s="1"/>
  <c r="I86" i="12"/>
  <c r="B86" i="12"/>
  <c r="E86" i="12" s="1"/>
  <c r="I85" i="12"/>
  <c r="B85" i="12"/>
  <c r="E85" i="12" s="1"/>
  <c r="I84" i="12"/>
  <c r="B84" i="12"/>
  <c r="G84" i="12" s="1"/>
  <c r="I83" i="12"/>
  <c r="B83" i="12"/>
  <c r="I82" i="12"/>
  <c r="B82" i="12"/>
  <c r="G82" i="12" s="1"/>
  <c r="I81" i="12"/>
  <c r="B81" i="12"/>
  <c r="F81" i="12" s="1"/>
  <c r="I80" i="12"/>
  <c r="B80" i="12"/>
  <c r="E80" i="12" s="1"/>
  <c r="I79" i="12"/>
  <c r="B79" i="12"/>
  <c r="E79" i="12" s="1"/>
  <c r="I78" i="12"/>
  <c r="B78" i="12"/>
  <c r="E78" i="12" s="1"/>
  <c r="I77" i="12"/>
  <c r="B77" i="12"/>
  <c r="E77" i="12" s="1"/>
  <c r="I76" i="12"/>
  <c r="B76" i="12"/>
  <c r="E76" i="12" s="1"/>
  <c r="I75" i="12"/>
  <c r="B75" i="12"/>
  <c r="E75" i="12" s="1"/>
  <c r="I74" i="12"/>
  <c r="B74" i="12"/>
  <c r="E74" i="12" s="1"/>
  <c r="I73" i="12"/>
  <c r="B73" i="12"/>
  <c r="E73" i="12" s="1"/>
  <c r="I72" i="12"/>
  <c r="B72" i="12"/>
  <c r="E72" i="12" s="1"/>
  <c r="I71" i="12"/>
  <c r="B71" i="12"/>
  <c r="E71" i="12" s="1"/>
  <c r="I70" i="12"/>
  <c r="B70" i="12"/>
  <c r="E70" i="12" s="1"/>
  <c r="I69" i="12"/>
  <c r="B69" i="12"/>
  <c r="E69" i="12" s="1"/>
  <c r="I68" i="12"/>
  <c r="B68" i="12"/>
  <c r="E68" i="12" s="1"/>
  <c r="I67" i="12"/>
  <c r="B67" i="12"/>
  <c r="E67" i="12" s="1"/>
  <c r="I66" i="12"/>
  <c r="B66" i="12"/>
  <c r="E66" i="12" s="1"/>
  <c r="I65" i="12"/>
  <c r="B65" i="12"/>
  <c r="E65" i="12" s="1"/>
  <c r="I64" i="12"/>
  <c r="B64" i="12"/>
  <c r="E64" i="12" s="1"/>
  <c r="I63" i="12"/>
  <c r="B63" i="12"/>
  <c r="E63" i="12" s="1"/>
  <c r="I62" i="12"/>
  <c r="B62" i="12"/>
  <c r="E62" i="12" s="1"/>
  <c r="I61" i="12"/>
  <c r="B61" i="12"/>
  <c r="E61" i="12" s="1"/>
  <c r="I60" i="12"/>
  <c r="B60" i="12"/>
  <c r="E60" i="12" s="1"/>
  <c r="I59" i="12"/>
  <c r="B59" i="12"/>
  <c r="E59" i="12" s="1"/>
  <c r="I58" i="12"/>
  <c r="B58" i="12"/>
  <c r="E58" i="12" s="1"/>
  <c r="I57" i="12"/>
  <c r="B57" i="12"/>
  <c r="E57" i="12" s="1"/>
  <c r="I56" i="12"/>
  <c r="B56" i="12"/>
  <c r="E56" i="12" s="1"/>
  <c r="I55" i="12"/>
  <c r="B55" i="12"/>
  <c r="E55" i="12" s="1"/>
  <c r="I54" i="12"/>
  <c r="B54" i="12"/>
  <c r="E54" i="12" s="1"/>
  <c r="I53" i="12"/>
  <c r="B53" i="12"/>
  <c r="E53" i="12" s="1"/>
  <c r="I52" i="12"/>
  <c r="B52" i="12"/>
  <c r="E52" i="12" s="1"/>
  <c r="I51" i="12"/>
  <c r="B51" i="12"/>
  <c r="E51" i="12" s="1"/>
  <c r="I50" i="12"/>
  <c r="B50" i="12"/>
  <c r="E50" i="12" s="1"/>
  <c r="I49" i="12"/>
  <c r="B49" i="12"/>
  <c r="E49" i="12" s="1"/>
  <c r="I48" i="12"/>
  <c r="B48" i="12"/>
  <c r="E48" i="12" s="1"/>
  <c r="I47" i="12"/>
  <c r="B47" i="12"/>
  <c r="E47" i="12" s="1"/>
  <c r="I46" i="12"/>
  <c r="B46" i="12"/>
  <c r="E46" i="12" s="1"/>
  <c r="I45" i="12"/>
  <c r="B45" i="12"/>
  <c r="E45" i="12" s="1"/>
  <c r="I44" i="12"/>
  <c r="B44" i="12"/>
  <c r="E44" i="12" s="1"/>
  <c r="I43" i="12"/>
  <c r="B43" i="12"/>
  <c r="E43" i="12" s="1"/>
  <c r="I42" i="12"/>
  <c r="B42" i="12"/>
  <c r="E42" i="12" s="1"/>
  <c r="I41" i="12"/>
  <c r="B41" i="12"/>
  <c r="H41" i="12" s="1"/>
  <c r="I40" i="12"/>
  <c r="B40" i="12"/>
  <c r="H40" i="12" s="1"/>
  <c r="I39" i="12"/>
  <c r="B39" i="12"/>
  <c r="H39" i="12" s="1"/>
  <c r="I38" i="12"/>
  <c r="B38" i="12"/>
  <c r="E38" i="12" s="1"/>
  <c r="I37" i="12"/>
  <c r="B37" i="12"/>
  <c r="H37" i="12" s="1"/>
  <c r="I36" i="12"/>
  <c r="B36" i="12"/>
  <c r="H36" i="12" s="1"/>
  <c r="I35" i="12"/>
  <c r="B35" i="12"/>
  <c r="H35" i="12" s="1"/>
  <c r="I34" i="12"/>
  <c r="B34" i="12"/>
  <c r="I33" i="12"/>
  <c r="B33" i="12"/>
  <c r="H33" i="12" s="1"/>
  <c r="I32" i="12"/>
  <c r="B32" i="12"/>
  <c r="H32" i="12" s="1"/>
  <c r="I31" i="12"/>
  <c r="B31" i="12"/>
  <c r="H31" i="12" s="1"/>
  <c r="I30" i="12"/>
  <c r="B30" i="12"/>
  <c r="E30" i="12" s="1"/>
  <c r="I29" i="12"/>
  <c r="B29" i="12"/>
  <c r="H29" i="12" s="1"/>
  <c r="I28" i="12"/>
  <c r="B28" i="12"/>
  <c r="E28" i="12" s="1"/>
  <c r="I27" i="12"/>
  <c r="B27" i="12"/>
  <c r="H27" i="12" s="1"/>
  <c r="I26" i="12"/>
  <c r="B26" i="12"/>
  <c r="E26" i="12" s="1"/>
  <c r="I25" i="12"/>
  <c r="B25" i="12"/>
  <c r="E25" i="12" s="1"/>
  <c r="I24" i="12"/>
  <c r="B24" i="12"/>
  <c r="E24" i="12" s="1"/>
  <c r="I23" i="12"/>
  <c r="B23" i="12"/>
  <c r="E23" i="12" s="1"/>
  <c r="I22" i="12"/>
  <c r="B22" i="12"/>
  <c r="E22" i="12" s="1"/>
  <c r="I21" i="12"/>
  <c r="B21" i="12"/>
  <c r="E21" i="12" s="1"/>
  <c r="I20" i="12"/>
  <c r="B20" i="12"/>
  <c r="E20" i="12" s="1"/>
  <c r="I19" i="12"/>
  <c r="B19" i="12"/>
  <c r="E19" i="12" s="1"/>
  <c r="I18" i="12"/>
  <c r="B18" i="12"/>
  <c r="E18" i="12" s="1"/>
  <c r="I17" i="12"/>
  <c r="B17" i="12"/>
  <c r="E17" i="12" s="1"/>
  <c r="I16" i="12"/>
  <c r="B16" i="12"/>
  <c r="E16" i="12" s="1"/>
  <c r="I15" i="12"/>
  <c r="B15" i="12"/>
  <c r="E15" i="12" s="1"/>
  <c r="I14" i="12"/>
  <c r="B14" i="12"/>
  <c r="E14" i="12" s="1"/>
  <c r="I13" i="12"/>
  <c r="B13" i="12"/>
  <c r="E13" i="12" s="1"/>
  <c r="I12" i="12"/>
  <c r="B12" i="12"/>
  <c r="E12" i="12" s="1"/>
  <c r="I11" i="12"/>
  <c r="B11" i="12"/>
  <c r="E11" i="12" s="1"/>
  <c r="I10" i="12"/>
  <c r="B10" i="12"/>
  <c r="E10" i="12" s="1"/>
  <c r="I9" i="12"/>
  <c r="B9" i="12"/>
  <c r="E9" i="12" s="1"/>
  <c r="I8" i="12"/>
  <c r="B8" i="12"/>
  <c r="E8" i="12" s="1"/>
  <c r="I7" i="12"/>
  <c r="B7" i="12"/>
  <c r="E7" i="12" s="1"/>
  <c r="I6" i="12"/>
  <c r="B6" i="12"/>
  <c r="E6" i="12" s="1"/>
  <c r="I5" i="12"/>
  <c r="B5" i="12"/>
  <c r="E5" i="12" s="1"/>
  <c r="I4" i="12"/>
  <c r="B4" i="12"/>
  <c r="E4" i="12" s="1"/>
  <c r="I3" i="12"/>
  <c r="B3" i="12"/>
  <c r="E3" i="12" s="1"/>
  <c r="H115" i="16" l="1"/>
  <c r="H30" i="16"/>
  <c r="E107" i="16"/>
  <c r="H125" i="16"/>
  <c r="E106" i="16"/>
  <c r="F135" i="16"/>
  <c r="H31" i="16"/>
  <c r="G92" i="1"/>
  <c r="D90" i="1"/>
  <c r="D84" i="1"/>
  <c r="G98" i="1"/>
  <c r="D96" i="1"/>
  <c r="F92" i="1"/>
  <c r="D86" i="1"/>
  <c r="F98" i="1"/>
  <c r="D89" i="1"/>
  <c r="F85" i="1"/>
  <c r="D83" i="1"/>
  <c r="G88" i="1"/>
  <c r="D94" i="1"/>
  <c r="F88" i="1"/>
  <c r="D85" i="1"/>
  <c r="F96" i="1"/>
  <c r="F93" i="1"/>
  <c r="D91" i="1"/>
  <c r="G84" i="1"/>
  <c r="G90" i="1"/>
  <c r="G94" i="1"/>
  <c r="G86" i="1"/>
  <c r="G82" i="1"/>
  <c r="D97" i="1"/>
  <c r="F82" i="1"/>
  <c r="D95" i="1"/>
  <c r="D87" i="1"/>
  <c r="G97" i="1"/>
  <c r="G95" i="1"/>
  <c r="G91" i="1"/>
  <c r="G89" i="1"/>
  <c r="G87" i="1"/>
  <c r="G83" i="1"/>
  <c r="G81" i="1"/>
  <c r="F81" i="1"/>
  <c r="F131" i="16"/>
  <c r="H121" i="16"/>
  <c r="H40" i="16"/>
  <c r="E130" i="16"/>
  <c r="H39" i="16"/>
  <c r="E120" i="16"/>
  <c r="E38" i="16"/>
  <c r="E32" i="16"/>
  <c r="F108" i="16"/>
  <c r="E114" i="16"/>
  <c r="H127" i="16"/>
  <c r="F100" i="16"/>
  <c r="E99" i="16"/>
  <c r="H119" i="16"/>
  <c r="H113" i="16"/>
  <c r="F133" i="16"/>
  <c r="F129" i="16"/>
  <c r="H117" i="16"/>
  <c r="F137" i="16"/>
  <c r="F112" i="16"/>
  <c r="F104" i="16"/>
  <c r="H36" i="16"/>
  <c r="H28" i="16"/>
  <c r="E126" i="16"/>
  <c r="E118" i="16"/>
  <c r="E110" i="16"/>
  <c r="E102" i="16"/>
  <c r="F111" i="16"/>
  <c r="F103" i="16"/>
  <c r="H27" i="16"/>
  <c r="H35" i="16"/>
  <c r="E109" i="16"/>
  <c r="E101" i="16"/>
  <c r="H42" i="16"/>
  <c r="H34" i="16"/>
  <c r="E124" i="16"/>
  <c r="E116" i="16"/>
  <c r="E122" i="16"/>
  <c r="H41" i="16"/>
  <c r="H33" i="16"/>
  <c r="E123" i="16"/>
  <c r="E105" i="16"/>
  <c r="E128" i="16"/>
  <c r="H37" i="16"/>
  <c r="H29" i="16"/>
  <c r="F132" i="16"/>
  <c r="F134" i="16"/>
  <c r="F136" i="16"/>
  <c r="F138" i="16"/>
  <c r="F83" i="12"/>
  <c r="E83" i="12"/>
  <c r="G83" i="12"/>
  <c r="E34" i="12"/>
  <c r="H34" i="12"/>
  <c r="D189" i="1"/>
  <c r="D190" i="1"/>
  <c r="H42" i="12"/>
  <c r="H96" i="12"/>
  <c r="F189" i="1"/>
  <c r="H38" i="12"/>
  <c r="F92" i="12"/>
  <c r="H100" i="12"/>
  <c r="F118" i="12"/>
  <c r="H104" i="12"/>
  <c r="G115" i="12"/>
  <c r="G118" i="12"/>
  <c r="E91" i="12"/>
  <c r="H108" i="12"/>
  <c r="F84" i="12"/>
  <c r="G91" i="12"/>
  <c r="H30" i="12"/>
  <c r="H28" i="12"/>
  <c r="E84" i="12"/>
  <c r="E92" i="12"/>
  <c r="F115" i="12"/>
  <c r="E116" i="12"/>
  <c r="F116" i="12"/>
  <c r="E32" i="12"/>
  <c r="E36" i="12"/>
  <c r="E40" i="12"/>
  <c r="G81" i="12"/>
  <c r="F86" i="12"/>
  <c r="G89" i="12"/>
  <c r="F94" i="12"/>
  <c r="E98" i="12"/>
  <c r="E102" i="12"/>
  <c r="E106" i="12"/>
  <c r="E110" i="12"/>
  <c r="G113" i="12"/>
  <c r="G86" i="12"/>
  <c r="G94" i="12"/>
  <c r="E93" i="12"/>
  <c r="F112" i="12"/>
  <c r="E117" i="12"/>
  <c r="E88" i="12"/>
  <c r="E82" i="12"/>
  <c r="F85" i="12"/>
  <c r="G88" i="12"/>
  <c r="E90" i="12"/>
  <c r="F93" i="12"/>
  <c r="G112" i="12"/>
  <c r="E114" i="12"/>
  <c r="F117" i="12"/>
  <c r="E27" i="12"/>
  <c r="E29" i="12"/>
  <c r="E31" i="12"/>
  <c r="E33" i="12"/>
  <c r="E35" i="12"/>
  <c r="E37" i="12"/>
  <c r="E39" i="12"/>
  <c r="E41" i="12"/>
  <c r="F82" i="12"/>
  <c r="G85" i="12"/>
  <c r="E87" i="12"/>
  <c r="F90" i="12"/>
  <c r="E95" i="12"/>
  <c r="E97" i="12"/>
  <c r="E99" i="12"/>
  <c r="E101" i="12"/>
  <c r="E103" i="12"/>
  <c r="E105" i="12"/>
  <c r="E107" i="12"/>
  <c r="E109" i="12"/>
  <c r="E111" i="12"/>
  <c r="F114" i="12"/>
  <c r="F111" i="12"/>
  <c r="G87" i="12"/>
  <c r="E81" i="12"/>
  <c r="E89" i="12"/>
  <c r="E113" i="12"/>
  <c r="B152" i="11" l="1"/>
  <c r="E152" i="11" s="1"/>
  <c r="B151" i="11"/>
  <c r="E151" i="11" s="1"/>
  <c r="B150" i="11"/>
  <c r="E150" i="11" s="1"/>
  <c r="B149" i="11"/>
  <c r="E149" i="11" s="1"/>
  <c r="B148" i="11"/>
  <c r="E148" i="11" s="1"/>
  <c r="B147" i="11"/>
  <c r="E147" i="11" s="1"/>
  <c r="B146" i="11"/>
  <c r="E146" i="11" s="1"/>
  <c r="B145" i="11"/>
  <c r="E145" i="11" s="1"/>
  <c r="B144" i="11"/>
  <c r="E144" i="11" s="1"/>
  <c r="B143" i="11"/>
  <c r="E143" i="11" s="1"/>
  <c r="B142" i="11"/>
  <c r="E142" i="11" s="1"/>
  <c r="B141" i="11"/>
  <c r="E141" i="11" s="1"/>
  <c r="B140" i="11"/>
  <c r="E140" i="11" s="1"/>
  <c r="B139" i="11"/>
  <c r="E139" i="11" s="1"/>
  <c r="B138" i="11"/>
  <c r="E138" i="11" s="1"/>
  <c r="B137" i="11"/>
  <c r="E137" i="11" s="1"/>
  <c r="B136" i="11"/>
  <c r="E136" i="11" s="1"/>
  <c r="B135" i="11"/>
  <c r="E135" i="11" s="1"/>
  <c r="B134" i="11"/>
  <c r="E134" i="11" s="1"/>
  <c r="B133" i="11"/>
  <c r="E133" i="11" s="1"/>
  <c r="B132" i="11"/>
  <c r="E132" i="11" s="1"/>
  <c r="B131" i="11"/>
  <c r="E131" i="11" s="1"/>
  <c r="B130" i="11"/>
  <c r="E130" i="11" s="1"/>
  <c r="B129" i="11"/>
  <c r="E129" i="11" s="1"/>
  <c r="B128" i="11"/>
  <c r="E128" i="11" s="1"/>
  <c r="B127" i="11"/>
  <c r="E127" i="11" s="1"/>
  <c r="B126" i="11"/>
  <c r="E126" i="11" s="1"/>
  <c r="B125" i="11"/>
  <c r="E125" i="11" s="1"/>
  <c r="B124" i="11"/>
  <c r="E124" i="11" s="1"/>
  <c r="B123" i="11"/>
  <c r="E123" i="11" s="1"/>
  <c r="B122" i="11"/>
  <c r="E122" i="11" s="1"/>
  <c r="B121" i="11"/>
  <c r="E121" i="11" s="1"/>
  <c r="B120" i="11"/>
  <c r="E120" i="11" s="1"/>
  <c r="B119" i="11"/>
  <c r="E119" i="11" s="1"/>
  <c r="B118" i="11"/>
  <c r="E118" i="11" s="1"/>
  <c r="B117" i="11"/>
  <c r="E117" i="11" s="1"/>
  <c r="B116" i="11"/>
  <c r="E116" i="11" s="1"/>
  <c r="B115" i="11"/>
  <c r="E115" i="11" s="1"/>
  <c r="B114" i="11"/>
  <c r="E114" i="11" s="1"/>
  <c r="B113" i="11"/>
  <c r="E113" i="11" s="1"/>
  <c r="B112" i="11"/>
  <c r="E112" i="11" s="1"/>
  <c r="B111" i="11"/>
  <c r="E111" i="11" s="1"/>
  <c r="B110" i="11"/>
  <c r="E110" i="11" s="1"/>
  <c r="B109" i="11"/>
  <c r="E109" i="11" s="1"/>
  <c r="B108" i="11"/>
  <c r="E108" i="11" s="1"/>
  <c r="B107" i="11"/>
  <c r="E107" i="11" s="1"/>
  <c r="B106" i="11"/>
  <c r="E106" i="11" s="1"/>
  <c r="B105" i="11"/>
  <c r="E105" i="11" s="1"/>
  <c r="B104" i="11"/>
  <c r="E104" i="11" s="1"/>
  <c r="B103" i="11"/>
  <c r="E103" i="11" s="1"/>
  <c r="B102" i="11"/>
  <c r="E102" i="11" s="1"/>
  <c r="B101" i="11"/>
  <c r="E101" i="11" s="1"/>
  <c r="B100" i="11"/>
  <c r="E100" i="11" s="1"/>
  <c r="B99" i="11"/>
  <c r="E99" i="11" s="1"/>
  <c r="B98" i="11"/>
  <c r="E98" i="11" s="1"/>
  <c r="B97" i="11"/>
  <c r="E97" i="11" s="1"/>
  <c r="B96" i="11"/>
  <c r="E96" i="11" s="1"/>
  <c r="B95" i="11"/>
  <c r="E95" i="11" s="1"/>
  <c r="B94" i="11"/>
  <c r="E94" i="11" s="1"/>
  <c r="B93" i="11"/>
  <c r="E93" i="11" s="1"/>
  <c r="B92" i="11"/>
  <c r="E92" i="11" s="1"/>
  <c r="B91" i="11"/>
  <c r="E91" i="11" s="1"/>
  <c r="B90" i="11"/>
  <c r="E90" i="11" s="1"/>
  <c r="B89" i="11"/>
  <c r="E89" i="11" s="1"/>
  <c r="B88" i="11"/>
  <c r="E88" i="11" s="1"/>
  <c r="B87" i="11"/>
  <c r="E87" i="11" s="1"/>
  <c r="B86" i="11"/>
  <c r="E86" i="11" s="1"/>
  <c r="B85" i="11"/>
  <c r="E85" i="11" s="1"/>
  <c r="B84" i="11"/>
  <c r="E84" i="11" s="1"/>
  <c r="B83" i="11"/>
  <c r="E83" i="11" s="1"/>
  <c r="B82" i="11"/>
  <c r="E82" i="11" s="1"/>
  <c r="B81" i="11"/>
  <c r="E81" i="11" s="1"/>
  <c r="B80" i="11"/>
  <c r="E80" i="11" s="1"/>
  <c r="B79" i="11"/>
  <c r="E79" i="11" s="1"/>
  <c r="B78" i="11"/>
  <c r="E78" i="11" s="1"/>
  <c r="B77" i="11"/>
  <c r="E77" i="11" s="1"/>
  <c r="B76" i="11"/>
  <c r="E76" i="11" s="1"/>
  <c r="B75" i="11"/>
  <c r="E75" i="11" s="1"/>
  <c r="B74" i="11"/>
  <c r="E74" i="11" s="1"/>
  <c r="B73" i="11"/>
  <c r="E73" i="11" s="1"/>
  <c r="B72" i="11"/>
  <c r="E72" i="11" s="1"/>
  <c r="B71" i="11"/>
  <c r="E71" i="11" s="1"/>
  <c r="B70" i="11"/>
  <c r="E70" i="11" s="1"/>
  <c r="B69" i="11"/>
  <c r="E69" i="11" s="1"/>
  <c r="B68" i="11"/>
  <c r="E68" i="11" s="1"/>
  <c r="B67" i="11"/>
  <c r="E67" i="11" s="1"/>
  <c r="B66" i="11"/>
  <c r="E66" i="11" s="1"/>
  <c r="B65" i="11"/>
  <c r="E65" i="11" s="1"/>
  <c r="B64" i="11"/>
  <c r="E64" i="11" s="1"/>
  <c r="B63" i="11"/>
  <c r="E63" i="11" s="1"/>
  <c r="B62" i="11"/>
  <c r="E62" i="11" s="1"/>
  <c r="B61" i="11"/>
  <c r="E61" i="11" s="1"/>
  <c r="B60" i="11"/>
  <c r="E60" i="11" s="1"/>
  <c r="B59" i="11"/>
  <c r="E59" i="11" s="1"/>
  <c r="B58" i="11"/>
  <c r="E58" i="11" s="1"/>
  <c r="B57" i="11"/>
  <c r="E57" i="11" s="1"/>
  <c r="B56" i="11"/>
  <c r="E56" i="11" s="1"/>
  <c r="B55" i="11"/>
  <c r="E55" i="11" s="1"/>
  <c r="B54" i="11"/>
  <c r="E54" i="11" s="1"/>
  <c r="B53" i="11"/>
  <c r="E53" i="11" s="1"/>
  <c r="B52" i="11"/>
  <c r="E52" i="11" s="1"/>
  <c r="B51" i="11"/>
  <c r="E51" i="11" s="1"/>
  <c r="B50" i="11"/>
  <c r="E50" i="11" s="1"/>
  <c r="B49" i="11"/>
  <c r="E49" i="11" s="1"/>
  <c r="B48" i="11"/>
  <c r="E48" i="11" s="1"/>
  <c r="B47" i="11"/>
  <c r="E47" i="11" s="1"/>
  <c r="B46" i="11"/>
  <c r="E46" i="11" s="1"/>
  <c r="B45" i="11"/>
  <c r="E45" i="11" s="1"/>
  <c r="B44" i="11"/>
  <c r="E44" i="11" s="1"/>
  <c r="B43" i="11"/>
  <c r="E43" i="11" s="1"/>
  <c r="B42" i="11"/>
  <c r="E42" i="11" s="1"/>
  <c r="B41" i="11"/>
  <c r="E41" i="11" s="1"/>
  <c r="B40" i="11"/>
  <c r="E40" i="11" s="1"/>
  <c r="B39" i="11"/>
  <c r="E39" i="11" s="1"/>
  <c r="B38" i="11"/>
  <c r="E38" i="11" s="1"/>
  <c r="B37" i="11"/>
  <c r="E37" i="11" s="1"/>
  <c r="B36" i="11"/>
  <c r="E36" i="11" s="1"/>
  <c r="B35" i="11"/>
  <c r="E35" i="11" s="1"/>
  <c r="B34" i="11"/>
  <c r="E34" i="11" s="1"/>
  <c r="B33" i="11"/>
  <c r="E33" i="11" s="1"/>
  <c r="B32" i="11"/>
  <c r="E32" i="11" s="1"/>
  <c r="B31" i="11"/>
  <c r="E31" i="11" s="1"/>
  <c r="B30" i="11"/>
  <c r="E30" i="11" s="1"/>
  <c r="B29" i="11"/>
  <c r="E29" i="11" s="1"/>
  <c r="B28" i="11"/>
  <c r="E28" i="11" s="1"/>
  <c r="B27" i="11"/>
  <c r="E27" i="11" s="1"/>
  <c r="B26" i="11"/>
  <c r="E26" i="11" s="1"/>
  <c r="B25" i="11"/>
  <c r="E25" i="11" s="1"/>
  <c r="B24" i="11"/>
  <c r="E24" i="11" s="1"/>
  <c r="B23" i="11"/>
  <c r="E23" i="11" s="1"/>
  <c r="B22" i="11"/>
  <c r="E22" i="11" s="1"/>
  <c r="B21" i="11"/>
  <c r="E21" i="11" s="1"/>
  <c r="B20" i="11"/>
  <c r="E20" i="11" s="1"/>
  <c r="B19" i="11"/>
  <c r="E19" i="11" s="1"/>
  <c r="B18" i="11"/>
  <c r="E18" i="11" s="1"/>
  <c r="B17" i="11"/>
  <c r="E17" i="11" s="1"/>
  <c r="B16" i="11"/>
  <c r="E16" i="11" s="1"/>
  <c r="B15" i="11"/>
  <c r="E15" i="11" s="1"/>
  <c r="B14" i="11"/>
  <c r="E14" i="11" s="1"/>
  <c r="B13" i="11"/>
  <c r="E13" i="11" s="1"/>
  <c r="B12" i="11"/>
  <c r="E12" i="11" s="1"/>
  <c r="B11" i="11"/>
  <c r="E11" i="11" s="1"/>
  <c r="B10" i="11"/>
  <c r="E10" i="11" s="1"/>
  <c r="B9" i="11"/>
  <c r="E9" i="11" s="1"/>
  <c r="B8" i="11"/>
  <c r="E8" i="11" s="1"/>
  <c r="B7" i="11"/>
  <c r="E7" i="11" s="1"/>
  <c r="B6" i="11"/>
  <c r="E6" i="11" s="1"/>
  <c r="B5" i="11"/>
  <c r="E5" i="11" s="1"/>
  <c r="B4" i="11"/>
  <c r="E4" i="11" s="1"/>
  <c r="B3" i="11"/>
  <c r="E3" i="11" s="1"/>
  <c r="B80" i="10" l="1"/>
  <c r="E80" i="10" s="1"/>
  <c r="B79" i="10"/>
  <c r="E79" i="10" s="1"/>
  <c r="B78" i="10"/>
  <c r="E78" i="10" s="1"/>
  <c r="B77" i="10"/>
  <c r="E77" i="10" s="1"/>
  <c r="B76" i="10"/>
  <c r="E76" i="10" s="1"/>
  <c r="B75" i="10"/>
  <c r="E75" i="10" s="1"/>
  <c r="B74" i="10"/>
  <c r="E74" i="10" s="1"/>
  <c r="B73" i="10"/>
  <c r="E73" i="10" s="1"/>
  <c r="B72" i="10"/>
  <c r="E72" i="10" s="1"/>
  <c r="B71" i="10"/>
  <c r="E71" i="10" s="1"/>
  <c r="B70" i="10"/>
  <c r="E70" i="10" s="1"/>
  <c r="B69" i="10"/>
  <c r="E69" i="10" s="1"/>
  <c r="B68" i="10"/>
  <c r="E68" i="10" s="1"/>
  <c r="B67" i="10"/>
  <c r="E67" i="10" s="1"/>
  <c r="B66" i="10"/>
  <c r="E66" i="10" s="1"/>
  <c r="B65" i="10"/>
  <c r="E65" i="10" s="1"/>
  <c r="B64" i="10"/>
  <c r="E64" i="10" s="1"/>
  <c r="B63" i="10"/>
  <c r="E63" i="10" s="1"/>
  <c r="B62" i="10"/>
  <c r="E62" i="10" s="1"/>
  <c r="B61" i="10"/>
  <c r="E61" i="10" s="1"/>
  <c r="B60" i="10"/>
  <c r="E60" i="10" s="1"/>
  <c r="B59" i="10"/>
  <c r="E59" i="10" s="1"/>
  <c r="B58" i="10"/>
  <c r="E58" i="10" s="1"/>
  <c r="B57" i="10"/>
  <c r="E57" i="10" s="1"/>
  <c r="B56" i="10"/>
  <c r="E56" i="10" s="1"/>
  <c r="B55" i="10"/>
  <c r="E55" i="10" s="1"/>
  <c r="B54" i="10"/>
  <c r="E54" i="10" s="1"/>
  <c r="B53" i="10"/>
  <c r="E53" i="10" s="1"/>
  <c r="B52" i="10"/>
  <c r="E52" i="10" s="1"/>
  <c r="B51" i="10"/>
  <c r="E51" i="10" s="1"/>
  <c r="B50" i="10"/>
  <c r="E50" i="10" s="1"/>
  <c r="B49" i="10"/>
  <c r="E49" i="10" s="1"/>
  <c r="B48" i="10"/>
  <c r="E48" i="10" s="1"/>
  <c r="B47" i="10"/>
  <c r="E47" i="10" s="1"/>
  <c r="B46" i="10"/>
  <c r="E46" i="10" s="1"/>
  <c r="B45" i="10"/>
  <c r="E45" i="10" s="1"/>
  <c r="B44" i="10"/>
  <c r="E44" i="10" s="1"/>
  <c r="B43" i="10"/>
  <c r="E43" i="10" s="1"/>
  <c r="B42" i="10"/>
  <c r="E42" i="10" s="1"/>
  <c r="B41" i="10"/>
  <c r="E41" i="10" s="1"/>
  <c r="B40" i="10"/>
  <c r="E40" i="10" s="1"/>
  <c r="B39" i="10"/>
  <c r="E39" i="10" s="1"/>
  <c r="B38" i="10"/>
  <c r="E38" i="10" s="1"/>
  <c r="B37" i="10"/>
  <c r="E37" i="10" s="1"/>
  <c r="B36" i="10"/>
  <c r="E36" i="10" s="1"/>
  <c r="B35" i="10"/>
  <c r="E35" i="10" s="1"/>
  <c r="B34" i="10"/>
  <c r="E34" i="10" s="1"/>
  <c r="B33" i="10"/>
  <c r="E33" i="10" s="1"/>
  <c r="B32" i="10"/>
  <c r="E32" i="10" s="1"/>
  <c r="B31" i="10"/>
  <c r="E31" i="10" s="1"/>
  <c r="B30" i="10"/>
  <c r="E30" i="10" s="1"/>
  <c r="B29" i="10"/>
  <c r="E29" i="10" s="1"/>
  <c r="B28" i="10"/>
  <c r="E28" i="10" s="1"/>
  <c r="B27" i="10"/>
  <c r="E27" i="10" s="1"/>
  <c r="B26" i="10"/>
  <c r="E26" i="10" s="1"/>
  <c r="B25" i="10"/>
  <c r="E25" i="10" s="1"/>
  <c r="B24" i="10"/>
  <c r="E24" i="10" s="1"/>
  <c r="B23" i="10"/>
  <c r="E23" i="10" s="1"/>
  <c r="B22" i="10"/>
  <c r="E22" i="10" s="1"/>
  <c r="B21" i="10"/>
  <c r="E21" i="10" s="1"/>
  <c r="B20" i="10"/>
  <c r="E20" i="10" s="1"/>
  <c r="B19" i="10"/>
  <c r="E19" i="10" s="1"/>
  <c r="B18" i="10"/>
  <c r="E18" i="10" s="1"/>
  <c r="B17" i="10"/>
  <c r="E17" i="10" s="1"/>
  <c r="B16" i="10"/>
  <c r="E16" i="10" s="1"/>
  <c r="B15" i="10"/>
  <c r="E15" i="10" s="1"/>
  <c r="B14" i="10"/>
  <c r="E14" i="10" s="1"/>
  <c r="B13" i="10"/>
  <c r="E13" i="10" s="1"/>
  <c r="B12" i="10"/>
  <c r="E12" i="10" s="1"/>
  <c r="B11" i="10"/>
  <c r="E11" i="10" s="1"/>
  <c r="B10" i="10"/>
  <c r="E10" i="10" s="1"/>
  <c r="B9" i="10"/>
  <c r="E9" i="10" s="1"/>
  <c r="B8" i="10"/>
  <c r="E8" i="10" s="1"/>
  <c r="B7" i="10"/>
  <c r="E7" i="10" s="1"/>
  <c r="B6" i="10"/>
  <c r="E6" i="10" s="1"/>
  <c r="B5" i="10"/>
  <c r="E5" i="10" s="1"/>
  <c r="B4" i="10"/>
  <c r="E4" i="10" s="1"/>
  <c r="B3" i="10"/>
  <c r="E3" i="10" s="1"/>
  <c r="J130" i="8"/>
  <c r="J131" i="8"/>
  <c r="J132" i="8"/>
  <c r="J133" i="8"/>
  <c r="J134" i="8"/>
  <c r="J135" i="8"/>
  <c r="J136" i="8"/>
  <c r="J129" i="8"/>
  <c r="J100" i="8"/>
  <c r="J101" i="8"/>
  <c r="J102" i="8"/>
  <c r="J103" i="8"/>
  <c r="J104" i="8"/>
  <c r="J105" i="8"/>
  <c r="J106" i="8"/>
  <c r="J107" i="8"/>
  <c r="J108" i="8"/>
  <c r="J109" i="8"/>
  <c r="J110" i="8"/>
  <c r="J111" i="8"/>
  <c r="J112" i="8"/>
  <c r="J99" i="8"/>
  <c r="I187" i="8" l="1"/>
  <c r="I188" i="8"/>
  <c r="I189" i="8"/>
  <c r="I186" i="6"/>
  <c r="I187" i="6"/>
  <c r="I188" i="6"/>
  <c r="I186" i="4"/>
  <c r="I187" i="4"/>
  <c r="I188" i="4"/>
  <c r="I186" i="3"/>
  <c r="I187" i="3"/>
  <c r="I188" i="3"/>
  <c r="I186" i="5"/>
  <c r="I187" i="5"/>
  <c r="I188" i="5"/>
  <c r="I186" i="2"/>
  <c r="I188" i="2"/>
  <c r="B188" i="9"/>
  <c r="E188" i="9" s="1"/>
  <c r="B187" i="9"/>
  <c r="E187" i="9" s="1"/>
  <c r="B186" i="9"/>
  <c r="E186" i="9" s="1"/>
  <c r="B185" i="9"/>
  <c r="E185" i="9" s="1"/>
  <c r="B184" i="9"/>
  <c r="E184" i="9" s="1"/>
  <c r="B183" i="9"/>
  <c r="E183" i="9" s="1"/>
  <c r="B182" i="9"/>
  <c r="E182" i="9" s="1"/>
  <c r="B181" i="9"/>
  <c r="E181" i="9" s="1"/>
  <c r="B180" i="9"/>
  <c r="E180" i="9" s="1"/>
  <c r="B179" i="9"/>
  <c r="E179" i="9" s="1"/>
  <c r="B160" i="9"/>
  <c r="E160" i="9" s="1"/>
  <c r="B159" i="9"/>
  <c r="E159" i="9" s="1"/>
  <c r="B158" i="9"/>
  <c r="E158" i="9" s="1"/>
  <c r="B157" i="9"/>
  <c r="E157" i="9" s="1"/>
  <c r="B156" i="9"/>
  <c r="E156" i="9" s="1"/>
  <c r="B155" i="9"/>
  <c r="E155" i="9" s="1"/>
  <c r="B154" i="9"/>
  <c r="E154" i="9" s="1"/>
  <c r="B153" i="9"/>
  <c r="E153" i="9" s="1"/>
  <c r="B152" i="9"/>
  <c r="E152" i="9" s="1"/>
  <c r="B151" i="9"/>
  <c r="E151" i="9" s="1"/>
  <c r="B150" i="9"/>
  <c r="E150" i="9" s="1"/>
  <c r="B149" i="9"/>
  <c r="E149" i="9" s="1"/>
  <c r="B148" i="9"/>
  <c r="E148" i="9" s="1"/>
  <c r="B147" i="9"/>
  <c r="E147" i="9" s="1"/>
  <c r="B146" i="9"/>
  <c r="E146" i="9" s="1"/>
  <c r="B145" i="9"/>
  <c r="E145" i="9" s="1"/>
  <c r="B144" i="9"/>
  <c r="E144" i="9" s="1"/>
  <c r="B143" i="9"/>
  <c r="E143" i="9" s="1"/>
  <c r="B142" i="9"/>
  <c r="E142" i="9" s="1"/>
  <c r="B141" i="9"/>
  <c r="E141" i="9" s="1"/>
  <c r="B140" i="9"/>
  <c r="E140" i="9" s="1"/>
  <c r="B139" i="9"/>
  <c r="E139" i="9" s="1"/>
  <c r="B138" i="9"/>
  <c r="E138" i="9" s="1"/>
  <c r="B137" i="9"/>
  <c r="E137" i="9" s="1"/>
  <c r="B136" i="9"/>
  <c r="E136" i="9" s="1"/>
  <c r="B135" i="9"/>
  <c r="E135" i="9" s="1"/>
  <c r="B134" i="9"/>
  <c r="E134" i="9" s="1"/>
  <c r="B133" i="9"/>
  <c r="E133" i="9" s="1"/>
  <c r="B132" i="9"/>
  <c r="E132" i="9" s="1"/>
  <c r="B131" i="9"/>
  <c r="E131" i="9" s="1"/>
  <c r="B130" i="9"/>
  <c r="E130" i="9" s="1"/>
  <c r="B129" i="9"/>
  <c r="E129" i="9" s="1"/>
  <c r="B128" i="9"/>
  <c r="E128" i="9" s="1"/>
  <c r="B127" i="9"/>
  <c r="E127" i="9" s="1"/>
  <c r="B126" i="9"/>
  <c r="E126" i="9" s="1"/>
  <c r="B125" i="9"/>
  <c r="E125" i="9" s="1"/>
  <c r="B124" i="9"/>
  <c r="E124" i="9" s="1"/>
  <c r="B123" i="9"/>
  <c r="E123" i="9" s="1"/>
  <c r="B122" i="9"/>
  <c r="E122" i="9" s="1"/>
  <c r="B121" i="9"/>
  <c r="E121" i="9" s="1"/>
  <c r="B120" i="9"/>
  <c r="E120" i="9" s="1"/>
  <c r="B119" i="9"/>
  <c r="E119" i="9" s="1"/>
  <c r="B118" i="9"/>
  <c r="E118" i="9" s="1"/>
  <c r="B117" i="9"/>
  <c r="E117" i="9" s="1"/>
  <c r="B116" i="9"/>
  <c r="E116" i="9" s="1"/>
  <c r="B115" i="9"/>
  <c r="E115" i="9" s="1"/>
  <c r="B114" i="9"/>
  <c r="E114" i="9" s="1"/>
  <c r="B113" i="9"/>
  <c r="E113" i="9" s="1"/>
  <c r="B112" i="9"/>
  <c r="E112" i="9" s="1"/>
  <c r="B111" i="9"/>
  <c r="E111" i="9" s="1"/>
  <c r="B110" i="9"/>
  <c r="E110" i="9" s="1"/>
  <c r="B109" i="9"/>
  <c r="E109" i="9" s="1"/>
  <c r="B108" i="9"/>
  <c r="E108" i="9" s="1"/>
  <c r="B107" i="9"/>
  <c r="E107" i="9" s="1"/>
  <c r="B106" i="9"/>
  <c r="E106" i="9" s="1"/>
  <c r="B105" i="9"/>
  <c r="E105" i="9" s="1"/>
  <c r="B104" i="9"/>
  <c r="E104" i="9" s="1"/>
  <c r="B103" i="9"/>
  <c r="E103" i="9" s="1"/>
  <c r="B102" i="9"/>
  <c r="E102" i="9" s="1"/>
  <c r="B101" i="9"/>
  <c r="E101" i="9" s="1"/>
  <c r="B100" i="9"/>
  <c r="E100" i="9" s="1"/>
  <c r="B99" i="9"/>
  <c r="E99" i="9" s="1"/>
  <c r="B80" i="9"/>
  <c r="E80" i="9" s="1"/>
  <c r="B79" i="9"/>
  <c r="E79" i="9" s="1"/>
  <c r="B78" i="9"/>
  <c r="E78" i="9" s="1"/>
  <c r="B77" i="9"/>
  <c r="E77" i="9" s="1"/>
  <c r="B76" i="9"/>
  <c r="E76" i="9" s="1"/>
  <c r="B75" i="9"/>
  <c r="E75" i="9" s="1"/>
  <c r="B74" i="9"/>
  <c r="E74" i="9" s="1"/>
  <c r="B73" i="9"/>
  <c r="E73" i="9" s="1"/>
  <c r="B72" i="9"/>
  <c r="E72" i="9" s="1"/>
  <c r="B71" i="9"/>
  <c r="E71" i="9" s="1"/>
  <c r="B70" i="9"/>
  <c r="E70" i="9" s="1"/>
  <c r="B69" i="9"/>
  <c r="E69" i="9" s="1"/>
  <c r="B68" i="9"/>
  <c r="E68" i="9" s="1"/>
  <c r="B67" i="9"/>
  <c r="E67" i="9" s="1"/>
  <c r="B66" i="9"/>
  <c r="E66" i="9" s="1"/>
  <c r="B65" i="9"/>
  <c r="E65" i="9" s="1"/>
  <c r="B64" i="9"/>
  <c r="E64" i="9" s="1"/>
  <c r="B63" i="9"/>
  <c r="E63" i="9" s="1"/>
  <c r="B62" i="9"/>
  <c r="E62" i="9" s="1"/>
  <c r="B61" i="9"/>
  <c r="E61" i="9" s="1"/>
  <c r="B60" i="9"/>
  <c r="E60" i="9" s="1"/>
  <c r="B59" i="9"/>
  <c r="E59" i="9" s="1"/>
  <c r="B58" i="9"/>
  <c r="E58" i="9" s="1"/>
  <c r="B57" i="9"/>
  <c r="E57" i="9" s="1"/>
  <c r="B56" i="9"/>
  <c r="E56" i="9" s="1"/>
  <c r="B55" i="9"/>
  <c r="E55" i="9" s="1"/>
  <c r="B54" i="9"/>
  <c r="E54" i="9" s="1"/>
  <c r="B53" i="9"/>
  <c r="E53" i="9" s="1"/>
  <c r="B52" i="9"/>
  <c r="E52" i="9" s="1"/>
  <c r="B51" i="9"/>
  <c r="E51" i="9" s="1"/>
  <c r="B50" i="9"/>
  <c r="E50" i="9" s="1"/>
  <c r="B49" i="9"/>
  <c r="E49" i="9" s="1"/>
  <c r="B48" i="9"/>
  <c r="E48" i="9" s="1"/>
  <c r="B47" i="9"/>
  <c r="E47" i="9" s="1"/>
  <c r="B46" i="9"/>
  <c r="E46" i="9" s="1"/>
  <c r="B45" i="9"/>
  <c r="E45" i="9" s="1"/>
  <c r="B44" i="9"/>
  <c r="E44" i="9" s="1"/>
  <c r="B43" i="9"/>
  <c r="E43" i="9" s="1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E26" i="9" s="1"/>
  <c r="B25" i="9"/>
  <c r="E25" i="9" s="1"/>
  <c r="B24" i="9"/>
  <c r="E24" i="9" s="1"/>
  <c r="B23" i="9"/>
  <c r="E23" i="9" s="1"/>
  <c r="B22" i="9"/>
  <c r="E22" i="9" s="1"/>
  <c r="B21" i="9"/>
  <c r="E21" i="9" s="1"/>
  <c r="B20" i="9"/>
  <c r="E20" i="9" s="1"/>
  <c r="B19" i="9"/>
  <c r="E19" i="9" s="1"/>
  <c r="B18" i="9"/>
  <c r="E18" i="9" s="1"/>
  <c r="B17" i="9"/>
  <c r="E17" i="9" s="1"/>
  <c r="B16" i="9"/>
  <c r="E16" i="9" s="1"/>
  <c r="B15" i="9"/>
  <c r="E15" i="9" s="1"/>
  <c r="B14" i="9"/>
  <c r="E14" i="9" s="1"/>
  <c r="B13" i="9"/>
  <c r="E13" i="9" s="1"/>
  <c r="B12" i="9"/>
  <c r="E12" i="9" s="1"/>
  <c r="B11" i="9"/>
  <c r="E11" i="9" s="1"/>
  <c r="B10" i="9"/>
  <c r="E10" i="9" s="1"/>
  <c r="B9" i="9"/>
  <c r="E9" i="9" s="1"/>
  <c r="B8" i="9"/>
  <c r="E8" i="9" s="1"/>
  <c r="B7" i="9"/>
  <c r="E7" i="9" s="1"/>
  <c r="B6" i="9"/>
  <c r="E6" i="9" s="1"/>
  <c r="B5" i="9"/>
  <c r="E5" i="9" s="1"/>
  <c r="B4" i="9"/>
  <c r="E4" i="9" s="1"/>
  <c r="B3" i="9"/>
  <c r="E3" i="9" s="1"/>
  <c r="B189" i="8"/>
  <c r="E189" i="8" s="1"/>
  <c r="B188" i="8"/>
  <c r="E188" i="8" s="1"/>
  <c r="B187" i="8"/>
  <c r="E187" i="8" s="1"/>
  <c r="B186" i="8"/>
  <c r="E186" i="8" s="1"/>
  <c r="B185" i="8"/>
  <c r="E185" i="8" s="1"/>
  <c r="B184" i="8"/>
  <c r="E184" i="8" s="1"/>
  <c r="B183" i="8"/>
  <c r="E183" i="8" s="1"/>
  <c r="B182" i="8"/>
  <c r="E182" i="8" s="1"/>
  <c r="B181" i="8"/>
  <c r="E181" i="8" s="1"/>
  <c r="B180" i="8"/>
  <c r="E180" i="8" s="1"/>
  <c r="B160" i="8"/>
  <c r="E160" i="8" s="1"/>
  <c r="B159" i="8"/>
  <c r="E159" i="8" s="1"/>
  <c r="B158" i="8"/>
  <c r="E158" i="8" s="1"/>
  <c r="B157" i="8"/>
  <c r="E157" i="8" s="1"/>
  <c r="B156" i="8"/>
  <c r="E156" i="8" s="1"/>
  <c r="B155" i="8"/>
  <c r="E155" i="8" s="1"/>
  <c r="B154" i="8"/>
  <c r="E154" i="8" s="1"/>
  <c r="B153" i="8"/>
  <c r="E153" i="8" s="1"/>
  <c r="B152" i="8"/>
  <c r="E152" i="8" s="1"/>
  <c r="B151" i="8"/>
  <c r="E151" i="8" s="1"/>
  <c r="B150" i="8"/>
  <c r="E150" i="8" s="1"/>
  <c r="B149" i="8"/>
  <c r="E149" i="8" s="1"/>
  <c r="B148" i="8"/>
  <c r="E148" i="8" s="1"/>
  <c r="B147" i="8"/>
  <c r="E147" i="8" s="1"/>
  <c r="B146" i="8"/>
  <c r="E146" i="8" s="1"/>
  <c r="B145" i="8"/>
  <c r="E145" i="8" s="1"/>
  <c r="B144" i="8"/>
  <c r="E144" i="8" s="1"/>
  <c r="B143" i="8"/>
  <c r="E143" i="8" s="1"/>
  <c r="B142" i="8"/>
  <c r="E142" i="8" s="1"/>
  <c r="B141" i="8"/>
  <c r="E141" i="8" s="1"/>
  <c r="B140" i="8"/>
  <c r="E140" i="8" s="1"/>
  <c r="B139" i="8"/>
  <c r="E139" i="8" s="1"/>
  <c r="B138" i="8"/>
  <c r="E138" i="8" s="1"/>
  <c r="B137" i="8"/>
  <c r="E137" i="8" s="1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E122" i="8" s="1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80" i="8"/>
  <c r="E80" i="8" s="1"/>
  <c r="B79" i="8"/>
  <c r="E79" i="8" s="1"/>
  <c r="B78" i="8"/>
  <c r="E78" i="8" s="1"/>
  <c r="B77" i="8"/>
  <c r="E77" i="8" s="1"/>
  <c r="B76" i="8"/>
  <c r="E76" i="8" s="1"/>
  <c r="B75" i="8"/>
  <c r="E75" i="8" s="1"/>
  <c r="B74" i="8"/>
  <c r="E74" i="8" s="1"/>
  <c r="B73" i="8"/>
  <c r="E73" i="8" s="1"/>
  <c r="B72" i="8"/>
  <c r="E72" i="8" s="1"/>
  <c r="B71" i="8"/>
  <c r="E71" i="8" s="1"/>
  <c r="B70" i="8"/>
  <c r="E70" i="8" s="1"/>
  <c r="B69" i="8"/>
  <c r="E69" i="8" s="1"/>
  <c r="B68" i="8"/>
  <c r="E68" i="8" s="1"/>
  <c r="B67" i="8"/>
  <c r="E67" i="8" s="1"/>
  <c r="B66" i="8"/>
  <c r="E66" i="8" s="1"/>
  <c r="B65" i="8"/>
  <c r="E65" i="8" s="1"/>
  <c r="B64" i="8"/>
  <c r="E64" i="8" s="1"/>
  <c r="B63" i="8"/>
  <c r="E63" i="8" s="1"/>
  <c r="B62" i="8"/>
  <c r="E62" i="8" s="1"/>
  <c r="B61" i="8"/>
  <c r="E61" i="8" s="1"/>
  <c r="B60" i="8"/>
  <c r="E60" i="8" s="1"/>
  <c r="B59" i="8"/>
  <c r="E59" i="8" s="1"/>
  <c r="B58" i="8"/>
  <c r="E58" i="8" s="1"/>
  <c r="B57" i="8"/>
  <c r="E57" i="8" s="1"/>
  <c r="B56" i="8"/>
  <c r="E56" i="8" s="1"/>
  <c r="B55" i="8"/>
  <c r="E55" i="8" s="1"/>
  <c r="B54" i="8"/>
  <c r="E54" i="8" s="1"/>
  <c r="B53" i="8"/>
  <c r="E53" i="8" s="1"/>
  <c r="B52" i="8"/>
  <c r="E52" i="8" s="1"/>
  <c r="B51" i="8"/>
  <c r="E51" i="8" s="1"/>
  <c r="B50" i="8"/>
  <c r="E50" i="8" s="1"/>
  <c r="B49" i="8"/>
  <c r="E49" i="8" s="1"/>
  <c r="B48" i="8"/>
  <c r="E48" i="8" s="1"/>
  <c r="B47" i="8"/>
  <c r="E47" i="8" s="1"/>
  <c r="B46" i="8"/>
  <c r="E46" i="8" s="1"/>
  <c r="B45" i="8"/>
  <c r="E45" i="8" s="1"/>
  <c r="B44" i="8"/>
  <c r="E44" i="8" s="1"/>
  <c r="B43" i="8"/>
  <c r="E43" i="8" s="1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E26" i="8" s="1"/>
  <c r="B25" i="8"/>
  <c r="E25" i="8" s="1"/>
  <c r="B24" i="8"/>
  <c r="E24" i="8" s="1"/>
  <c r="B23" i="8"/>
  <c r="E23" i="8" s="1"/>
  <c r="B22" i="8"/>
  <c r="E22" i="8" s="1"/>
  <c r="B21" i="8"/>
  <c r="E21" i="8" s="1"/>
  <c r="B20" i="8"/>
  <c r="E20" i="8" s="1"/>
  <c r="B19" i="8"/>
  <c r="E19" i="8" s="1"/>
  <c r="B18" i="8"/>
  <c r="E18" i="8" s="1"/>
  <c r="B17" i="8"/>
  <c r="E17" i="8" s="1"/>
  <c r="B16" i="8"/>
  <c r="E16" i="8" s="1"/>
  <c r="B15" i="8"/>
  <c r="E15" i="8" s="1"/>
  <c r="B14" i="8"/>
  <c r="E14" i="8" s="1"/>
  <c r="B13" i="8"/>
  <c r="E13" i="8" s="1"/>
  <c r="B12" i="8"/>
  <c r="E12" i="8" s="1"/>
  <c r="B11" i="8"/>
  <c r="E11" i="8" s="1"/>
  <c r="B10" i="8"/>
  <c r="E10" i="8" s="1"/>
  <c r="B9" i="8"/>
  <c r="E9" i="8" s="1"/>
  <c r="B8" i="8"/>
  <c r="E8" i="8" s="1"/>
  <c r="B7" i="8"/>
  <c r="E7" i="8" s="1"/>
  <c r="B6" i="8"/>
  <c r="E6" i="8" s="1"/>
  <c r="B5" i="8"/>
  <c r="E5" i="8" s="1"/>
  <c r="B4" i="8"/>
  <c r="E4" i="8" s="1"/>
  <c r="B3" i="8"/>
  <c r="E3" i="8" s="1"/>
  <c r="B188" i="6"/>
  <c r="E188" i="6" s="1"/>
  <c r="B187" i="6"/>
  <c r="E187" i="6" s="1"/>
  <c r="B186" i="6"/>
  <c r="E186" i="6" s="1"/>
  <c r="B185" i="6"/>
  <c r="B184" i="6"/>
  <c r="B183" i="6"/>
  <c r="B182" i="6"/>
  <c r="B181" i="6"/>
  <c r="B180" i="6"/>
  <c r="B179" i="6"/>
  <c r="B160" i="6"/>
  <c r="B159" i="6"/>
  <c r="B158" i="6"/>
  <c r="B157" i="6"/>
  <c r="B156" i="6"/>
  <c r="B155" i="6"/>
  <c r="B154" i="6"/>
  <c r="B153" i="6"/>
  <c r="B152" i="6"/>
  <c r="B151" i="6"/>
  <c r="B150" i="6"/>
  <c r="B149" i="6"/>
  <c r="B148" i="6"/>
  <c r="B147" i="6"/>
  <c r="B146" i="6"/>
  <c r="B145" i="6"/>
  <c r="B144" i="6"/>
  <c r="B143" i="6"/>
  <c r="B142" i="6"/>
  <c r="B141" i="6"/>
  <c r="B140" i="6"/>
  <c r="B139" i="6"/>
  <c r="B138" i="6"/>
  <c r="B137" i="6"/>
  <c r="B136" i="6"/>
  <c r="B135" i="6"/>
  <c r="B134" i="6"/>
  <c r="B133" i="6"/>
  <c r="B132" i="6"/>
  <c r="B131" i="6"/>
  <c r="B130" i="6"/>
  <c r="B129" i="6"/>
  <c r="B128" i="6"/>
  <c r="B127" i="6"/>
  <c r="B126" i="6"/>
  <c r="B125" i="6"/>
  <c r="B124" i="6"/>
  <c r="B123" i="6"/>
  <c r="B122" i="6"/>
  <c r="B121" i="6"/>
  <c r="B120" i="6"/>
  <c r="B119" i="6"/>
  <c r="B118" i="6"/>
  <c r="B117" i="6"/>
  <c r="B116" i="6"/>
  <c r="B115" i="6"/>
  <c r="B114" i="6"/>
  <c r="B113" i="6"/>
  <c r="B112" i="6"/>
  <c r="B111" i="6"/>
  <c r="B110" i="6"/>
  <c r="B109" i="6"/>
  <c r="B108" i="6"/>
  <c r="B107" i="6"/>
  <c r="B106" i="6"/>
  <c r="B105" i="6"/>
  <c r="B104" i="6"/>
  <c r="B103" i="6"/>
  <c r="B102" i="6"/>
  <c r="B101" i="6"/>
  <c r="B100" i="6"/>
  <c r="B99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188" i="4"/>
  <c r="E188" i="4" s="1"/>
  <c r="B187" i="4"/>
  <c r="E187" i="4" s="1"/>
  <c r="B186" i="4"/>
  <c r="E186" i="4" s="1"/>
  <c r="B185" i="4"/>
  <c r="B184" i="4"/>
  <c r="B183" i="4"/>
  <c r="B182" i="4"/>
  <c r="B181" i="4"/>
  <c r="B180" i="4"/>
  <c r="B179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F130" i="4" s="1"/>
  <c r="B129" i="4"/>
  <c r="F129" i="4" s="1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F112" i="4" s="1"/>
  <c r="B111" i="4"/>
  <c r="F111" i="4" s="1"/>
  <c r="B110" i="4"/>
  <c r="F110" i="4" s="1"/>
  <c r="B109" i="4"/>
  <c r="F109" i="4" s="1"/>
  <c r="B108" i="4"/>
  <c r="F108" i="4" s="1"/>
  <c r="B107" i="4"/>
  <c r="F107" i="4" s="1"/>
  <c r="B106" i="4"/>
  <c r="F106" i="4" s="1"/>
  <c r="B105" i="4"/>
  <c r="F105" i="4" s="1"/>
  <c r="B104" i="4"/>
  <c r="F104" i="4" s="1"/>
  <c r="B103" i="4"/>
  <c r="F103" i="4" s="1"/>
  <c r="B102" i="4"/>
  <c r="F102" i="4" s="1"/>
  <c r="B101" i="4"/>
  <c r="F101" i="4" s="1"/>
  <c r="B100" i="4"/>
  <c r="F100" i="4" s="1"/>
  <c r="B99" i="4"/>
  <c r="F99" i="4" s="1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H42" i="4" s="1"/>
  <c r="B41" i="4"/>
  <c r="H41" i="4" s="1"/>
  <c r="B40" i="4"/>
  <c r="H40" i="4" s="1"/>
  <c r="B39" i="4"/>
  <c r="H39" i="4" s="1"/>
  <c r="B38" i="4"/>
  <c r="H38" i="4" s="1"/>
  <c r="B37" i="4"/>
  <c r="H37" i="4" s="1"/>
  <c r="B36" i="4"/>
  <c r="H36" i="4" s="1"/>
  <c r="B35" i="4"/>
  <c r="H35" i="4" s="1"/>
  <c r="B34" i="4"/>
  <c r="H34" i="4" s="1"/>
  <c r="B33" i="4"/>
  <c r="H33" i="4" s="1"/>
  <c r="B32" i="4"/>
  <c r="H32" i="4" s="1"/>
  <c r="B31" i="4"/>
  <c r="H31" i="4" s="1"/>
  <c r="B30" i="4"/>
  <c r="H30" i="4" s="1"/>
  <c r="B29" i="4"/>
  <c r="H29" i="4" s="1"/>
  <c r="B28" i="4"/>
  <c r="H28" i="4" s="1"/>
  <c r="B27" i="4"/>
  <c r="H27" i="4" s="1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188" i="3"/>
  <c r="E188" i="3" s="1"/>
  <c r="B187" i="3"/>
  <c r="E187" i="3" s="1"/>
  <c r="B186" i="3"/>
  <c r="E186" i="3" s="1"/>
  <c r="B185" i="3"/>
  <c r="B184" i="3"/>
  <c r="B183" i="3"/>
  <c r="B182" i="3"/>
  <c r="B181" i="3"/>
  <c r="B180" i="3"/>
  <c r="B179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H42" i="3" s="1"/>
  <c r="B41" i="3"/>
  <c r="H41" i="3" s="1"/>
  <c r="B40" i="3"/>
  <c r="H40" i="3" s="1"/>
  <c r="B39" i="3"/>
  <c r="H39" i="3" s="1"/>
  <c r="B38" i="3"/>
  <c r="H38" i="3" s="1"/>
  <c r="B37" i="3"/>
  <c r="H37" i="3" s="1"/>
  <c r="B36" i="3"/>
  <c r="H36" i="3" s="1"/>
  <c r="B35" i="3"/>
  <c r="H35" i="3" s="1"/>
  <c r="B34" i="3"/>
  <c r="H34" i="3" s="1"/>
  <c r="B33" i="3"/>
  <c r="H33" i="3" s="1"/>
  <c r="B32" i="3"/>
  <c r="H32" i="3" s="1"/>
  <c r="B31" i="3"/>
  <c r="H31" i="3" s="1"/>
  <c r="B30" i="3"/>
  <c r="H30" i="3" s="1"/>
  <c r="B29" i="3"/>
  <c r="H29" i="3" s="1"/>
  <c r="B28" i="3"/>
  <c r="H28" i="3" s="1"/>
  <c r="B27" i="3"/>
  <c r="H27" i="3" s="1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188" i="5"/>
  <c r="B187" i="5"/>
  <c r="B186" i="5"/>
  <c r="B185" i="5"/>
  <c r="B184" i="5"/>
  <c r="B183" i="5"/>
  <c r="B182" i="5"/>
  <c r="B181" i="5"/>
  <c r="B180" i="5"/>
  <c r="B179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H128" i="5" s="1"/>
  <c r="B127" i="5"/>
  <c r="H127" i="5" s="1"/>
  <c r="B126" i="5"/>
  <c r="H126" i="5" s="1"/>
  <c r="B125" i="5"/>
  <c r="H125" i="5" s="1"/>
  <c r="B124" i="5"/>
  <c r="H124" i="5" s="1"/>
  <c r="B123" i="5"/>
  <c r="H123" i="5" s="1"/>
  <c r="B122" i="5"/>
  <c r="H122" i="5" s="1"/>
  <c r="B121" i="5"/>
  <c r="H121" i="5" s="1"/>
  <c r="B120" i="5"/>
  <c r="H120" i="5" s="1"/>
  <c r="B119" i="5"/>
  <c r="H119" i="5" s="1"/>
  <c r="B118" i="5"/>
  <c r="H118" i="5" s="1"/>
  <c r="B117" i="5"/>
  <c r="H117" i="5" s="1"/>
  <c r="B116" i="5"/>
  <c r="H116" i="5" s="1"/>
  <c r="B115" i="5"/>
  <c r="H115" i="5" s="1"/>
  <c r="B114" i="5"/>
  <c r="H114" i="5" s="1"/>
  <c r="B113" i="5"/>
  <c r="H113" i="5" s="1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H42" i="5" s="1"/>
  <c r="B41" i="5"/>
  <c r="H41" i="5" s="1"/>
  <c r="B40" i="5"/>
  <c r="H40" i="5" s="1"/>
  <c r="B39" i="5"/>
  <c r="H39" i="5" s="1"/>
  <c r="B38" i="5"/>
  <c r="H38" i="5" s="1"/>
  <c r="B37" i="5"/>
  <c r="H37" i="5" s="1"/>
  <c r="B36" i="5"/>
  <c r="H36" i="5" s="1"/>
  <c r="B35" i="5"/>
  <c r="H35" i="5" s="1"/>
  <c r="B34" i="5"/>
  <c r="H34" i="5" s="1"/>
  <c r="B33" i="5"/>
  <c r="H33" i="5" s="1"/>
  <c r="B32" i="5"/>
  <c r="H32" i="5" s="1"/>
  <c r="B31" i="5"/>
  <c r="H31" i="5" s="1"/>
  <c r="B30" i="5"/>
  <c r="H30" i="5" s="1"/>
  <c r="B29" i="5"/>
  <c r="H29" i="5" s="1"/>
  <c r="B28" i="5"/>
  <c r="H28" i="5" s="1"/>
  <c r="B27" i="5"/>
  <c r="H27" i="5" s="1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188" i="2"/>
  <c r="E188" i="2" s="1"/>
  <c r="B187" i="2"/>
  <c r="B186" i="2"/>
  <c r="B185" i="2"/>
  <c r="B184" i="2"/>
  <c r="B183" i="2"/>
  <c r="B182" i="2"/>
  <c r="B181" i="2"/>
  <c r="B180" i="2"/>
  <c r="B179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186" i="1"/>
  <c r="B187" i="1"/>
  <c r="B188" i="1"/>
  <c r="D188" i="1" s="1"/>
  <c r="F186" i="1" l="1"/>
  <c r="G186" i="1"/>
  <c r="D186" i="1"/>
  <c r="D187" i="1"/>
  <c r="H30" i="9"/>
  <c r="E30" i="9"/>
  <c r="H34" i="9"/>
  <c r="E34" i="9"/>
  <c r="H38" i="9"/>
  <c r="E38" i="9"/>
  <c r="H42" i="9"/>
  <c r="E42" i="9"/>
  <c r="H27" i="9"/>
  <c r="E27" i="9"/>
  <c r="H31" i="9"/>
  <c r="E31" i="9"/>
  <c r="H35" i="9"/>
  <c r="E35" i="9"/>
  <c r="H39" i="9"/>
  <c r="E39" i="9"/>
  <c r="E28" i="9"/>
  <c r="H28" i="9"/>
  <c r="E32" i="9"/>
  <c r="H32" i="9"/>
  <c r="E36" i="9"/>
  <c r="H36" i="9"/>
  <c r="E40" i="9"/>
  <c r="H40" i="9"/>
  <c r="E29" i="9"/>
  <c r="H29" i="9"/>
  <c r="E33" i="9"/>
  <c r="H33" i="9"/>
  <c r="E37" i="9"/>
  <c r="H37" i="9"/>
  <c r="H41" i="9"/>
  <c r="E41" i="9"/>
  <c r="E30" i="8"/>
  <c r="H30" i="8"/>
  <c r="E38" i="8"/>
  <c r="H38" i="8"/>
  <c r="E31" i="8"/>
  <c r="H31" i="8"/>
  <c r="E39" i="8"/>
  <c r="H39" i="8"/>
  <c r="E29" i="8"/>
  <c r="H29" i="8"/>
  <c r="E37" i="8"/>
  <c r="H37" i="8"/>
  <c r="E32" i="8"/>
  <c r="H32" i="8"/>
  <c r="E40" i="8"/>
  <c r="H40" i="8"/>
  <c r="E28" i="8"/>
  <c r="H28" i="8"/>
  <c r="E36" i="8"/>
  <c r="H36" i="8"/>
  <c r="E33" i="8"/>
  <c r="H33" i="8"/>
  <c r="E41" i="8"/>
  <c r="H41" i="8"/>
  <c r="E34" i="8"/>
  <c r="H34" i="8"/>
  <c r="E42" i="8"/>
  <c r="H42" i="8"/>
  <c r="E27" i="8"/>
  <c r="H27" i="8"/>
  <c r="E35" i="8"/>
  <c r="H35" i="8"/>
  <c r="F104" i="8"/>
  <c r="E104" i="8"/>
  <c r="H120" i="8"/>
  <c r="E120" i="8"/>
  <c r="H128" i="8"/>
  <c r="E128" i="8"/>
  <c r="E105" i="8"/>
  <c r="F105" i="8"/>
  <c r="H113" i="8"/>
  <c r="E113" i="8"/>
  <c r="H121" i="8"/>
  <c r="E121" i="8"/>
  <c r="E129" i="8"/>
  <c r="F129" i="8"/>
  <c r="F106" i="8"/>
  <c r="E106" i="8"/>
  <c r="H114" i="8"/>
  <c r="E114" i="8"/>
  <c r="E130" i="8"/>
  <c r="F130" i="8"/>
  <c r="E112" i="8"/>
  <c r="F112" i="8"/>
  <c r="E136" i="8"/>
  <c r="F136" i="8"/>
  <c r="F99" i="8"/>
  <c r="E99" i="8"/>
  <c r="E107" i="8"/>
  <c r="F107" i="8"/>
  <c r="H115" i="8"/>
  <c r="E115" i="8"/>
  <c r="H123" i="8"/>
  <c r="E123" i="8"/>
  <c r="F131" i="8"/>
  <c r="E131" i="8"/>
  <c r="E100" i="8"/>
  <c r="F100" i="8"/>
  <c r="E108" i="8"/>
  <c r="F108" i="8"/>
  <c r="H116" i="8"/>
  <c r="E116" i="8"/>
  <c r="H124" i="8"/>
  <c r="E124" i="8"/>
  <c r="E132" i="8"/>
  <c r="F132" i="8"/>
  <c r="E102" i="8"/>
  <c r="F102" i="8"/>
  <c r="E110" i="8"/>
  <c r="F110" i="8"/>
  <c r="H118" i="8"/>
  <c r="E118" i="8"/>
  <c r="H126" i="8"/>
  <c r="E126" i="8"/>
  <c r="F134" i="8"/>
  <c r="E134" i="8"/>
  <c r="F101" i="8"/>
  <c r="E101" i="8"/>
  <c r="E109" i="8"/>
  <c r="F109" i="8"/>
  <c r="H117" i="8"/>
  <c r="E117" i="8"/>
  <c r="H125" i="8"/>
  <c r="E125" i="8"/>
  <c r="E133" i="8"/>
  <c r="F133" i="8"/>
  <c r="F103" i="8"/>
  <c r="E103" i="8"/>
  <c r="F111" i="8"/>
  <c r="E111" i="8"/>
  <c r="H119" i="8"/>
  <c r="E119" i="8"/>
  <c r="H127" i="8"/>
  <c r="E127" i="8"/>
  <c r="F135" i="8"/>
  <c r="E135" i="8"/>
  <c r="H122" i="8"/>
  <c r="I185" i="2" l="1"/>
  <c r="I183" i="2"/>
  <c r="I179" i="2"/>
  <c r="I187" i="2"/>
  <c r="I184" i="2"/>
  <c r="I182" i="2"/>
  <c r="I181" i="2"/>
  <c r="I180" i="2"/>
  <c r="I130" i="2"/>
  <c r="I131" i="2"/>
  <c r="I132" i="2"/>
  <c r="I133" i="2"/>
  <c r="I134" i="2"/>
  <c r="I135" i="2"/>
  <c r="I136" i="2"/>
  <c r="I129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13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43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27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3" i="2"/>
  <c r="I114" i="5" l="1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13" i="5"/>
  <c r="I185" i="5"/>
  <c r="I184" i="5"/>
  <c r="I183" i="5"/>
  <c r="I182" i="5"/>
  <c r="I181" i="5"/>
  <c r="I180" i="5"/>
  <c r="I179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37" i="5"/>
  <c r="I130" i="5"/>
  <c r="I131" i="5"/>
  <c r="I132" i="5"/>
  <c r="I133" i="5"/>
  <c r="I134" i="5"/>
  <c r="I135" i="5"/>
  <c r="I136" i="5"/>
  <c r="I12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99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43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27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3" i="5"/>
  <c r="I185" i="6"/>
  <c r="I184" i="6"/>
  <c r="I183" i="6"/>
  <c r="I182" i="6"/>
  <c r="I181" i="6"/>
  <c r="I180" i="6"/>
  <c r="I179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186" i="8" l="1"/>
  <c r="I185" i="8"/>
  <c r="I184" i="8"/>
  <c r="I183" i="8"/>
  <c r="I182" i="8"/>
  <c r="I181" i="8"/>
  <c r="I180" i="8"/>
  <c r="I160" i="8"/>
  <c r="I159" i="8"/>
  <c r="I158" i="8"/>
  <c r="I157" i="8"/>
  <c r="I156" i="8"/>
  <c r="I155" i="8"/>
  <c r="I154" i="8"/>
  <c r="I153" i="8"/>
  <c r="I152" i="8"/>
  <c r="I151" i="8"/>
  <c r="I150" i="8"/>
  <c r="I149" i="8"/>
  <c r="I148" i="8"/>
  <c r="I147" i="8"/>
  <c r="I146" i="8"/>
  <c r="I145" i="8"/>
  <c r="I144" i="8"/>
  <c r="I143" i="8"/>
  <c r="I142" i="8"/>
  <c r="I141" i="8"/>
  <c r="I140" i="8"/>
  <c r="I139" i="8"/>
  <c r="I138" i="8"/>
  <c r="I137" i="8"/>
  <c r="I136" i="8"/>
  <c r="G136" i="8"/>
  <c r="I135" i="8"/>
  <c r="G135" i="8"/>
  <c r="I134" i="8"/>
  <c r="I133" i="8"/>
  <c r="G133" i="8"/>
  <c r="I132" i="8"/>
  <c r="G132" i="8"/>
  <c r="I131" i="8"/>
  <c r="G131" i="8"/>
  <c r="I130" i="8"/>
  <c r="G130" i="8"/>
  <c r="I129" i="8"/>
  <c r="G129" i="8"/>
  <c r="I128" i="8"/>
  <c r="I127" i="8"/>
  <c r="I126" i="8"/>
  <c r="I125" i="8"/>
  <c r="I124" i="8"/>
  <c r="I123" i="8"/>
  <c r="I122" i="8"/>
  <c r="I121" i="8"/>
  <c r="I120" i="8"/>
  <c r="I119" i="8"/>
  <c r="I118" i="8"/>
  <c r="I117" i="8"/>
  <c r="I116" i="8"/>
  <c r="I115" i="8"/>
  <c r="I114" i="8"/>
  <c r="I113" i="8"/>
  <c r="I112" i="8"/>
  <c r="G112" i="8"/>
  <c r="I111" i="8"/>
  <c r="G111" i="8"/>
  <c r="I110" i="8"/>
  <c r="I109" i="8"/>
  <c r="G109" i="8"/>
  <c r="I108" i="8"/>
  <c r="G108" i="8"/>
  <c r="I107" i="8"/>
  <c r="G107" i="8"/>
  <c r="I106" i="8"/>
  <c r="G106" i="8"/>
  <c r="I105" i="8"/>
  <c r="G105" i="8"/>
  <c r="I104" i="8"/>
  <c r="G104" i="8"/>
  <c r="I103" i="8"/>
  <c r="G103" i="8"/>
  <c r="I102" i="8"/>
  <c r="I101" i="8"/>
  <c r="G101" i="8"/>
  <c r="I100" i="8"/>
  <c r="G100" i="8"/>
  <c r="I99" i="8"/>
  <c r="G99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I3" i="8"/>
  <c r="H126" i="6"/>
  <c r="H118" i="6"/>
  <c r="G101" i="6"/>
  <c r="G109" i="6"/>
  <c r="G110" i="6"/>
  <c r="G132" i="6"/>
  <c r="G133" i="6"/>
  <c r="G134" i="6"/>
  <c r="F101" i="6"/>
  <c r="F103" i="6"/>
  <c r="F109" i="6"/>
  <c r="F110" i="6"/>
  <c r="F111" i="6"/>
  <c r="F133" i="6"/>
  <c r="F134" i="6"/>
  <c r="F135" i="6"/>
  <c r="E127" i="6"/>
  <c r="E135" i="6"/>
  <c r="E143" i="6"/>
  <c r="E159" i="6"/>
  <c r="E185" i="6"/>
  <c r="E184" i="6"/>
  <c r="E183" i="6"/>
  <c r="E182" i="6"/>
  <c r="E181" i="6"/>
  <c r="E180" i="6"/>
  <c r="E179" i="6"/>
  <c r="E160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2" i="6"/>
  <c r="E141" i="6"/>
  <c r="E140" i="6"/>
  <c r="E139" i="6"/>
  <c r="E138" i="6"/>
  <c r="E137" i="6"/>
  <c r="E136" i="6"/>
  <c r="G135" i="6"/>
  <c r="E134" i="6"/>
  <c r="E133" i="6"/>
  <c r="E132" i="6"/>
  <c r="G131" i="6"/>
  <c r="E130" i="6"/>
  <c r="E129" i="6"/>
  <c r="E128" i="6"/>
  <c r="H127" i="6"/>
  <c r="E126" i="6"/>
  <c r="E125" i="6"/>
  <c r="E124" i="6"/>
  <c r="H123" i="6"/>
  <c r="E122" i="6"/>
  <c r="E121" i="6"/>
  <c r="H120" i="6"/>
  <c r="H119" i="6"/>
  <c r="H117" i="6"/>
  <c r="H116" i="6"/>
  <c r="H115" i="6"/>
  <c r="H114" i="6"/>
  <c r="H113" i="6"/>
  <c r="F112" i="6"/>
  <c r="G111" i="6"/>
  <c r="G108" i="6"/>
  <c r="F107" i="6"/>
  <c r="F106" i="6"/>
  <c r="F105" i="6"/>
  <c r="F104" i="6"/>
  <c r="G103" i="6"/>
  <c r="F102" i="6"/>
  <c r="G100" i="6"/>
  <c r="G99" i="6"/>
  <c r="H42" i="6"/>
  <c r="H41" i="6"/>
  <c r="H40" i="6"/>
  <c r="H39" i="6"/>
  <c r="F188" i="1"/>
  <c r="E186" i="2"/>
  <c r="E187" i="2"/>
  <c r="F187" i="1" l="1"/>
  <c r="G102" i="8"/>
  <c r="G110" i="8"/>
  <c r="G134" i="8"/>
  <c r="G107" i="6"/>
  <c r="E131" i="6"/>
  <c r="F132" i="6"/>
  <c r="F108" i="6"/>
  <c r="F100" i="6"/>
  <c r="G130" i="6"/>
  <c r="G106" i="6"/>
  <c r="H121" i="6"/>
  <c r="H128" i="6"/>
  <c r="F131" i="6"/>
  <c r="F99" i="6"/>
  <c r="G129" i="6"/>
  <c r="G105" i="6"/>
  <c r="H122" i="6"/>
  <c r="E123" i="6"/>
  <c r="F130" i="6"/>
  <c r="G136" i="6"/>
  <c r="G112" i="6"/>
  <c r="G104" i="6"/>
  <c r="F129" i="6"/>
  <c r="H124" i="6"/>
  <c r="F136" i="6"/>
  <c r="G102" i="6"/>
  <c r="H125" i="6"/>
  <c r="D2" i="7"/>
  <c r="D3" i="7"/>
  <c r="D4" i="7"/>
  <c r="D5" i="7"/>
  <c r="D6" i="7"/>
  <c r="D1" i="7"/>
  <c r="B2" i="7"/>
  <c r="B3" i="7"/>
  <c r="B4" i="7"/>
  <c r="B5" i="7"/>
  <c r="B6" i="7"/>
  <c r="B7" i="7"/>
  <c r="B8" i="7"/>
  <c r="B1" i="7"/>
  <c r="C2" i="7"/>
  <c r="C3" i="7"/>
  <c r="C4" i="7"/>
  <c r="C5" i="7"/>
  <c r="C6" i="7"/>
  <c r="C7" i="7"/>
  <c r="C8" i="7"/>
  <c r="C1" i="7"/>
  <c r="B11" i="7"/>
  <c r="B12" i="7"/>
  <c r="B13" i="7"/>
  <c r="B14" i="7"/>
  <c r="B15" i="7"/>
  <c r="B16" i="7"/>
  <c r="B17" i="7"/>
  <c r="B18" i="7"/>
  <c r="B10" i="7"/>
  <c r="E25" i="1"/>
  <c r="E26" i="1"/>
  <c r="B13" i="1"/>
  <c r="G13" i="1" s="1"/>
  <c r="B14" i="1"/>
  <c r="G14" i="1" s="1"/>
  <c r="B15" i="1"/>
  <c r="G15" i="1" s="1"/>
  <c r="B16" i="1"/>
  <c r="G16" i="1" s="1"/>
  <c r="B17" i="1"/>
  <c r="G17" i="1" s="1"/>
  <c r="B18" i="1"/>
  <c r="G18" i="1" s="1"/>
  <c r="B19" i="1"/>
  <c r="G19" i="1" s="1"/>
  <c r="B20" i="1"/>
  <c r="G20" i="1" s="1"/>
  <c r="B21" i="1"/>
  <c r="G21" i="1" s="1"/>
  <c r="B22" i="1"/>
  <c r="G22" i="1" s="1"/>
  <c r="B23" i="1"/>
  <c r="G23" i="1" s="1"/>
  <c r="B24" i="1"/>
  <c r="G24" i="1" s="1"/>
  <c r="B25" i="1"/>
  <c r="G25" i="1" s="1"/>
  <c r="B26" i="1"/>
  <c r="G26" i="1" s="1"/>
  <c r="B27" i="1"/>
  <c r="G27" i="1" s="1"/>
  <c r="E17" i="1"/>
  <c r="E18" i="1"/>
  <c r="F17" i="1"/>
  <c r="I17" i="4"/>
  <c r="I18" i="4"/>
  <c r="I25" i="4"/>
  <c r="I26" i="4"/>
  <c r="E25" i="4"/>
  <c r="E26" i="4"/>
  <c r="E17" i="4"/>
  <c r="E18" i="4"/>
  <c r="I25" i="3"/>
  <c r="I26" i="3"/>
  <c r="I15" i="3"/>
  <c r="I16" i="3"/>
  <c r="I17" i="3"/>
  <c r="I18" i="3"/>
  <c r="E17" i="3"/>
  <c r="E18" i="3"/>
  <c r="E25" i="3"/>
  <c r="E26" i="3"/>
  <c r="E25" i="2"/>
  <c r="E26" i="2"/>
  <c r="E18" i="2"/>
  <c r="E17" i="2"/>
  <c r="D14" i="1" l="1"/>
  <c r="D23" i="1"/>
  <c r="D15" i="1"/>
  <c r="D21" i="1"/>
  <c r="D13" i="1"/>
  <c r="D20" i="1"/>
  <c r="D27" i="1"/>
  <c r="D26" i="1"/>
  <c r="D18" i="1"/>
  <c r="D22" i="1"/>
  <c r="D19" i="1"/>
  <c r="D25" i="1"/>
  <c r="D17" i="1"/>
  <c r="D24" i="1"/>
  <c r="D16" i="1"/>
  <c r="F25" i="1"/>
  <c r="F26" i="1"/>
  <c r="F18" i="1"/>
  <c r="I184" i="3"/>
  <c r="I182" i="3"/>
  <c r="I181" i="3"/>
  <c r="I180" i="3"/>
  <c r="I184" i="4"/>
  <c r="I182" i="4"/>
  <c r="I181" i="4"/>
  <c r="E185" i="4" l="1"/>
  <c r="I185" i="4"/>
  <c r="I183" i="4"/>
  <c r="I179" i="4"/>
  <c r="I140" i="4"/>
  <c r="I141" i="4"/>
  <c r="I142" i="4"/>
  <c r="I143" i="4"/>
  <c r="I144" i="4"/>
  <c r="I145" i="4"/>
  <c r="I146" i="4"/>
  <c r="I147" i="4"/>
  <c r="I148" i="4"/>
  <c r="I149" i="4"/>
  <c r="I150" i="4"/>
  <c r="I151" i="4"/>
  <c r="I152" i="4"/>
  <c r="I153" i="4"/>
  <c r="I154" i="4"/>
  <c r="I155" i="4"/>
  <c r="I156" i="4"/>
  <c r="I157" i="4"/>
  <c r="I158" i="4"/>
  <c r="I159" i="4"/>
  <c r="I160" i="4"/>
  <c r="I99" i="4"/>
  <c r="I100" i="4"/>
  <c r="I145" i="3"/>
  <c r="I146" i="3"/>
  <c r="I147" i="3"/>
  <c r="I148" i="3"/>
  <c r="I149" i="3"/>
  <c r="I150" i="3"/>
  <c r="I151" i="3"/>
  <c r="I152" i="3"/>
  <c r="I153" i="3"/>
  <c r="I154" i="3"/>
  <c r="I129" i="4"/>
  <c r="I130" i="4"/>
  <c r="I113" i="4"/>
  <c r="I114" i="4"/>
  <c r="H115" i="4"/>
  <c r="E181" i="4"/>
  <c r="E180" i="4"/>
  <c r="E179" i="4"/>
  <c r="E160" i="4"/>
  <c r="E159" i="4"/>
  <c r="E156" i="4"/>
  <c r="E152" i="4"/>
  <c r="E148" i="4"/>
  <c r="E146" i="4"/>
  <c r="E142" i="4"/>
  <c r="F138" i="4"/>
  <c r="F136" i="4"/>
  <c r="F131" i="4"/>
  <c r="E130" i="4"/>
  <c r="E128" i="4"/>
  <c r="H127" i="4"/>
  <c r="H126" i="4"/>
  <c r="H125" i="4"/>
  <c r="H124" i="4"/>
  <c r="H123" i="4"/>
  <c r="E122" i="4"/>
  <c r="H121" i="4"/>
  <c r="H120" i="4"/>
  <c r="H119" i="4"/>
  <c r="H118" i="4"/>
  <c r="H117" i="4"/>
  <c r="H116" i="4"/>
  <c r="H113" i="4"/>
  <c r="E99" i="4"/>
  <c r="E79" i="4"/>
  <c r="E76" i="4"/>
  <c r="E72" i="4"/>
  <c r="E71" i="4"/>
  <c r="E66" i="4"/>
  <c r="E65" i="4"/>
  <c r="E64" i="4"/>
  <c r="E62" i="4"/>
  <c r="E61" i="4"/>
  <c r="E60" i="4"/>
  <c r="E57" i="4"/>
  <c r="E56" i="4"/>
  <c r="E54" i="4"/>
  <c r="E52" i="4"/>
  <c r="E50" i="4"/>
  <c r="E49" i="4"/>
  <c r="E46" i="4"/>
  <c r="E38" i="4"/>
  <c r="E34" i="4"/>
  <c r="E32" i="4"/>
  <c r="E24" i="4"/>
  <c r="E23" i="4"/>
  <c r="E22" i="4"/>
  <c r="E19" i="4"/>
  <c r="E16" i="4"/>
  <c r="E14" i="4"/>
  <c r="E13" i="4"/>
  <c r="E9" i="4"/>
  <c r="E8" i="4"/>
  <c r="E6" i="4"/>
  <c r="E5" i="4"/>
  <c r="E4" i="4"/>
  <c r="I180" i="4"/>
  <c r="E158" i="4"/>
  <c r="E100" i="4"/>
  <c r="I80" i="4"/>
  <c r="E80" i="4"/>
  <c r="I79" i="4"/>
  <c r="I78" i="4"/>
  <c r="I77" i="4"/>
  <c r="I76" i="4"/>
  <c r="I75" i="4"/>
  <c r="I74" i="4"/>
  <c r="E74" i="4"/>
  <c r="I73" i="4"/>
  <c r="E73" i="4"/>
  <c r="I72" i="4"/>
  <c r="I71" i="4"/>
  <c r="I70" i="4"/>
  <c r="I69" i="4"/>
  <c r="I68" i="4"/>
  <c r="E68" i="4"/>
  <c r="I67" i="4"/>
  <c r="E7" i="4"/>
  <c r="E36" i="4"/>
  <c r="F132" i="4"/>
  <c r="E140" i="4"/>
  <c r="E43" i="4"/>
  <c r="E44" i="4"/>
  <c r="E48" i="4"/>
  <c r="I183" i="3"/>
  <c r="I185" i="3"/>
  <c r="E183" i="3"/>
  <c r="E184" i="3"/>
  <c r="E185" i="3"/>
  <c r="E160" i="3"/>
  <c r="E154" i="3"/>
  <c r="E146" i="3"/>
  <c r="E130" i="3"/>
  <c r="E122" i="3"/>
  <c r="E78" i="3"/>
  <c r="E62" i="3"/>
  <c r="E48" i="3"/>
  <c r="E46" i="3"/>
  <c r="E20" i="3"/>
  <c r="E10" i="3"/>
  <c r="E8" i="3"/>
  <c r="E6" i="3"/>
  <c r="E180" i="2"/>
  <c r="E181" i="2"/>
  <c r="E182" i="2"/>
  <c r="E183" i="2"/>
  <c r="E184" i="2"/>
  <c r="E185" i="2"/>
  <c r="E160" i="2"/>
  <c r="E80" i="2"/>
  <c r="E78" i="2"/>
  <c r="E77" i="2"/>
  <c r="E72" i="2"/>
  <c r="E69" i="2"/>
  <c r="E64" i="2"/>
  <c r="E61" i="2"/>
  <c r="E53" i="2"/>
  <c r="E48" i="2"/>
  <c r="E46" i="2"/>
  <c r="E45" i="2"/>
  <c r="E22" i="2"/>
  <c r="E19" i="2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B183" i="1"/>
  <c r="B184" i="1"/>
  <c r="B185" i="1"/>
  <c r="F20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99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44" i="1"/>
  <c r="E45" i="1"/>
  <c r="E46" i="1"/>
  <c r="E47" i="1"/>
  <c r="E48" i="1"/>
  <c r="E43" i="1"/>
  <c r="B182" i="1"/>
  <c r="B181" i="1"/>
  <c r="B180" i="1"/>
  <c r="B179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80" i="1"/>
  <c r="G80" i="1" s="1"/>
  <c r="B79" i="1"/>
  <c r="G79" i="1" s="1"/>
  <c r="B78" i="1"/>
  <c r="G78" i="1" s="1"/>
  <c r="B77" i="1"/>
  <c r="G77" i="1" s="1"/>
  <c r="B76" i="1"/>
  <c r="G76" i="1" s="1"/>
  <c r="B75" i="1"/>
  <c r="G75" i="1" s="1"/>
  <c r="B74" i="1"/>
  <c r="G74" i="1" s="1"/>
  <c r="B73" i="1"/>
  <c r="G73" i="1" s="1"/>
  <c r="B72" i="1"/>
  <c r="G72" i="1" s="1"/>
  <c r="B71" i="1"/>
  <c r="G71" i="1" s="1"/>
  <c r="B70" i="1"/>
  <c r="G70" i="1" s="1"/>
  <c r="B69" i="1"/>
  <c r="G69" i="1" s="1"/>
  <c r="B68" i="1"/>
  <c r="G68" i="1" s="1"/>
  <c r="B67" i="1"/>
  <c r="G67" i="1" s="1"/>
  <c r="B66" i="1"/>
  <c r="G66" i="1" s="1"/>
  <c r="B65" i="1"/>
  <c r="G65" i="1" s="1"/>
  <c r="B64" i="1"/>
  <c r="G64" i="1" s="1"/>
  <c r="B63" i="1"/>
  <c r="G63" i="1" s="1"/>
  <c r="B62" i="1"/>
  <c r="G62" i="1" s="1"/>
  <c r="B61" i="1"/>
  <c r="G61" i="1" s="1"/>
  <c r="B60" i="1"/>
  <c r="G60" i="1" s="1"/>
  <c r="B59" i="1"/>
  <c r="G59" i="1" s="1"/>
  <c r="B58" i="1"/>
  <c r="G58" i="1" s="1"/>
  <c r="B57" i="1"/>
  <c r="G57" i="1" s="1"/>
  <c r="B56" i="1"/>
  <c r="G56" i="1" s="1"/>
  <c r="B55" i="1"/>
  <c r="G55" i="1" s="1"/>
  <c r="B54" i="1"/>
  <c r="G54" i="1" s="1"/>
  <c r="B53" i="1"/>
  <c r="G53" i="1" s="1"/>
  <c r="B52" i="1"/>
  <c r="G52" i="1" s="1"/>
  <c r="B51" i="1"/>
  <c r="G51" i="1" s="1"/>
  <c r="B50" i="1"/>
  <c r="G50" i="1" s="1"/>
  <c r="B49" i="1"/>
  <c r="G49" i="1" s="1"/>
  <c r="B48" i="1"/>
  <c r="G48" i="1" s="1"/>
  <c r="B47" i="1"/>
  <c r="G47" i="1" s="1"/>
  <c r="B46" i="1"/>
  <c r="G46" i="1" s="1"/>
  <c r="B45" i="1"/>
  <c r="G45" i="1" s="1"/>
  <c r="B44" i="1"/>
  <c r="G44" i="1" s="1"/>
  <c r="B43" i="1"/>
  <c r="G43" i="1" s="1"/>
  <c r="B42" i="1"/>
  <c r="G42" i="1" s="1"/>
  <c r="B41" i="1"/>
  <c r="G41" i="1" s="1"/>
  <c r="B40" i="1"/>
  <c r="G40" i="1" s="1"/>
  <c r="B39" i="1"/>
  <c r="G39" i="1" s="1"/>
  <c r="B38" i="1"/>
  <c r="G38" i="1" s="1"/>
  <c r="B37" i="1"/>
  <c r="G37" i="1" s="1"/>
  <c r="B36" i="1"/>
  <c r="G36" i="1" s="1"/>
  <c r="B35" i="1"/>
  <c r="G35" i="1" s="1"/>
  <c r="B34" i="1"/>
  <c r="G34" i="1" s="1"/>
  <c r="B33" i="1"/>
  <c r="G33" i="1" s="1"/>
  <c r="B32" i="1"/>
  <c r="G32" i="1" s="1"/>
  <c r="B31" i="1"/>
  <c r="G31" i="1" s="1"/>
  <c r="B30" i="1"/>
  <c r="G30" i="1" s="1"/>
  <c r="B29" i="1"/>
  <c r="G29" i="1" s="1"/>
  <c r="B28" i="1"/>
  <c r="G28" i="1" s="1"/>
  <c r="F27" i="1"/>
  <c r="F24" i="1"/>
  <c r="F23" i="1"/>
  <c r="F22" i="1"/>
  <c r="F21" i="1"/>
  <c r="F19" i="1"/>
  <c r="F16" i="1"/>
  <c r="F15" i="1"/>
  <c r="F14" i="1"/>
  <c r="F13" i="1"/>
  <c r="B12" i="1"/>
  <c r="G12" i="1" s="1"/>
  <c r="B11" i="1"/>
  <c r="G11" i="1" s="1"/>
  <c r="B10" i="1"/>
  <c r="G10" i="1" s="1"/>
  <c r="B9" i="1"/>
  <c r="G9" i="1" s="1"/>
  <c r="B8" i="1"/>
  <c r="G8" i="1" s="1"/>
  <c r="B7" i="1"/>
  <c r="G7" i="1" s="1"/>
  <c r="B6" i="1"/>
  <c r="G6" i="1" s="1"/>
  <c r="B5" i="1"/>
  <c r="G5" i="1" s="1"/>
  <c r="B4" i="1"/>
  <c r="G4" i="1" s="1"/>
  <c r="B3" i="1"/>
  <c r="G3" i="1" s="1"/>
  <c r="E44" i="3"/>
  <c r="E45" i="3"/>
  <c r="E53" i="3"/>
  <c r="E58" i="3"/>
  <c r="E61" i="3"/>
  <c r="E66" i="3"/>
  <c r="E68" i="3"/>
  <c r="E69" i="3"/>
  <c r="E74" i="3"/>
  <c r="E76" i="3"/>
  <c r="F108" i="3"/>
  <c r="H116" i="3"/>
  <c r="H124" i="3"/>
  <c r="E140" i="3"/>
  <c r="E150" i="3"/>
  <c r="E159" i="3"/>
  <c r="E141" i="3"/>
  <c r="E59" i="3"/>
  <c r="I160" i="3"/>
  <c r="I159" i="3"/>
  <c r="I158" i="3"/>
  <c r="I157" i="3"/>
  <c r="I156" i="3"/>
  <c r="I155" i="3"/>
  <c r="I80" i="3"/>
  <c r="I79" i="3"/>
  <c r="E79" i="3"/>
  <c r="I78" i="3"/>
  <c r="I77" i="3"/>
  <c r="I76" i="3"/>
  <c r="I75" i="3"/>
  <c r="E75" i="3"/>
  <c r="I74" i="3"/>
  <c r="I73" i="3"/>
  <c r="I72" i="3"/>
  <c r="I71" i="3"/>
  <c r="E71" i="3"/>
  <c r="I70" i="3"/>
  <c r="I69" i="3"/>
  <c r="I68" i="3"/>
  <c r="I67" i="3"/>
  <c r="I66" i="3"/>
  <c r="I65" i="3"/>
  <c r="E159" i="2"/>
  <c r="E158" i="2"/>
  <c r="E157" i="2"/>
  <c r="E156" i="2"/>
  <c r="E155" i="2"/>
  <c r="E154" i="2"/>
  <c r="E153" i="2"/>
  <c r="E152" i="2"/>
  <c r="E151" i="2"/>
  <c r="E149" i="2"/>
  <c r="E148" i="2"/>
  <c r="E79" i="2"/>
  <c r="E76" i="2"/>
  <c r="E75" i="2"/>
  <c r="E74" i="2"/>
  <c r="E73" i="2"/>
  <c r="E71" i="2"/>
  <c r="E70" i="2"/>
  <c r="E68" i="2"/>
  <c r="E67" i="2"/>
  <c r="E66" i="2"/>
  <c r="E65" i="2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H38" i="6"/>
  <c r="E38" i="6"/>
  <c r="H37" i="6"/>
  <c r="E37" i="6"/>
  <c r="H36" i="6"/>
  <c r="E36" i="6"/>
  <c r="H35" i="6"/>
  <c r="E35" i="6"/>
  <c r="H34" i="6"/>
  <c r="E34" i="6"/>
  <c r="H33" i="6"/>
  <c r="E33" i="6"/>
  <c r="H32" i="6"/>
  <c r="E32" i="6"/>
  <c r="H31" i="6"/>
  <c r="E31" i="6"/>
  <c r="H30" i="6"/>
  <c r="E30" i="6"/>
  <c r="H29" i="6"/>
  <c r="E29" i="6"/>
  <c r="H28" i="6"/>
  <c r="E28" i="6"/>
  <c r="H27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C242" i="5"/>
  <c r="B242" i="5"/>
  <c r="C241" i="5"/>
  <c r="B241" i="5"/>
  <c r="C240" i="5"/>
  <c r="B240" i="5"/>
  <c r="C239" i="5"/>
  <c r="B239" i="5"/>
  <c r="C238" i="5"/>
  <c r="B238" i="5"/>
  <c r="C237" i="5"/>
  <c r="B237" i="5"/>
  <c r="C236" i="5"/>
  <c r="B236" i="5"/>
  <c r="C235" i="5"/>
  <c r="B235" i="5"/>
  <c r="C234" i="5"/>
  <c r="B234" i="5"/>
  <c r="C233" i="5"/>
  <c r="B233" i="5"/>
  <c r="C232" i="5"/>
  <c r="B232" i="5"/>
  <c r="C231" i="5"/>
  <c r="B231" i="5"/>
  <c r="C230" i="5"/>
  <c r="B230" i="5"/>
  <c r="C229" i="5"/>
  <c r="B229" i="5"/>
  <c r="C228" i="5"/>
  <c r="B228" i="5"/>
  <c r="C227" i="5"/>
  <c r="B227" i="5"/>
  <c r="C226" i="5"/>
  <c r="B226" i="5"/>
  <c r="C225" i="5"/>
  <c r="B225" i="5"/>
  <c r="C224" i="5"/>
  <c r="B224" i="5"/>
  <c r="C223" i="5"/>
  <c r="B223" i="5"/>
  <c r="C222" i="5"/>
  <c r="B222" i="5"/>
  <c r="C221" i="5"/>
  <c r="B221" i="5"/>
  <c r="C220" i="5"/>
  <c r="B220" i="5"/>
  <c r="C219" i="5"/>
  <c r="B219" i="5"/>
  <c r="C218" i="5"/>
  <c r="B218" i="5"/>
  <c r="C217" i="5"/>
  <c r="B217" i="5"/>
  <c r="C216" i="5"/>
  <c r="B216" i="5"/>
  <c r="C215" i="5"/>
  <c r="B215" i="5"/>
  <c r="C214" i="5"/>
  <c r="B214" i="5"/>
  <c r="C213" i="5"/>
  <c r="B213" i="5"/>
  <c r="B212" i="5"/>
  <c r="B211" i="5"/>
  <c r="C210" i="5"/>
  <c r="B210" i="5"/>
  <c r="B209" i="5"/>
  <c r="B208" i="5"/>
  <c r="B207" i="5"/>
  <c r="B206" i="5"/>
  <c r="B205" i="5"/>
  <c r="B204" i="5"/>
  <c r="B203" i="5"/>
  <c r="C202" i="5"/>
  <c r="B202" i="5"/>
  <c r="C201" i="5"/>
  <c r="B201" i="5"/>
  <c r="B200" i="5"/>
  <c r="I138" i="5"/>
  <c r="G136" i="5"/>
  <c r="G135" i="5"/>
  <c r="G134" i="5"/>
  <c r="G133" i="5"/>
  <c r="G132" i="5"/>
  <c r="G131" i="5"/>
  <c r="G130" i="5"/>
  <c r="G129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M10" i="5"/>
  <c r="M9" i="5"/>
  <c r="M8" i="5"/>
  <c r="M7" i="5"/>
  <c r="M6" i="5"/>
  <c r="M5" i="5"/>
  <c r="M4" i="5"/>
  <c r="M3" i="5"/>
  <c r="I50" i="4"/>
  <c r="I49" i="4"/>
  <c r="I48" i="4"/>
  <c r="G48" i="4"/>
  <c r="F48" i="4"/>
  <c r="I47" i="4"/>
  <c r="G47" i="4"/>
  <c r="F47" i="4"/>
  <c r="E47" i="4"/>
  <c r="I46" i="4"/>
  <c r="G46" i="4"/>
  <c r="F46" i="4"/>
  <c r="I45" i="4"/>
  <c r="G45" i="4"/>
  <c r="F45" i="4"/>
  <c r="E45" i="4"/>
  <c r="I44" i="4"/>
  <c r="G44" i="4"/>
  <c r="F44" i="4"/>
  <c r="I43" i="4"/>
  <c r="G43" i="4"/>
  <c r="F43" i="4"/>
  <c r="E145" i="4"/>
  <c r="I139" i="4"/>
  <c r="E139" i="4"/>
  <c r="I138" i="4"/>
  <c r="I137" i="4"/>
  <c r="I136" i="4"/>
  <c r="I135" i="4"/>
  <c r="F135" i="4"/>
  <c r="E135" i="4"/>
  <c r="I134" i="4"/>
  <c r="I133" i="4"/>
  <c r="I132" i="4"/>
  <c r="I131" i="4"/>
  <c r="I128" i="4"/>
  <c r="I127" i="4"/>
  <c r="I126" i="4"/>
  <c r="I125" i="4"/>
  <c r="I124" i="4"/>
  <c r="E124" i="4"/>
  <c r="I123" i="4"/>
  <c r="I122" i="4"/>
  <c r="I121" i="4"/>
  <c r="I120" i="4"/>
  <c r="I119" i="4"/>
  <c r="I118" i="4"/>
  <c r="I117" i="4"/>
  <c r="I116" i="4"/>
  <c r="I115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66" i="4"/>
  <c r="I65" i="4"/>
  <c r="I64" i="4"/>
  <c r="I63" i="4"/>
  <c r="E63" i="4"/>
  <c r="I62" i="4"/>
  <c r="I61" i="4"/>
  <c r="I60" i="4"/>
  <c r="I59" i="4"/>
  <c r="I58" i="4"/>
  <c r="E58" i="4"/>
  <c r="I57" i="4"/>
  <c r="I56" i="4"/>
  <c r="I55" i="4"/>
  <c r="E55" i="4"/>
  <c r="I54" i="4"/>
  <c r="I53" i="4"/>
  <c r="E53" i="4"/>
  <c r="I52" i="4"/>
  <c r="I51" i="4"/>
  <c r="E51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4" i="4"/>
  <c r="I23" i="4"/>
  <c r="I22" i="4"/>
  <c r="I21" i="4"/>
  <c r="E21" i="4"/>
  <c r="I20" i="4"/>
  <c r="I19" i="4"/>
  <c r="I16" i="4"/>
  <c r="I15" i="4"/>
  <c r="E15" i="4"/>
  <c r="I14" i="4"/>
  <c r="I13" i="4"/>
  <c r="I12" i="4"/>
  <c r="E12" i="4"/>
  <c r="I11" i="4"/>
  <c r="E11" i="4"/>
  <c r="I10" i="4"/>
  <c r="I9" i="4"/>
  <c r="I8" i="4"/>
  <c r="I7" i="4"/>
  <c r="I6" i="4"/>
  <c r="I5" i="4"/>
  <c r="I4" i="4"/>
  <c r="I3" i="4"/>
  <c r="E3" i="4"/>
  <c r="I48" i="3"/>
  <c r="G48" i="3"/>
  <c r="F48" i="3"/>
  <c r="I47" i="3"/>
  <c r="G47" i="3"/>
  <c r="F47" i="3"/>
  <c r="E47" i="3"/>
  <c r="I46" i="3"/>
  <c r="G46" i="3"/>
  <c r="F46" i="3"/>
  <c r="I45" i="3"/>
  <c r="G45" i="3"/>
  <c r="F45" i="3"/>
  <c r="I44" i="3"/>
  <c r="G44" i="3"/>
  <c r="F44" i="3"/>
  <c r="I43" i="3"/>
  <c r="G43" i="3"/>
  <c r="F43" i="3"/>
  <c r="E43" i="3"/>
  <c r="E182" i="3"/>
  <c r="E181" i="3"/>
  <c r="E180" i="3"/>
  <c r="I179" i="3"/>
  <c r="E179" i="3"/>
  <c r="I144" i="3"/>
  <c r="I143" i="3"/>
  <c r="I142" i="3"/>
  <c r="I141" i="3"/>
  <c r="I140" i="3"/>
  <c r="I139" i="3"/>
  <c r="I138" i="3"/>
  <c r="I137" i="3"/>
  <c r="E137" i="3"/>
  <c r="I136" i="3"/>
  <c r="I135" i="3"/>
  <c r="I134" i="3"/>
  <c r="I133" i="3"/>
  <c r="I132" i="3"/>
  <c r="I131" i="3"/>
  <c r="F131" i="3"/>
  <c r="I130" i="3"/>
  <c r="I129" i="3"/>
  <c r="F129" i="3"/>
  <c r="I128" i="3"/>
  <c r="I127" i="3"/>
  <c r="I126" i="3"/>
  <c r="I125" i="3"/>
  <c r="I124" i="3"/>
  <c r="I123" i="3"/>
  <c r="H123" i="3"/>
  <c r="I122" i="3"/>
  <c r="I121" i="3"/>
  <c r="H121" i="3"/>
  <c r="I120" i="3"/>
  <c r="I119" i="3"/>
  <c r="I118" i="3"/>
  <c r="I117" i="3"/>
  <c r="I116" i="3"/>
  <c r="I115" i="3"/>
  <c r="H115" i="3"/>
  <c r="I114" i="3"/>
  <c r="E114" i="3"/>
  <c r="I113" i="3"/>
  <c r="H113" i="3"/>
  <c r="I112" i="3"/>
  <c r="I111" i="3"/>
  <c r="I110" i="3"/>
  <c r="I109" i="3"/>
  <c r="I108" i="3"/>
  <c r="I107" i="3"/>
  <c r="F107" i="3"/>
  <c r="I106" i="3"/>
  <c r="E106" i="3"/>
  <c r="I105" i="3"/>
  <c r="F105" i="3"/>
  <c r="I104" i="3"/>
  <c r="I103" i="3"/>
  <c r="I102" i="3"/>
  <c r="I101" i="3"/>
  <c r="I100" i="3"/>
  <c r="I99" i="3"/>
  <c r="F99" i="3"/>
  <c r="I64" i="3"/>
  <c r="E64" i="3"/>
  <c r="I63" i="3"/>
  <c r="E63" i="3"/>
  <c r="I62" i="3"/>
  <c r="I61" i="3"/>
  <c r="I60" i="3"/>
  <c r="E60" i="3"/>
  <c r="I59" i="3"/>
  <c r="I58" i="3"/>
  <c r="I57" i="3"/>
  <c r="E57" i="3"/>
  <c r="I56" i="3"/>
  <c r="E56" i="3"/>
  <c r="I55" i="3"/>
  <c r="I54" i="3"/>
  <c r="E54" i="3"/>
  <c r="I53" i="3"/>
  <c r="I52" i="3"/>
  <c r="E52" i="3"/>
  <c r="I51" i="3"/>
  <c r="I50" i="3"/>
  <c r="I49" i="3"/>
  <c r="E49" i="3"/>
  <c r="I42" i="3"/>
  <c r="I41" i="3"/>
  <c r="I40" i="3"/>
  <c r="I39" i="3"/>
  <c r="E39" i="3"/>
  <c r="I38" i="3"/>
  <c r="I37" i="3"/>
  <c r="I36" i="3"/>
  <c r="I35" i="3"/>
  <c r="E35" i="3"/>
  <c r="I34" i="3"/>
  <c r="I33" i="3"/>
  <c r="E33" i="3"/>
  <c r="I32" i="3"/>
  <c r="I31" i="3"/>
  <c r="E31" i="3"/>
  <c r="I30" i="3"/>
  <c r="I29" i="3"/>
  <c r="I28" i="3"/>
  <c r="E28" i="3"/>
  <c r="I27" i="3"/>
  <c r="E27" i="3"/>
  <c r="I24" i="3"/>
  <c r="I23" i="3"/>
  <c r="E23" i="3"/>
  <c r="I22" i="3"/>
  <c r="E22" i="3"/>
  <c r="I21" i="3"/>
  <c r="I20" i="3"/>
  <c r="I19" i="3"/>
  <c r="E15" i="3"/>
  <c r="I14" i="3"/>
  <c r="E14" i="3"/>
  <c r="I13" i="3"/>
  <c r="E13" i="3"/>
  <c r="I12" i="3"/>
  <c r="E12" i="3"/>
  <c r="I11" i="3"/>
  <c r="E11" i="3"/>
  <c r="I10" i="3"/>
  <c r="I9" i="3"/>
  <c r="I8" i="3"/>
  <c r="I7" i="3"/>
  <c r="E7" i="3"/>
  <c r="I6" i="3"/>
  <c r="I5" i="3"/>
  <c r="I4" i="3"/>
  <c r="E4" i="3"/>
  <c r="I3" i="3"/>
  <c r="E3" i="3"/>
  <c r="G48" i="2"/>
  <c r="F48" i="2"/>
  <c r="G47" i="2"/>
  <c r="F47" i="2"/>
  <c r="E47" i="2"/>
  <c r="G46" i="2"/>
  <c r="F46" i="2"/>
  <c r="G45" i="2"/>
  <c r="F45" i="2"/>
  <c r="G44" i="2"/>
  <c r="F44" i="2"/>
  <c r="E44" i="2"/>
  <c r="G43" i="2"/>
  <c r="F43" i="2"/>
  <c r="E43" i="2"/>
  <c r="E179" i="2"/>
  <c r="E144" i="2"/>
  <c r="E143" i="2"/>
  <c r="E142" i="2"/>
  <c r="E141" i="2"/>
  <c r="E140" i="2"/>
  <c r="E139" i="2"/>
  <c r="E138" i="2"/>
  <c r="E137" i="2"/>
  <c r="E134" i="2"/>
  <c r="E133" i="2"/>
  <c r="E129" i="2"/>
  <c r="E128" i="2"/>
  <c r="H127" i="2"/>
  <c r="E126" i="2"/>
  <c r="E125" i="2"/>
  <c r="E124" i="2"/>
  <c r="H123" i="2"/>
  <c r="E122" i="2"/>
  <c r="E121" i="2"/>
  <c r="E120" i="2"/>
  <c r="H119" i="2"/>
  <c r="E118" i="2"/>
  <c r="H117" i="2"/>
  <c r="E116" i="2"/>
  <c r="E115" i="2"/>
  <c r="E114" i="2"/>
  <c r="H113" i="2"/>
  <c r="E111" i="2"/>
  <c r="E110" i="2"/>
  <c r="E109" i="2"/>
  <c r="E103" i="2"/>
  <c r="E101" i="2"/>
  <c r="E63" i="2"/>
  <c r="E62" i="2"/>
  <c r="E60" i="2"/>
  <c r="E59" i="2"/>
  <c r="E58" i="2"/>
  <c r="E57" i="2"/>
  <c r="E56" i="2"/>
  <c r="E55" i="2"/>
  <c r="E54" i="2"/>
  <c r="E52" i="2"/>
  <c r="E51" i="2"/>
  <c r="E50" i="2"/>
  <c r="E49" i="2"/>
  <c r="E42" i="2"/>
  <c r="H41" i="2"/>
  <c r="E40" i="2"/>
  <c r="H39" i="2"/>
  <c r="E38" i="2"/>
  <c r="H37" i="2"/>
  <c r="E36" i="2"/>
  <c r="E35" i="2"/>
  <c r="E34" i="2"/>
  <c r="H33" i="2"/>
  <c r="E32" i="2"/>
  <c r="H31" i="2"/>
  <c r="E30" i="2"/>
  <c r="E29" i="2"/>
  <c r="E28" i="2"/>
  <c r="E27" i="2"/>
  <c r="H27" i="2"/>
  <c r="E24" i="2"/>
  <c r="E23" i="2"/>
  <c r="E21" i="2"/>
  <c r="E20" i="2"/>
  <c r="E16" i="2"/>
  <c r="E15" i="2"/>
  <c r="E14" i="2"/>
  <c r="Q13" i="2"/>
  <c r="E13" i="2"/>
  <c r="Q12" i="2"/>
  <c r="E12" i="2"/>
  <c r="Q11" i="2"/>
  <c r="E11" i="2"/>
  <c r="Q10" i="2"/>
  <c r="M10" i="2"/>
  <c r="E10" i="2"/>
  <c r="Q9" i="2"/>
  <c r="M9" i="2"/>
  <c r="E9" i="2"/>
  <c r="Q8" i="2"/>
  <c r="M8" i="2"/>
  <c r="E8" i="2"/>
  <c r="Q7" i="2"/>
  <c r="M7" i="2"/>
  <c r="E7" i="2"/>
  <c r="Q6" i="2"/>
  <c r="M6" i="2"/>
  <c r="E6" i="2"/>
  <c r="Q5" i="2"/>
  <c r="M5" i="2"/>
  <c r="E5" i="2"/>
  <c r="Q4" i="2"/>
  <c r="M4" i="2"/>
  <c r="E4" i="2"/>
  <c r="Q3" i="2"/>
  <c r="E3" i="2"/>
  <c r="Q2" i="2"/>
  <c r="E129" i="1"/>
  <c r="E113" i="1"/>
  <c r="E58" i="1"/>
  <c r="E57" i="1"/>
  <c r="E56" i="1"/>
  <c r="E55" i="1"/>
  <c r="E54" i="1"/>
  <c r="E53" i="1"/>
  <c r="E52" i="1"/>
  <c r="E51" i="1"/>
  <c r="E50" i="1"/>
  <c r="E49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4" i="1"/>
  <c r="E23" i="1"/>
  <c r="E22" i="1"/>
  <c r="E21" i="1"/>
  <c r="E20" i="1"/>
  <c r="E19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D8" i="1" l="1"/>
  <c r="D29" i="1"/>
  <c r="D37" i="1"/>
  <c r="D61" i="1"/>
  <c r="D77" i="1"/>
  <c r="D111" i="1"/>
  <c r="D127" i="1"/>
  <c r="D143" i="1"/>
  <c r="D159" i="1"/>
  <c r="D9" i="1"/>
  <c r="D30" i="1"/>
  <c r="D38" i="1"/>
  <c r="D46" i="1"/>
  <c r="D54" i="1"/>
  <c r="D62" i="1"/>
  <c r="D70" i="1"/>
  <c r="D78" i="1"/>
  <c r="D104" i="1"/>
  <c r="D112" i="1"/>
  <c r="D120" i="1"/>
  <c r="D128" i="1"/>
  <c r="D136" i="1"/>
  <c r="D144" i="1"/>
  <c r="D152" i="1"/>
  <c r="D160" i="1"/>
  <c r="D45" i="1"/>
  <c r="D53" i="1"/>
  <c r="D69" i="1"/>
  <c r="D103" i="1"/>
  <c r="D119" i="1"/>
  <c r="D135" i="1"/>
  <c r="D151" i="1"/>
  <c r="D10" i="1"/>
  <c r="D31" i="1"/>
  <c r="D39" i="1"/>
  <c r="D47" i="1"/>
  <c r="D55" i="1"/>
  <c r="D63" i="1"/>
  <c r="D71" i="1"/>
  <c r="D79" i="1"/>
  <c r="D105" i="1"/>
  <c r="D113" i="1"/>
  <c r="D121" i="1"/>
  <c r="D129" i="1"/>
  <c r="D137" i="1"/>
  <c r="D145" i="1"/>
  <c r="D153" i="1"/>
  <c r="D179" i="1"/>
  <c r="D185" i="1"/>
  <c r="D3" i="1"/>
  <c r="D11" i="1"/>
  <c r="D32" i="1"/>
  <c r="D40" i="1"/>
  <c r="D48" i="1"/>
  <c r="D56" i="1"/>
  <c r="D64" i="1"/>
  <c r="D72" i="1"/>
  <c r="D80" i="1"/>
  <c r="D106" i="1"/>
  <c r="D114" i="1"/>
  <c r="D122" i="1"/>
  <c r="D130" i="1"/>
  <c r="D138" i="1"/>
  <c r="D146" i="1"/>
  <c r="D154" i="1"/>
  <c r="D180" i="1"/>
  <c r="D184" i="1"/>
  <c r="D4" i="1"/>
  <c r="D12" i="1"/>
  <c r="D33" i="1"/>
  <c r="D41" i="1"/>
  <c r="D49" i="1"/>
  <c r="D57" i="1"/>
  <c r="D65" i="1"/>
  <c r="D73" i="1"/>
  <c r="D99" i="1"/>
  <c r="D107" i="1"/>
  <c r="D115" i="1"/>
  <c r="D123" i="1"/>
  <c r="D131" i="1"/>
  <c r="D139" i="1"/>
  <c r="D147" i="1"/>
  <c r="D155" i="1"/>
  <c r="D181" i="1"/>
  <c r="D183" i="1"/>
  <c r="D5" i="1"/>
  <c r="D34" i="1"/>
  <c r="D42" i="1"/>
  <c r="D50" i="1"/>
  <c r="D58" i="1"/>
  <c r="D66" i="1"/>
  <c r="D74" i="1"/>
  <c r="D100" i="1"/>
  <c r="D108" i="1"/>
  <c r="D116" i="1"/>
  <c r="D124" i="1"/>
  <c r="D132" i="1"/>
  <c r="D140" i="1"/>
  <c r="D148" i="1"/>
  <c r="D156" i="1"/>
  <c r="D182" i="1"/>
  <c r="D6" i="1"/>
  <c r="D35" i="1"/>
  <c r="D43" i="1"/>
  <c r="D51" i="1"/>
  <c r="D59" i="1"/>
  <c r="D67" i="1"/>
  <c r="D75" i="1"/>
  <c r="D101" i="1"/>
  <c r="D109" i="1"/>
  <c r="D117" i="1"/>
  <c r="D125" i="1"/>
  <c r="D133" i="1"/>
  <c r="D141" i="1"/>
  <c r="D149" i="1"/>
  <c r="D157" i="1"/>
  <c r="D7" i="1"/>
  <c r="D28" i="1"/>
  <c r="D36" i="1"/>
  <c r="D44" i="1"/>
  <c r="D52" i="1"/>
  <c r="D60" i="1"/>
  <c r="D68" i="1"/>
  <c r="D76" i="1"/>
  <c r="D102" i="1"/>
  <c r="D110" i="1"/>
  <c r="D118" i="1"/>
  <c r="D126" i="1"/>
  <c r="D134" i="1"/>
  <c r="D142" i="1"/>
  <c r="D150" i="1"/>
  <c r="D158" i="1"/>
  <c r="F120" i="1"/>
  <c r="F184" i="1"/>
  <c r="F136" i="1"/>
  <c r="F128" i="1"/>
  <c r="F46" i="1"/>
  <c r="F30" i="1"/>
  <c r="F104" i="1"/>
  <c r="F183" i="1"/>
  <c r="F152" i="1"/>
  <c r="F144" i="1"/>
  <c r="F31" i="1"/>
  <c r="F39" i="1"/>
  <c r="F47" i="1"/>
  <c r="F55" i="1"/>
  <c r="F71" i="1"/>
  <c r="F79" i="1"/>
  <c r="F105" i="1"/>
  <c r="F113" i="1"/>
  <c r="F121" i="1"/>
  <c r="F129" i="1"/>
  <c r="F3" i="1"/>
  <c r="F11" i="1"/>
  <c r="F32" i="1"/>
  <c r="F40" i="1"/>
  <c r="F48" i="1"/>
  <c r="F56" i="1"/>
  <c r="F64" i="1"/>
  <c r="F72" i="1"/>
  <c r="F80" i="1"/>
  <c r="F106" i="1"/>
  <c r="F114" i="1"/>
  <c r="F122" i="1"/>
  <c r="F130" i="1"/>
  <c r="F138" i="1"/>
  <c r="F146" i="1"/>
  <c r="F154" i="1"/>
  <c r="F180" i="1"/>
  <c r="F4" i="1"/>
  <c r="F12" i="1"/>
  <c r="F33" i="1"/>
  <c r="F41" i="1"/>
  <c r="F49" i="1"/>
  <c r="F57" i="1"/>
  <c r="F65" i="1"/>
  <c r="F73" i="1"/>
  <c r="F99" i="1"/>
  <c r="F107" i="1"/>
  <c r="F115" i="1"/>
  <c r="F123" i="1"/>
  <c r="F131" i="1"/>
  <c r="F139" i="1"/>
  <c r="F147" i="1"/>
  <c r="F155" i="1"/>
  <c r="F181" i="1"/>
  <c r="F5" i="1"/>
  <c r="F34" i="1"/>
  <c r="F42" i="1"/>
  <c r="F50" i="1"/>
  <c r="F58" i="1"/>
  <c r="F66" i="1"/>
  <c r="F74" i="1"/>
  <c r="F100" i="1"/>
  <c r="F108" i="1"/>
  <c r="F116" i="1"/>
  <c r="F124" i="1"/>
  <c r="F132" i="1"/>
  <c r="F140" i="1"/>
  <c r="F148" i="1"/>
  <c r="F156" i="1"/>
  <c r="F182" i="1"/>
  <c r="F10" i="1"/>
  <c r="F6" i="1"/>
  <c r="F35" i="1"/>
  <c r="F43" i="1"/>
  <c r="F51" i="1"/>
  <c r="F67" i="1"/>
  <c r="F75" i="1"/>
  <c r="F101" i="1"/>
  <c r="F109" i="1"/>
  <c r="F117" i="1"/>
  <c r="F125" i="1"/>
  <c r="F141" i="1"/>
  <c r="F149" i="1"/>
  <c r="F157" i="1"/>
  <c r="F7" i="1"/>
  <c r="F28" i="1"/>
  <c r="F36" i="1"/>
  <c r="F44" i="1"/>
  <c r="F52" i="1"/>
  <c r="F60" i="1"/>
  <c r="F68" i="1"/>
  <c r="F76" i="1"/>
  <c r="F102" i="1"/>
  <c r="F110" i="1"/>
  <c r="F118" i="1"/>
  <c r="F126" i="1"/>
  <c r="F134" i="1"/>
  <c r="F142" i="1"/>
  <c r="F150" i="1"/>
  <c r="F158" i="1"/>
  <c r="F112" i="1"/>
  <c r="F8" i="1"/>
  <c r="F29" i="1"/>
  <c r="F37" i="1"/>
  <c r="F45" i="1"/>
  <c r="F53" i="1"/>
  <c r="F61" i="1"/>
  <c r="F69" i="1"/>
  <c r="F77" i="1"/>
  <c r="F103" i="1"/>
  <c r="F111" i="1"/>
  <c r="F119" i="1"/>
  <c r="F127" i="1"/>
  <c r="F135" i="1"/>
  <c r="F143" i="1"/>
  <c r="F151" i="1"/>
  <c r="F159" i="1"/>
  <c r="F9" i="1"/>
  <c r="F38" i="1"/>
  <c r="F54" i="1"/>
  <c r="F62" i="1"/>
  <c r="F78" i="1"/>
  <c r="F160" i="1"/>
  <c r="F70" i="1"/>
  <c r="F185" i="1"/>
  <c r="E138" i="4"/>
  <c r="E40" i="4"/>
  <c r="H114" i="4"/>
  <c r="E114" i="4"/>
  <c r="H122" i="4"/>
  <c r="E106" i="4"/>
  <c r="H128" i="4"/>
  <c r="E38" i="3"/>
  <c r="E28" i="4"/>
  <c r="E42" i="4"/>
  <c r="E116" i="4"/>
  <c r="E108" i="4"/>
  <c r="E132" i="4"/>
  <c r="E59" i="4"/>
  <c r="E149" i="4"/>
  <c r="E141" i="4"/>
  <c r="E183" i="4"/>
  <c r="E70" i="4"/>
  <c r="E78" i="4"/>
  <c r="E153" i="4"/>
  <c r="E147" i="4"/>
  <c r="E151" i="4"/>
  <c r="E155" i="4"/>
  <c r="E150" i="4"/>
  <c r="E154" i="4"/>
  <c r="E157" i="4"/>
  <c r="E67" i="4"/>
  <c r="E75" i="4"/>
  <c r="E69" i="4"/>
  <c r="E77" i="4"/>
  <c r="E10" i="4"/>
  <c r="E30" i="4"/>
  <c r="E104" i="4"/>
  <c r="E134" i="4"/>
  <c r="E110" i="4"/>
  <c r="F134" i="4"/>
  <c r="E118" i="4"/>
  <c r="E102" i="4"/>
  <c r="E126" i="4"/>
  <c r="E120" i="4"/>
  <c r="E144" i="4"/>
  <c r="E112" i="4"/>
  <c r="E136" i="4"/>
  <c r="E40" i="3"/>
  <c r="F153" i="1"/>
  <c r="F137" i="1"/>
  <c r="F179" i="1"/>
  <c r="F145" i="1"/>
  <c r="F63" i="1"/>
  <c r="F59" i="1"/>
  <c r="F133" i="1"/>
  <c r="E70" i="3"/>
  <c r="E144" i="3"/>
  <c r="F100" i="3"/>
  <c r="E158" i="3"/>
  <c r="F132" i="3"/>
  <c r="H36" i="2"/>
  <c r="H34" i="2"/>
  <c r="E41" i="2"/>
  <c r="E105" i="2"/>
  <c r="E42" i="3"/>
  <c r="E147" i="3"/>
  <c r="E30" i="3"/>
  <c r="E41" i="3"/>
  <c r="E139" i="3"/>
  <c r="E157" i="3"/>
  <c r="E51" i="3"/>
  <c r="E102" i="3"/>
  <c r="E104" i="3"/>
  <c r="F106" i="3"/>
  <c r="E110" i="3"/>
  <c r="E112" i="3"/>
  <c r="H114" i="3"/>
  <c r="E118" i="3"/>
  <c r="E120" i="3"/>
  <c r="H122" i="3"/>
  <c r="E126" i="3"/>
  <c r="E128" i="3"/>
  <c r="F130" i="3"/>
  <c r="E134" i="3"/>
  <c r="E136" i="3"/>
  <c r="E138" i="3"/>
  <c r="F102" i="3"/>
  <c r="F110" i="3"/>
  <c r="H118" i="3"/>
  <c r="H126" i="3"/>
  <c r="F134" i="3"/>
  <c r="E36" i="3"/>
  <c r="E142" i="3"/>
  <c r="E77" i="3"/>
  <c r="E5" i="3"/>
  <c r="E19" i="3"/>
  <c r="E151" i="3"/>
  <c r="E156" i="3"/>
  <c r="E145" i="3"/>
  <c r="E149" i="3"/>
  <c r="E153" i="3"/>
  <c r="E148" i="3"/>
  <c r="E152" i="3"/>
  <c r="E155" i="3"/>
  <c r="E67" i="3"/>
  <c r="E65" i="3"/>
  <c r="E73" i="3"/>
  <c r="E72" i="3"/>
  <c r="E80" i="3"/>
  <c r="E150" i="2"/>
  <c r="E145" i="2"/>
  <c r="E147" i="2"/>
  <c r="E146" i="2"/>
  <c r="H42" i="2"/>
  <c r="E33" i="2"/>
  <c r="E123" i="2"/>
  <c r="H29" i="2"/>
  <c r="H35" i="2"/>
  <c r="E39" i="2"/>
  <c r="H32" i="2"/>
  <c r="H30" i="2"/>
  <c r="E37" i="2"/>
  <c r="E107" i="2"/>
  <c r="H121" i="2"/>
  <c r="H28" i="2"/>
  <c r="H115" i="2"/>
  <c r="H40" i="2"/>
  <c r="E99" i="2"/>
  <c r="E106" i="2"/>
  <c r="E113" i="2"/>
  <c r="E119" i="2"/>
  <c r="H122" i="2"/>
  <c r="H128" i="2"/>
  <c r="E130" i="2"/>
  <c r="E31" i="2"/>
  <c r="H38" i="2"/>
  <c r="E102" i="2"/>
  <c r="H116" i="2"/>
  <c r="H125" i="2"/>
  <c r="E135" i="2"/>
  <c r="E100" i="2"/>
  <c r="E112" i="2"/>
  <c r="H114" i="2"/>
  <c r="E99" i="3"/>
  <c r="E107" i="3"/>
  <c r="E115" i="3"/>
  <c r="E123" i="3"/>
  <c r="E131" i="3"/>
  <c r="E35" i="4"/>
  <c r="E103" i="4"/>
  <c r="E113" i="4"/>
  <c r="E37" i="4"/>
  <c r="E132" i="2"/>
  <c r="E55" i="3"/>
  <c r="E101" i="3"/>
  <c r="F104" i="3"/>
  <c r="E109" i="3"/>
  <c r="F112" i="3"/>
  <c r="E117" i="3"/>
  <c r="H120" i="3"/>
  <c r="E125" i="3"/>
  <c r="H128" i="3"/>
  <c r="E133" i="3"/>
  <c r="F136" i="3"/>
  <c r="E143" i="3"/>
  <c r="E27" i="4"/>
  <c r="E105" i="4"/>
  <c r="E127" i="4"/>
  <c r="F137" i="4"/>
  <c r="E137" i="4"/>
  <c r="E182" i="4"/>
  <c r="E115" i="4"/>
  <c r="E125" i="4"/>
  <c r="E117" i="2"/>
  <c r="H126" i="2"/>
  <c r="E24" i="3"/>
  <c r="E29" i="3"/>
  <c r="E32" i="3"/>
  <c r="E104" i="2"/>
  <c r="H124" i="2"/>
  <c r="E9" i="3"/>
  <c r="E21" i="3"/>
  <c r="E50" i="3"/>
  <c r="F101" i="3"/>
  <c r="F109" i="3"/>
  <c r="H117" i="3"/>
  <c r="H125" i="3"/>
  <c r="F133" i="3"/>
  <c r="E20" i="4"/>
  <c r="E29" i="4"/>
  <c r="E39" i="4"/>
  <c r="E107" i="4"/>
  <c r="E117" i="4"/>
  <c r="E103" i="3"/>
  <c r="E111" i="3"/>
  <c r="E119" i="3"/>
  <c r="E127" i="3"/>
  <c r="E135" i="3"/>
  <c r="E41" i="4"/>
  <c r="E119" i="4"/>
  <c r="E129" i="4"/>
  <c r="H120" i="2"/>
  <c r="E127" i="2"/>
  <c r="E136" i="2"/>
  <c r="E16" i="3"/>
  <c r="E34" i="3"/>
  <c r="E100" i="3"/>
  <c r="F103" i="3"/>
  <c r="E108" i="3"/>
  <c r="F111" i="3"/>
  <c r="E116" i="3"/>
  <c r="H119" i="3"/>
  <c r="E124" i="3"/>
  <c r="H127" i="3"/>
  <c r="E132" i="3"/>
  <c r="F135" i="3"/>
  <c r="E31" i="4"/>
  <c r="E109" i="4"/>
  <c r="E131" i="4"/>
  <c r="E108" i="2"/>
  <c r="H118" i="2"/>
  <c r="E131" i="2"/>
  <c r="E37" i="3"/>
  <c r="E105" i="3"/>
  <c r="E113" i="3"/>
  <c r="E121" i="3"/>
  <c r="E129" i="3"/>
  <c r="E33" i="4"/>
  <c r="E111" i="4"/>
  <c r="E121" i="4"/>
  <c r="E143" i="4"/>
  <c r="E101" i="4"/>
  <c r="E123" i="4"/>
  <c r="F133" i="4"/>
  <c r="E133" i="4"/>
  <c r="E184" i="4"/>
</calcChain>
</file>

<file path=xl/sharedStrings.xml><?xml version="1.0" encoding="utf-8"?>
<sst xmlns="http://schemas.openxmlformats.org/spreadsheetml/2006/main" count="3653" uniqueCount="633">
  <si>
    <t>Names</t>
  </si>
  <si>
    <t>DIO number</t>
  </si>
  <si>
    <t>DIO name</t>
  </si>
  <si>
    <t>Function</t>
  </si>
  <si>
    <t>Defaults</t>
  </si>
  <si>
    <t>Print</t>
  </si>
  <si>
    <t>wiki</t>
  </si>
  <si>
    <t>STEP0</t>
  </si>
  <si>
    <t>STEP1</t>
  </si>
  <si>
    <t>STEP2</t>
  </si>
  <si>
    <t>STEP3</t>
  </si>
  <si>
    <t>STEP4</t>
  </si>
  <si>
    <t>STEP5</t>
  </si>
  <si>
    <t>STEP6</t>
  </si>
  <si>
    <t>STEP7</t>
  </si>
  <si>
    <t>DIR0</t>
  </si>
  <si>
    <t>DIR1</t>
  </si>
  <si>
    <t>DIR2</t>
  </si>
  <si>
    <t>DIR3</t>
  </si>
  <si>
    <t>DIR4</t>
  </si>
  <si>
    <t>DIR5</t>
  </si>
  <si>
    <t>STEP0_EN</t>
  </si>
  <si>
    <t>STEP1_EN</t>
  </si>
  <si>
    <t>STEP2_EN</t>
  </si>
  <si>
    <t>STEP3_EN</t>
  </si>
  <si>
    <t>STEP4_EN</t>
  </si>
  <si>
    <t>STEP5_EN</t>
  </si>
  <si>
    <t>PWM0</t>
  </si>
  <si>
    <t>PWM1</t>
  </si>
  <si>
    <t>PWM2</t>
  </si>
  <si>
    <t>PWM3</t>
  </si>
  <si>
    <t>PWM4</t>
  </si>
  <si>
    <t>PWM5</t>
  </si>
  <si>
    <t>PWM6</t>
  </si>
  <si>
    <t>PWM7</t>
  </si>
  <si>
    <t>PWM8</t>
  </si>
  <si>
    <t>PWM9</t>
  </si>
  <si>
    <t>PWM10</t>
  </si>
  <si>
    <t>PWM11</t>
  </si>
  <si>
    <t>PWM12</t>
  </si>
  <si>
    <t>PWM13</t>
  </si>
  <si>
    <t>PWM14</t>
  </si>
  <si>
    <t>PWM15</t>
  </si>
  <si>
    <t>DOUT0</t>
  </si>
  <si>
    <t>DOUT1</t>
  </si>
  <si>
    <t>DOUT2</t>
  </si>
  <si>
    <t>DOUT3</t>
  </si>
  <si>
    <t>DOUT4</t>
  </si>
  <si>
    <t>DOUT5</t>
  </si>
  <si>
    <t>DOUT6</t>
  </si>
  <si>
    <t>DOUT7</t>
  </si>
  <si>
    <t>DOUT8</t>
  </si>
  <si>
    <t>DOUT9</t>
  </si>
  <si>
    <t>DOUT10</t>
  </si>
  <si>
    <t>DOUT11</t>
  </si>
  <si>
    <t>DOUT12</t>
  </si>
  <si>
    <t>DOUT13</t>
  </si>
  <si>
    <t>DOUT14</t>
  </si>
  <si>
    <t>DOUT15</t>
  </si>
  <si>
    <t>LIMIT_X</t>
  </si>
  <si>
    <t>LIMIT_Y</t>
  </si>
  <si>
    <t>LIMIT_Z</t>
  </si>
  <si>
    <t>LIMIT_X2</t>
  </si>
  <si>
    <t>LIMIT_Y2</t>
  </si>
  <si>
    <t>LIMIT_Z2</t>
  </si>
  <si>
    <t>LIMIT_A</t>
  </si>
  <si>
    <t>LIMIT_B</t>
  </si>
  <si>
    <t>LIMIT_C</t>
  </si>
  <si>
    <t>PROBE</t>
  </si>
  <si>
    <t>ESTOP</t>
  </si>
  <si>
    <t>SAFETY_DOOR</t>
  </si>
  <si>
    <t>FHOLD</t>
  </si>
  <si>
    <t>CS_RES</t>
  </si>
  <si>
    <t>ANALOG0</t>
  </si>
  <si>
    <t>ANALOG1</t>
  </si>
  <si>
    <t>ANALOG2</t>
  </si>
  <si>
    <t>ANALOG3</t>
  </si>
  <si>
    <t>ANALOG4</t>
  </si>
  <si>
    <t>ANALOG5</t>
  </si>
  <si>
    <t>ANALOG6</t>
  </si>
  <si>
    <t>ANALOG7</t>
  </si>
  <si>
    <t>ANALOG8</t>
  </si>
  <si>
    <t>ANALOG9</t>
  </si>
  <si>
    <t>ANALOG10</t>
  </si>
  <si>
    <t>ANALOG11</t>
  </si>
  <si>
    <t>ANALOG12</t>
  </si>
  <si>
    <t>ANALOG13</t>
  </si>
  <si>
    <t>ANALOG14</t>
  </si>
  <si>
    <t>ANALOG15</t>
  </si>
  <si>
    <t>DIN0</t>
  </si>
  <si>
    <t>DIN1</t>
  </si>
  <si>
    <t>DIN2</t>
  </si>
  <si>
    <t>DIN3</t>
  </si>
  <si>
    <t>DIN4</t>
  </si>
  <si>
    <t>DIN5</t>
  </si>
  <si>
    <t>DIN6</t>
  </si>
  <si>
    <t>DIN7</t>
  </si>
  <si>
    <t>DIN8</t>
  </si>
  <si>
    <t>DIN9</t>
  </si>
  <si>
    <t>DIN10</t>
  </si>
  <si>
    <t>DIN11</t>
  </si>
  <si>
    <t>DIN12</t>
  </si>
  <si>
    <t>DIN13</t>
  </si>
  <si>
    <t>DIN14</t>
  </si>
  <si>
    <t>DIN15</t>
  </si>
  <si>
    <t>TX</t>
  </si>
  <si>
    <t>RX</t>
  </si>
  <si>
    <t>USB_DM</t>
  </si>
  <si>
    <t>USB_DP</t>
  </si>
  <si>
    <t>SERVO0</t>
  </si>
  <si>
    <t>SERVO1</t>
  </si>
  <si>
    <t>SERVO2</t>
  </si>
  <si>
    <t>SERVO3</t>
  </si>
  <si>
    <t>SERVO4</t>
  </si>
  <si>
    <t>SERVO5</t>
  </si>
  <si>
    <t>Function index</t>
  </si>
  <si>
    <t>//IO pins</t>
  </si>
  <si>
    <t>Other configurations</t>
  </si>
  <si>
    <t>Init</t>
  </si>
  <si>
    <t>A</t>
  </si>
  <si>
    <t>B</t>
  </si>
  <si>
    <t>//PWM pins
#define PWMENMASKA 0x80
#define PWMENMASKB 0x20
#define PWMENMASKC 0x08
#define pwmenmask(x) PWMENMASK##x
#define __pwmenmask__(x) pwmenmask(x)</t>
  </si>
  <si>
    <t>//ISR on change inputs</t>
  </si>
  <si>
    <t>//ISR on change defaults</t>
  </si>
  <si>
    <t>//Analog channel and prescaller</t>
  </si>
  <si>
    <t>//PWM pins</t>
  </si>
  <si>
    <t>//ISR on change inputs
#define EXTINT_A 0
#define EXTINT_B 1
#define EXTINT_C 2
#define EXTINT_D 3
#define EXTINT_E 4
#define EXTINT_F 5
#define EXTINT_G 6
#define _EXTINT(X) EXTINT_##X
#define EXTINT(X) _EXTINT(X)
#define EXTIRQ_0 EXTI0_IRQn
#define EXTIRQ_1 EXTI1_IRQn
#define EXTIRQ_2 EXTI2_IRQn
#define EXTIRQ_3 EXTI3_IRQn
#define EXTIRQ_4 EXTI4_IRQn
#define EXTIRQ_5 EXTI9_5_IRQn
#define EXTIRQ_6 EXTI9_5_IRQn
#define EXTIRQ_7 EXTI9_5_IRQn
#define EXTIRQ_8 EXTI9_5_IRQn
#define EXTIRQ_9 EXTI9_5_IRQn
#define EXTIRQ_10 EXTI15_10_IRQn
#define EXTIRQ_11 EXTI15_10_IRQn
#define EXTIRQ_12 EXTI15_10_IRQn
#define EXTIRQ_13 EXTI15_10_IRQn
#define EXTIRQ_14 EXTI15_10_IRQn
#define EXTIRQ_15 EXTI15_10_IRQn
#define _EXTIRQ(X) EXTIRQ_##X
#define EXTIRQ(X) _EXTIRQ(X)</t>
  </si>
  <si>
    <t>//Analog pins</t>
  </si>
  <si>
    <t>USART</t>
  </si>
  <si>
    <t>APB</t>
  </si>
  <si>
    <t>APB2ENR</t>
  </si>
  <si>
    <t>REMAP</t>
  </si>
  <si>
    <t>A9</t>
  </si>
  <si>
    <t>A10</t>
  </si>
  <si>
    <t>RCC_APB2ENR_USART1EN</t>
  </si>
  <si>
    <t>B6</t>
  </si>
  <si>
    <t>B7</t>
  </si>
  <si>
    <t>A2</t>
  </si>
  <si>
    <t>A3</t>
  </si>
  <si>
    <t>APB1ENR</t>
  </si>
  <si>
    <t>RCC_APB1ENR_USART2EN</t>
  </si>
  <si>
    <t>D5</t>
  </si>
  <si>
    <t>D6</t>
  </si>
  <si>
    <t>B10</t>
  </si>
  <si>
    <t>B11</t>
  </si>
  <si>
    <t>RCC_APB1ENR_USART3EN</t>
  </si>
  <si>
    <t>C10</t>
  </si>
  <si>
    <t>C11</t>
  </si>
  <si>
    <t>D8</t>
  </si>
  <si>
    <t>D9</t>
  </si>
  <si>
    <t>RCC_APB1ENR_UART4EN</t>
  </si>
  <si>
    <t>x</t>
  </si>
  <si>
    <t>C12</t>
  </si>
  <si>
    <t>D2</t>
  </si>
  <si>
    <t>RCC_APB1ENR_UART5EN</t>
  </si>
  <si>
    <t>Cortex isr vector</t>
  </si>
  <si>
    <t>(&amp;_estack)</t>
  </si>
  <si>
    <t>Reset_Handler</t>
  </si>
  <si>
    <t>NMI_Handler</t>
  </si>
  <si>
    <t>HardFault_Handler</t>
  </si>
  <si>
    <t>SVC_Handler</t>
  </si>
  <si>
    <t>PendSV_Handler</t>
  </si>
  <si>
    <t>SysTick_Handler</t>
  </si>
  <si>
    <t>PM_Handler</t>
  </si>
  <si>
    <t>SYSCTRL_Handler</t>
  </si>
  <si>
    <t>WDT_Handler</t>
  </si>
  <si>
    <t>RTC_Handler</t>
  </si>
  <si>
    <t>EIC_Handler</t>
  </si>
  <si>
    <t>NVMCTRL_Handler</t>
  </si>
  <si>
    <t>DMAC_Handler</t>
  </si>
  <si>
    <t>USB_Handler</t>
  </si>
  <si>
    <t>EVSYS_Handler</t>
  </si>
  <si>
    <t>SERCOM0_Handler</t>
  </si>
  <si>
    <t>SERCOM1_Handler</t>
  </si>
  <si>
    <t>SERCOM2_Handler</t>
  </si>
  <si>
    <t>SERCOM3_Handler</t>
  </si>
  <si>
    <t>SERCOM4_Handler</t>
  </si>
  <si>
    <t>SERCOM5_Handler</t>
  </si>
  <si>
    <t>TCC0_Handler</t>
  </si>
  <si>
    <t>TCC1_Handler</t>
  </si>
  <si>
    <t>TCC2_Handler</t>
  </si>
  <si>
    <t>TC3_Handler</t>
  </si>
  <si>
    <t>TC4_Handler</t>
  </si>
  <si>
    <t>TC5_Handler</t>
  </si>
  <si>
    <t>TC6_Handler</t>
  </si>
  <si>
    <t>TC7_Handler</t>
  </si>
  <si>
    <t>ADC_Handler</t>
  </si>
  <si>
    <t>AC_Handler</t>
  </si>
  <si>
    <t>DAC_Handler</t>
  </si>
  <si>
    <t>PTC_Handler</t>
  </si>
  <si>
    <t>I2S_Handler</t>
  </si>
  <si>
    <t>DOUT16</t>
  </si>
  <si>
    <t>DOUT17</t>
  </si>
  <si>
    <t>DOUT18</t>
  </si>
  <si>
    <t>DOUT19</t>
  </si>
  <si>
    <t>DOUT20</t>
  </si>
  <si>
    <t>DOUT21</t>
  </si>
  <si>
    <t>DOUT22</t>
  </si>
  <si>
    <t>DOUT23</t>
  </si>
  <si>
    <t>DOUT24</t>
  </si>
  <si>
    <t>DOUT25</t>
  </si>
  <si>
    <t>DOUT26</t>
  </si>
  <si>
    <t>DOUT27</t>
  </si>
  <si>
    <t>DOUT28</t>
  </si>
  <si>
    <t>DOUT29</t>
  </si>
  <si>
    <t>DOUT30</t>
  </si>
  <si>
    <t>DOUT31</t>
  </si>
  <si>
    <t>DIN16</t>
  </si>
  <si>
    <t>DIN17</t>
  </si>
  <si>
    <t>DIN18</t>
  </si>
  <si>
    <t>DIN19</t>
  </si>
  <si>
    <t>DIN20</t>
  </si>
  <si>
    <t>DIN21</t>
  </si>
  <si>
    <t>DIN22</t>
  </si>
  <si>
    <t>DIN23</t>
  </si>
  <si>
    <t>DIN24</t>
  </si>
  <si>
    <t>DIN25</t>
  </si>
  <si>
    <t>DIN26</t>
  </si>
  <si>
    <t>DIN27</t>
  </si>
  <si>
    <t>DIN28</t>
  </si>
  <si>
    <t>DIN29</t>
  </si>
  <si>
    <t>DIN30</t>
  </si>
  <si>
    <t>DIN31</t>
  </si>
  <si>
    <t>SPI_CLK</t>
  </si>
  <si>
    <t>SPI_SDI</t>
  </si>
  <si>
    <t>SPI_SDO</t>
  </si>
  <si>
    <t>STEP6_EN</t>
  </si>
  <si>
    <t>STEP7_EN</t>
  </si>
  <si>
    <t>DIR6</t>
  </si>
  <si>
    <t>DIR7</t>
  </si>
  <si>
    <t>X</t>
  </si>
  <si>
    <t>X2</t>
  </si>
  <si>
    <t>Y</t>
  </si>
  <si>
    <t>Y2</t>
  </si>
  <si>
    <t>Z</t>
  </si>
  <si>
    <t>Z2</t>
  </si>
  <si>
    <t>C</t>
  </si>
  <si>
    <t>I2C_SCL</t>
  </si>
  <si>
    <t>I2C_SDA</t>
  </si>
  <si>
    <t>#if STEP0&gt;=0
mcu_config_output(STEP0);
#endif</t>
  </si>
  <si>
    <t>#if STEP1&gt;=0
mcu_config_output(STEP1);
#endif</t>
  </si>
  <si>
    <t>#if STEP2&gt;=0
mcu_config_output(STEP2);
#endif</t>
  </si>
  <si>
    <t>#if STEP3&gt;=0
mcu_config_output(STEP3);
#endif</t>
  </si>
  <si>
    <t>#if STEP4&gt;=0
mcu_config_output(STEP4);
#endif</t>
  </si>
  <si>
    <t>#if STEP5&gt;=0
mcu_config_output(STEP5);
#endif</t>
  </si>
  <si>
    <t>#if STEP6&gt;=0
mcu_config_output(STEP6);
#endif</t>
  </si>
  <si>
    <t>#if STEP7&gt;=0
mcu_config_output(STEP7);
#endif</t>
  </si>
  <si>
    <t>#if DIR0&gt;=0
mcu_config_output(DIR0);
#endif</t>
  </si>
  <si>
    <t>#if DIR1&gt;=0
mcu_config_output(DIR1);
#endif</t>
  </si>
  <si>
    <t>#if DIR2&gt;=0
mcu_config_output(DIR2);
#endif</t>
  </si>
  <si>
    <t>#if DIR3&gt;=0
mcu_config_output(DIR3);
#endif</t>
  </si>
  <si>
    <t>#if DIR4&gt;=0
mcu_config_output(DIR4);
#endif</t>
  </si>
  <si>
    <t>#if DIR5&gt;=0
mcu_config_output(DIR5);
#endif</t>
  </si>
  <si>
    <t>#if DIR6&gt;=0
mcu_config_output(DIR6);
#endif</t>
  </si>
  <si>
    <t>#if DIR7&gt;=0
mcu_config_output(DIR7);
#endif</t>
  </si>
  <si>
    <t>#if STEP0_EN&gt;=0
mcu_config_output(STEP0_EN);
#endif</t>
  </si>
  <si>
    <t>#if STEP1_EN&gt;=0
mcu_config_output(STEP1_EN);
#endif</t>
  </si>
  <si>
    <t>#if STEP2_EN&gt;=0
mcu_config_output(STEP2_EN);
#endif</t>
  </si>
  <si>
    <t>#if STEP3_EN&gt;=0
mcu_config_output(STEP3_EN);
#endif</t>
  </si>
  <si>
    <t>#if STEP4_EN&gt;=0
mcu_config_output(STEP4_EN);
#endif</t>
  </si>
  <si>
    <t>#if STEP5_EN&gt;=0
mcu_config_output(STEP5_EN);
#endif</t>
  </si>
  <si>
    <t>#if STEP6_EN&gt;=0
mcu_config_output(STEP6_EN);
#endif</t>
  </si>
  <si>
    <t>#if STEP7_EN&gt;=0
mcu_config_output(STEP7_EN);
#endif</t>
  </si>
  <si>
    <t>#if PWM0&gt;=0
mcu_config_pwm(PWM0);
#endif</t>
  </si>
  <si>
    <t>#if PWM1&gt;=0
mcu_config_pwm(PWM1);
#endif</t>
  </si>
  <si>
    <t>#if PWM2&gt;=0
mcu_config_pwm(PWM2);
#endif</t>
  </si>
  <si>
    <t>#if PWM3&gt;=0
mcu_config_pwm(PWM3);
#endif</t>
  </si>
  <si>
    <t>#if PWM4&gt;=0
mcu_config_pwm(PWM4);
#endif</t>
  </si>
  <si>
    <t>#if PWM5&gt;=0
mcu_config_pwm(PWM5);
#endif</t>
  </si>
  <si>
    <t>#if PWM6&gt;=0
mcu_config_pwm(PWM6);
#endif</t>
  </si>
  <si>
    <t>#if PWM7&gt;=0
mcu_config_pwm(PWM7);
#endif</t>
  </si>
  <si>
    <t>#if PWM8&gt;=0
mcu_config_pwm(PWM8);
#endif</t>
  </si>
  <si>
    <t>#if PWM9&gt;=0
mcu_config_pwm(PWM9);
#endif</t>
  </si>
  <si>
    <t>#if PWM10&gt;=0
mcu_config_pwm(PWM10);
#endif</t>
  </si>
  <si>
    <t>#if PWM11&gt;=0
mcu_config_pwm(PWM11);
#endif</t>
  </si>
  <si>
    <t>#if PWM12&gt;=0
mcu_config_pwm(PWM12);
#endif</t>
  </si>
  <si>
    <t>#if PWM13&gt;=0
mcu_config_pwm(PWM13);
#endif</t>
  </si>
  <si>
    <t>#if PWM14&gt;=0
mcu_config_pwm(PWM14);
#endif</t>
  </si>
  <si>
    <t>#if PWM15&gt;=0
mcu_config_pwm(PWM15);
#endif</t>
  </si>
  <si>
    <t>#ifdef SERVO0
#define SERVO0_MASK (1U&lt;&lt;0)
#else
#define SERVO0_MASK 0
#endif</t>
  </si>
  <si>
    <t>#if SERVO0 &gt;= 0
case 0:
mcu_set_ouput(SERVO0);
RTC_OCRB = mcu_servos[0];
#endif</t>
  </si>
  <si>
    <t>#if SERVO0&gt;=0
mcu_config_output(SERVO0);
#endif</t>
  </si>
  <si>
    <t>#ifdef SERVO1
#define SERVO1_MASK (1U&lt;&lt;1)
#else
#define SERVO1_MASK 0
#endif</t>
  </si>
  <si>
    <t>#if SERVO1 &gt;= 0
case 1:
mcu_set_ouput(SERVO1);
RTC_OCRB = mcu_servos[1];
#endif</t>
  </si>
  <si>
    <t>#if SERVO1&gt;=0
mcu_config_output(SERVO1);
#endif</t>
  </si>
  <si>
    <t>#ifdef SERVO2
#define SERVO2_MASK (1U&lt;&lt;2)
#else
#define SERVO2_MASK 0
#endif</t>
  </si>
  <si>
    <t>#if SERVO2 &gt;= 0
case 2:
mcu_set_ouput(SERVO2);
RTC_OCRB = mcu_servos[2];
#endif</t>
  </si>
  <si>
    <t>#if SERVO2&gt;=0
mcu_config_output(SERVO2);
#endif</t>
  </si>
  <si>
    <t>#ifdef SERVO3
#define SERVO3_MASK (1U&lt;&lt;3)
#else
#define SERVO3_MASK 0
#endif</t>
  </si>
  <si>
    <t>#if SERVO3 &gt;= 0
case 3:
mcu_set_ouput(SERVO3);
RTC_OCRB = mcu_servos[3];
#endif</t>
  </si>
  <si>
    <t>#if SERVO3&gt;=0
mcu_config_output(SERVO3);
#endif</t>
  </si>
  <si>
    <t>#ifdef SERVO4
#define SERVO4_MASK (1U&lt;&lt;4)
#else
#define SERVO4_MASK 0
#endif</t>
  </si>
  <si>
    <t>#if SERVO4 &gt;= 0
case 4:
mcu_set_ouput(SERVO4);
RTC_OCRB = mcu_servos[4];
#endif</t>
  </si>
  <si>
    <t>#if SERVO4&gt;=0
mcu_config_output(SERVO4);
#endif</t>
  </si>
  <si>
    <t>#ifdef SERVO5
#define SERVO5_MASK (1U&lt;&lt;5)
#else
#define SERVO5_MASK 0
#endif</t>
  </si>
  <si>
    <t>#if SERVO5 &gt;= 0
case 5:
mcu_set_ouput(SERVO5);
RTC_OCRB = mcu_servos[5];
#endif</t>
  </si>
  <si>
    <t>#if SERVO5&gt;=0
mcu_config_output(SERVO5);
#endif</t>
  </si>
  <si>
    <t>#if DOUT0&gt;=0
mcu_config_output(DOUT0);
#endif</t>
  </si>
  <si>
    <t>#if DOUT1&gt;=0
mcu_config_output(DOUT1);
#endif</t>
  </si>
  <si>
    <t>#if DOUT2&gt;=0
mcu_config_output(DOUT2);
#endif</t>
  </si>
  <si>
    <t>#if DOUT3&gt;=0
mcu_config_output(DOUT3);
#endif</t>
  </si>
  <si>
    <t>#if DOUT4&gt;=0
mcu_config_output(DOUT4);
#endif</t>
  </si>
  <si>
    <t>#if DOUT5&gt;=0
mcu_config_output(DOUT5);
#endif</t>
  </si>
  <si>
    <t>#if DOUT6&gt;=0
mcu_config_output(DOUT6);
#endif</t>
  </si>
  <si>
    <t>#if DOUT7&gt;=0
mcu_config_output(DOUT7);
#endif</t>
  </si>
  <si>
    <t>#if DOUT8&gt;=0
mcu_config_output(DOUT8);
#endif</t>
  </si>
  <si>
    <t>#if DOUT9&gt;=0
mcu_config_output(DOUT9);
#endif</t>
  </si>
  <si>
    <t>#if DOUT10&gt;=0
mcu_config_output(DOUT10);
#endif</t>
  </si>
  <si>
    <t>#if DOUT11&gt;=0
mcu_config_output(DOUT11);
#endif</t>
  </si>
  <si>
    <t>#if DOUT12&gt;=0
mcu_config_output(DOUT12);
#endif</t>
  </si>
  <si>
    <t>#if DOUT13&gt;=0
mcu_config_output(DOUT13);
#endif</t>
  </si>
  <si>
    <t>#if DOUT14&gt;=0
mcu_config_output(DOUT14);
#endif</t>
  </si>
  <si>
    <t>#if DOUT15&gt;=0
mcu_config_output(DOUT15);
#endif</t>
  </si>
  <si>
    <t>#if DOUT16&gt;=0
mcu_config_output(DOUT16);
#endif</t>
  </si>
  <si>
    <t>#if DOUT17&gt;=0
mcu_config_output(DOUT17);
#endif</t>
  </si>
  <si>
    <t>#if DOUT18&gt;=0
mcu_config_output(DOUT18);
#endif</t>
  </si>
  <si>
    <t>#if DOUT19&gt;=0
mcu_config_output(DOUT19);
#endif</t>
  </si>
  <si>
    <t>#if DOUT20&gt;=0
mcu_config_output(DOUT20);
#endif</t>
  </si>
  <si>
    <t>#if DOUT21&gt;=0
mcu_config_output(DOUT21);
#endif</t>
  </si>
  <si>
    <t>#if DOUT22&gt;=0
mcu_config_output(DOUT22);
#endif</t>
  </si>
  <si>
    <t>#if DOUT23&gt;=0
mcu_config_output(DOUT23);
#endif</t>
  </si>
  <si>
    <t>#if DOUT24&gt;=0
mcu_config_output(DOUT24);
#endif</t>
  </si>
  <si>
    <t>#if DOUT25&gt;=0
mcu_config_output(DOUT25);
#endif</t>
  </si>
  <si>
    <t>#if DOUT26&gt;=0
mcu_config_output(DOUT26);
#endif</t>
  </si>
  <si>
    <t>#if DOUT27&gt;=0
mcu_config_output(DOUT27);
#endif</t>
  </si>
  <si>
    <t>#if DOUT28&gt;=0
mcu_config_output(DOUT28);
#endif</t>
  </si>
  <si>
    <t>#if DOUT29&gt;=0
mcu_config_output(DOUT29);
#endif</t>
  </si>
  <si>
    <t>#if DOUT30&gt;=0
mcu_config_output(DOUT30);
#endif</t>
  </si>
  <si>
    <t>//ISR on change inputs
#define __risereg__(X) (__helper__(IO, X, IntEnR))</t>
  </si>
  <si>
    <t>#if DOUT31&gt;=0
mcu_config_output(DOUT31);
#endif</t>
  </si>
  <si>
    <t>#if(defined(LIMIT_X_ISR) &amp;&amp; defined(LIMIT_X))
#define LIMIT_X_RISEREG (__risereg__(LIMIT_X_PORT))
#define LIMIT_X_FALLREG (__fallreg__(LIMIT_X_PORT))
#define DIO100_ISR (LIMIT_X_ISR)
#define DIO100_RISEREG LIMIT_X_RISEREG
#define DIO100_FALLREG LIMIT_X_FALLREG
#endif</t>
  </si>
  <si>
    <t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t>
  </si>
  <si>
    <t>#if LIMIT_X&gt;=0
mcu_config_input(LIMIT_X);
#ifdef LIMIT_X_PULLUP
mcu_config_pullup(LIMIT_X);
#endif
#ifdef LIMIT_X_ISR
mcu_config_input_isr(LIMIT_X);
#endif
#endif</t>
  </si>
  <si>
    <t>#if(defined(LIMIT_Y_ISR) &amp;&amp; defined(LIMIT_Y))
#define LIMIT_Y_RISEREG (__risereg__(LIMIT_Y_PORT))
#define LIMIT_Y_FALLREG (__fallreg__(LIMIT_Y_PORT))
#define DIO101_ISR (LIMIT_Y_ISR)
#define DIO101_RISEREG LIMIT_Y_RISEREG
#define DIO101_FALLREG LIMIT_Y_FALLREG
#endif</t>
  </si>
  <si>
    <t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t>
  </si>
  <si>
    <t>#if LIMIT_Y&gt;=0
mcu_config_input(LIMIT_Y);
#ifdef LIMIT_Y_PULLUP
mcu_config_pullup(LIMIT_Y);
#endif
#ifdef LIMIT_Y_ISR
mcu_config_input_isr(LIMIT_Y);
#endif
#endif</t>
  </si>
  <si>
    <t>#if(defined(LIMIT_Z_ISR) &amp;&amp; defined(LIMIT_Z))
#define LIMIT_Z_RISEREG (__risereg__(LIMIT_Z_PORT))
#define LIMIT_Z_FALLREG (__fallreg__(LIMIT_Z_PORT))
#define DIO102_ISR (LIMIT_Z_ISR)
#define DIO102_RISEREG LIMIT_Z_RISEREG
#define DIO102_FALLREG LIMIT_Z_FALLREG
#endif</t>
  </si>
  <si>
    <t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t>
  </si>
  <si>
    <t>#if LIMIT_Z&gt;=0
mcu_config_input(LIMIT_Z);
#ifdef LIMIT_Z_PULLUP
mcu_config_pullup(LIMIT_Z);
#endif
#ifdef LIMIT_Z_ISR
mcu_config_input_isr(LIMIT_Z);
#endif
#endif</t>
  </si>
  <si>
    <t>#if(defined(LIMIT_X2_ISR) &amp;&amp; defined(LIMIT_X2))
#define LIMIT_X2_RISEREG (__risereg__(LIMIT_X2_PORT))
#define LIMIT_X2_FALLREG (__fallreg__(LIMIT_X2_PORT))
#define DIO103_ISR (LIMIT_X2_ISR)
#define DIO103_RISEREG LIMIT_X2_RISEREG
#define DIO103_FALLREG LIMIT_X2_FALLREG
#endif</t>
  </si>
  <si>
    <t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t>
  </si>
  <si>
    <t>#if LIMIT_X2&gt;=0
mcu_config_input(LIMIT_X2);
#ifdef LIMIT_X2_PULLUP
mcu_config_pullup(LIMIT_X2);
#endif
#ifdef LIMIT_X2_ISR
mcu_config_input_isr(LIMIT_X2);
#endif
#endif</t>
  </si>
  <si>
    <t>#if(defined(LIMIT_Y2_ISR) &amp;&amp; defined(LIMIT_Y2))
#define LIMIT_Y2_RISEREG (__risereg__(LIMIT_Y2_PORT))
#define LIMIT_Y2_FALLREG (__fallreg__(LIMIT_Y2_PORT))
#define DIO104_ISR (LIMIT_Y2_ISR)
#define DIO104_RISEREG LIMIT_Y2_RISEREG
#define DIO104_FALLREG LIMIT_Y2_FALLREG
#endif</t>
  </si>
  <si>
    <t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t>
  </si>
  <si>
    <t>#if LIMIT_Y2&gt;=0
mcu_config_input(LIMIT_Y2);
#ifdef LIMIT_Y2_PULLUP
mcu_config_pullup(LIMIT_Y2);
#endif
#ifdef LIMIT_Y2_ISR
mcu_config_input_isr(LIMIT_Y2);
#endif
#endif</t>
  </si>
  <si>
    <t>#if(defined(LIMIT_Z2_ISR) &amp;&amp; defined(LIMIT_Z2))
#define LIMIT_Z2_RISEREG (__risereg__(LIMIT_Z2_PORT))
#define LIMIT_Z2_FALLREG (__fallreg__(LIMIT_Z2_PORT))
#define DIO105_ISR (LIMIT_Z2_ISR)
#define DIO105_RISEREG LIMIT_Z2_RISEREG
#define DIO105_FALLREG LIMIT_Z2_FALLREG
#endif</t>
  </si>
  <si>
    <t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t>
  </si>
  <si>
    <t>#if LIMIT_Z2&gt;=0
mcu_config_input(LIMIT_Z2);
#ifdef LIMIT_Z2_PULLUP
mcu_config_pullup(LIMIT_Z2);
#endif
#ifdef LIMIT_Z2_ISR
mcu_config_input_isr(LIMIT_Z2);
#endif
#endif</t>
  </si>
  <si>
    <t>#if(defined(LIMIT_A_ISR) &amp;&amp; defined(LIMIT_A))
#define LIMIT_A_RISEREG (__risereg__(LIMIT_A_PORT))
#define LIMIT_A_FALLREG (__fallreg__(LIMIT_A_PORT))
#define DIO106_ISR (LIMIT_A_ISR)
#define DIO106_RISEREG LIMIT_A_RISEREG
#define DIO106_FALLREG LIMIT_A_FALLREG
#endif</t>
  </si>
  <si>
    <t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t>
  </si>
  <si>
    <t>#if LIMIT_A&gt;=0
mcu_config_input(LIMIT_A);
#ifdef LIMIT_A_PULLUP
mcu_config_pullup(LIMIT_A);
#endif
#ifdef LIMIT_A_ISR
mcu_config_input_isr(LIMIT_A);
#endif
#endif</t>
  </si>
  <si>
    <t>#if(defined(LIMIT_B_ISR) &amp;&amp; defined(LIMIT_B))
#define LIMIT_B_RISEREG (__risereg__(LIMIT_B_PORT))
#define LIMIT_B_FALLREG (__fallreg__(LIMIT_B_PORT))
#define DIO107_ISR (LIMIT_B_ISR)
#define DIO107_RISEREG LIMIT_B_RISEREG
#define DIO107_FALLREG LIMIT_B_FALLREG
#endif</t>
  </si>
  <si>
    <t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t>
  </si>
  <si>
    <t>#if LIMIT_B&gt;=0
mcu_config_input(LIMIT_B);
#ifdef LIMIT_B_PULLUP
mcu_config_pullup(LIMIT_B);
#endif
#ifdef LIMIT_B_ISR
mcu_config_input_isr(LIMIT_B);
#endif
#endif</t>
  </si>
  <si>
    <t>#if(defined(LIMIT_C_ISR) &amp;&amp; defined(LIMIT_C))
#define LIMIT_C_RISEREG (__risereg__(LIMIT_C_PORT))
#define LIMIT_C_FALLREG (__fallreg__(LIMIT_C_PORT))
#define DIO108_ISR (LIMIT_C_ISR)
#define DIO108_RISEREG LIMIT_C_RISEREG
#define DIO108_FALLREG LIMIT_C_FALLREG
#endif</t>
  </si>
  <si>
    <t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t>
  </si>
  <si>
    <t>#if LIMIT_C&gt;=0
mcu_config_input(LIMIT_C);
#ifdef LIMIT_C_PULLUP
mcu_config_pullup(LIMIT_C);
#endif
#ifdef LIMIT_C_ISR
mcu_config_input_isr(LIMIT_C);
#endif
#endif</t>
  </si>
  <si>
    <t>#if(defined(PROBE_ISR) &amp;&amp; defined(PROBE))
#define PROBE_RISEREG (__risereg__(PROBE_PORT))
#define PROBE_FALLREG (__fallreg__(PROBE_PORT))
#define DIO109_ISR (PROBE_ISR)
#define DIO109_RISEREG PROBE_RISEREG
#define DIO109_FALLREG PROBE_FALLREG
#endif</t>
  </si>
  <si>
    <t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t>
  </si>
  <si>
    <t>#if PROBE&gt;=0
mcu_config_input(PROBE);
#ifdef PROBE_PULLUP
mcu_config_pullup(PROBE);
#endif
#ifdef PROBE_ISR
mcu_config_input_isr(PROBE);
#endif
#endif</t>
  </si>
  <si>
    <t>#if(defined(ESTOP_ISR) &amp;&amp; defined(ESTOP))
#define ESTOP_RISEREG (__risereg__(ESTOP_PORT))
#define ESTOP_FALLREG (__fallreg__(ESTOP_PORT))
#define DIO110_ISR (ESTOP_ISR)
#define DIO110_RISEREG ESTOP_RISEREG
#define DIO110_FALLREG ESTOP_FALLREG
#endif</t>
  </si>
  <si>
    <t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t>
  </si>
  <si>
    <t>#if ESTOP&gt;=0
mcu_config_input(ESTOP);
#ifdef ESTOP_PULLUP
mcu_config_pullup(ESTOP);
#endif
#ifdef ESTOP_ISR
mcu_config_input_isr(ESTOP);
#endif
#endif</t>
  </si>
  <si>
    <t>#if(defined(SAFETY_DOOR_ISR) &amp;&amp; defined(SAFETY_DOOR))
#define SAFETY_DOOR_RISEREG (__risereg__(SAFETY_DOOR_PORT))
#define SAFETY_DOOR_FALLREG (__fallreg__(SAFETY_DOOR_PORT))
#define DIO111_ISR (SAFETY_DOOR_ISR)
#define DIO111_RISEREG SAFETY_DOOR_RISEREG
#define DIO111_FALLREG SAFETY_DOOR_FALLREG
#endif</t>
  </si>
  <si>
    <t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t>
  </si>
  <si>
    <t>#if SAFETY_DOOR&gt;=0
mcu_config_input(SAFETY_DOOR);
#ifdef SAFETY_DOOR_PULLUP
mcu_config_pullup(SAFETY_DOOR);
#endif
#ifdef SAFETY_DOOR_ISR
mcu_config_input_isr(SAFETY_DOOR);
#endif
#endif</t>
  </si>
  <si>
    <t>#if(defined(FHOLD_ISR) &amp;&amp; defined(FHOLD))
#define FHOLD_RISEREG (__risereg__(FHOLD_PORT))
#define FHOLD_FALLREG (__fallreg__(FHOLD_PORT))
#define DIO112_ISR (FHOLD_ISR)
#define DIO112_RISEREG FHOLD_RISEREG
#define DIO112_FALLREG FHOLD_FALLREG
#endif</t>
  </si>
  <si>
    <t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t>
  </si>
  <si>
    <t>#if FHOLD&gt;=0
mcu_config_input(FHOLD);
#ifdef FHOLD_PULLUP
mcu_config_pullup(FHOLD);
#endif
#ifdef FHOLD_ISR
mcu_config_input_isr(FHOLD);
#endif
#endif</t>
  </si>
  <si>
    <t>#if(defined(CS_RES_ISR) &amp;&amp; defined(CS_RES))
#define CS_RES_RISEREG (__risereg__(CS_RES_PORT))
#define CS_RES_FALLREG (__fallreg__(CS_RES_PORT))
#define DIO113_ISR (CS_RES_ISR)
#define DIO113_RISEREG CS_RES_RISEREG
#define DIO113_FALLREG CS_RES_FALLREG
#endif</t>
  </si>
  <si>
    <t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t>
  </si>
  <si>
    <t>#if CS_RES&gt;=0
mcu_config_input(CS_RES);
#ifdef CS_RES_PULLUP
mcu_config_pullup(CS_RES);
#endif
#ifdef CS_RES_ISR
mcu_config_input_isr(CS_RES);
#endif
#endif</t>
  </si>
  <si>
    <t>#if (defined(ANALOG0) &amp;&amp; defined(ANALOG0_CHANNEL))
#define ANALOG0_ADDR __helper__(ADDR, ANALOG0_CHANNEL, )
#if (ANALOG0_CHANNEL &lt; 4)
#define ANALOG0_PINSEL 1
#define ANALOG0_ALT_FUNC 1
#elif (ANALOG0_CHANNEL &gt; 5)
#define ANALOG0_PINSEL 0
#define ANALOG0_ALT_FUNC 2
#else
#define ANALOG0_PINSEL 3
#define ANALOG0_ALT_FUNC 3
#endif
#define DIO114_PINSEL ANALOG0_PINSEL
#define DIO114_ALT_FUNC ANALOG0_ALT_FUNC
#define DIO114_CHANNEL ANALOG0_CHANNEL
#define DIO114_ADDR ANALOG0_ADDR
#endif</t>
  </si>
  <si>
    <t>#if ANALOG0&gt;=0
mcu_config_input(ANALOG0);
#endif</t>
  </si>
  <si>
    <t>#if (defined(ANALOG1) &amp;&amp; defined(ANALOG1_CHANNEL))
#define ANALOG1_ADDR __helper__(ADDR, ANALOG1_CHANNEL, )
#if (ANALOG1_CHANNEL &lt; 4)
#define ANALOG1_PINSEL 1
#define ANALOG1_ALT_FUNC 1
#elif (ANALOG1_CHANNEL &gt; 5)
#define ANALOG1_PINSEL 0
#define ANALOG1_ALT_FUNC 2
#else
#define ANALOG1_PINSEL 3
#define ANALOG1_ALT_FUNC 3
#endif
#define DIO115_PINSEL ANALOG1_PINSEL
#define DIO115_ALT_FUNC ANALOG1_ALT_FUNC
#define DIO115_CHANNEL ANALOG1_CHANNEL
#define DIO115_ADDR ANALOG1_ADDR
#endif</t>
  </si>
  <si>
    <t>#if ANALOG1&gt;=0
mcu_config_input(ANALOG1);
#endif</t>
  </si>
  <si>
    <t>#if (defined(ANALOG2) &amp;&amp; defined(ANALOG2_CHANNEL))
#define ANALOG2_ADDR __helper__(ADDR, ANALOG2_CHANNEL, )
#if (ANALOG2_CHANNEL &lt; 4)
#define ANALOG2_PINSEL 1
#define ANALOG2_ALT_FUNC 1
#elif (ANALOG2_CHANNEL &gt; 5)
#define ANALOG2_PINSEL 0
#define ANALOG2_ALT_FUNC 2
#else
#define ANALOG2_PINSEL 3
#define ANALOG2_ALT_FUNC 3
#endif
#define DIO116_PINSEL ANALOG2_PINSEL
#define DIO116_ALT_FUNC ANALOG2_ALT_FUNC
#define DIO116_CHANNEL ANALOG2_CHANNEL
#define DIO116_ADDR ANALOG2_ADDR
#endif</t>
  </si>
  <si>
    <t>#if ANALOG2&gt;=0
mcu_config_input(ANALOG2);
#endif</t>
  </si>
  <si>
    <t>#if (defined(ANALOG3) &amp;&amp; defined(ANALOG3_CHANNEL))
#define ANALOG3_ADDR __helper__(ADDR, ANALOG3_CHANNEL, )
#if (ANALOG3_CHANNEL &lt; 4)
#define ANALOG3_PINSEL 1
#define ANALOG3_ALT_FUNC 1
#elif (ANALOG3_CHANNEL &gt; 5)
#define ANALOG3_PINSEL 0
#define ANALOG3_ALT_FUNC 2
#else
#define ANALOG3_PINSEL 3
#define ANALOG3_ALT_FUNC 3
#endif
#define DIO117_PINSEL ANALOG3_PINSEL
#define DIO117_ALT_FUNC ANALOG3_ALT_FUNC
#define DIO117_CHANNEL ANALOG3_CHANNEL
#define DIO117_ADDR ANALOG3_ADDR
#endif</t>
  </si>
  <si>
    <t>#if ANALOG3&gt;=0
mcu_config_input(ANALOG3);
#endif</t>
  </si>
  <si>
    <t>#if (defined(ANALOG4) &amp;&amp; defined(ANALOG4_CHANNEL))
#define ANALOG4_ADDR __helper__(ADDR, ANALOG4_CHANNEL, )
#if (ANALOG4_CHANNEL &lt; 4)
#define ANALOG4_PINSEL 1
#define ANALOG4_ALT_FUNC 1
#elif (ANALOG4_CHANNEL &gt; 5)
#define ANALOG4_PINSEL 0
#define ANALOG4_ALT_FUNC 2
#else
#define ANALOG4_PINSEL 3
#define ANALOG4_ALT_FUNC 3
#endif
#define DIO118_PINSEL ANALOG4_PINSEL
#define DIO118_ALT_FUNC ANALOG4_ALT_FUNC
#define DIO118_CHANNEL ANALOG4_CHANNEL
#define DIO118_ADDR ANALOG4_ADDR
#endif</t>
  </si>
  <si>
    <t>#if ANALOG4&gt;=0
mcu_config_input(ANALOG4);
#endif</t>
  </si>
  <si>
    <t>#if (defined(ANALOG5) &amp;&amp; defined(ANALOG5_CHANNEL))
#define ANALOG5_ADDR __helper__(ADDR, ANALOG5_CHANNEL, )
#if (ANALOG5_CHANNEL &lt; 4)
#define ANALOG5_PINSEL 1
#define ANALOG5_ALT_FUNC 1
#elif (ANALOG5_CHANNEL &gt; 5)
#define ANALOG5_PINSEL 0
#define ANALOG5_ALT_FUNC 2
#else
#define ANALOG5_PINSEL 3
#define ANALOG5_ALT_FUNC 3
#endif
#define DIO119_PINSEL ANALOG5_PINSEL
#define DIO119_ALT_FUNC ANALOG5_ALT_FUNC
#define DIO119_CHANNEL ANALOG5_CHANNEL
#define DIO119_ADDR ANALOG5_ADDR
#endif</t>
  </si>
  <si>
    <t>#if ANALOG5&gt;=0
mcu_config_input(ANALOG5);
#endif</t>
  </si>
  <si>
    <t>#if (defined(ANALOG6) &amp;&amp; defined(ANALOG6_CHANNEL))
#define ANALOG6_ADDR __helper__(ADDR, ANALOG6_CHANNEL, )
#if (ANALOG6_CHANNEL &lt; 4)
#define ANALOG6_PINSEL 1
#define ANALOG6_ALT_FUNC 1
#elif (ANALOG6_CHANNEL &gt; 5)
#define ANALOG6_PINSEL 0
#define ANALOG6_ALT_FUNC 2
#else
#define ANALOG6_PINSEL 3
#define ANALOG6_ALT_FUNC 3
#endif
#define DIO120_PINSEL ANALOG6_PINSEL
#define DIO120_ALT_FUNC ANALOG6_ALT_FUNC
#define DIO120_CHANNEL ANALOG6_CHANNEL
#define DIO120_ADDR ANALOG6_ADDR
#endif</t>
  </si>
  <si>
    <t>#if ANALOG6&gt;=0
mcu_config_input(ANALOG6);
#endif</t>
  </si>
  <si>
    <t>#if (defined(ANALOG7) &amp;&amp; defined(ANALOG7_CHANNEL))
#define ANALOG7_ADDR __helper__(ADDR, ANALOG7_CHANNEL, )
#if (ANALOG7_CHANNEL &lt; 4)
#define ANALOG7_PINSEL 1
#define ANALOG7_ALT_FUNC 1
#elif (ANALOG7_CHANNEL &gt; 5)
#define ANALOG7_PINSEL 0
#define ANALOG7_ALT_FUNC 2
#else
#define ANALOG7_PINSEL 3
#define ANALOG7_ALT_FUNC 3
#endif
#define DIO121_PINSEL ANALOG7_PINSEL
#define DIO121_ALT_FUNC ANALOG7_ALT_FUNC
#define DIO121_CHANNEL ANALOG7_CHANNEL
#define DIO121_ADDR ANALOG7_ADDR
#endif</t>
  </si>
  <si>
    <t>#if ANALOG7&gt;=0
mcu_config_input(ANALOG7);
#endif</t>
  </si>
  <si>
    <t>#if (defined(ANALOG8) &amp;&amp; defined(ANALOG8_CHANNEL))
#define ANALOG8_ADDR __helper__(ADDR, ANALOG8_CHANNEL, )
#if (ANALOG8_CHANNEL &lt; 4)
#define ANALOG8_PINSEL 1
#define ANALOG8_ALT_FUNC 1
#elif (ANALOG8_CHANNEL &gt; 5)
#define ANALOG8_PINSEL 0
#define ANALOG8_ALT_FUNC 2
#else
#define ANALOG8_PINSEL 3
#define ANALOG8_ALT_FUNC 3
#endif
#define DIO122_PINSEL ANALOG8_PINSEL
#define DIO122_ALT_FUNC ANALOG8_ALT_FUNC
#define DIO122_CHANNEL ANALOG8_CHANNEL
#define DIO122_ADDR ANALOG8_ADDR
#endif</t>
  </si>
  <si>
    <t>#if ANALOG8&gt;=0
mcu_config_input(ANALOG8);
#endif</t>
  </si>
  <si>
    <t>#if (defined(ANALOG9) &amp;&amp; defined(ANALOG9_CHANNEL))
#define ANALOG9_ADDR __helper__(ADDR, ANALOG9_CHANNEL, )
#if (ANALOG9_CHANNEL &lt; 4)
#define ANALOG9_PINSEL 1
#define ANALOG9_ALT_FUNC 1
#elif (ANALOG9_CHANNEL &gt; 5)
#define ANALOG9_PINSEL 0
#define ANALOG9_ALT_FUNC 2
#else
#define ANALOG9_PINSEL 3
#define ANALOG9_ALT_FUNC 3
#endif
#define DIO123_PINSEL ANALOG9_PINSEL
#define DIO123_ALT_FUNC ANALOG9_ALT_FUNC
#define DIO123_CHANNEL ANALOG9_CHANNEL
#define DIO123_ADDR ANALOG9_ADDR
#endif</t>
  </si>
  <si>
    <t>#if ANALOG9&gt;=0
mcu_config_input(ANALOG9);
#endif</t>
  </si>
  <si>
    <t>#if (defined(ANALOG10) &amp;&amp; defined(ANALOG10_CHANNEL))
#define ANALOG10_ADDR __helper__(ADDR, ANALOG10_CHANNEL, )
#if (ANALOG10_CHANNEL &lt; 4)
#define ANALOG10_PINSEL 1
#define ANALOG10_ALT_FUNC 1
#elif (ANALOG10_CHANNEL &gt; 5)
#define ANALOG10_PINSEL 0
#define ANALOG10_ALT_FUNC 2
#else
#define ANALOG10_PINSEL 3
#define ANALOG10_ALT_FUNC 3
#endif
#define DIO124_PINSEL ANALOG10_PINSEL
#define DIO124_ALT_FUNC ANALOG10_ALT_FUNC
#define DIO124_CHANNEL ANALOG10_CHANNEL
#define DIO124_ADDR ANALOG10_ADDR
#endif</t>
  </si>
  <si>
    <t>#if ANALOG10&gt;=0
mcu_config_input(ANALOG10);
#endif</t>
  </si>
  <si>
    <t>#if (defined(ANALOG11) &amp;&amp; defined(ANALOG11_CHANNEL))
#define ANALOG11_ADDR __helper__(ADDR, ANALOG11_CHANNEL, )
#if (ANALOG11_CHANNEL &lt; 4)
#define ANALOG11_PINSEL 1
#define ANALOG11_ALT_FUNC 1
#elif (ANALOG11_CHANNEL &gt; 5)
#define ANALOG11_PINSEL 0
#define ANALOG11_ALT_FUNC 2
#else
#define ANALOG11_PINSEL 3
#define ANALOG11_ALT_FUNC 3
#endif
#define DIO125_PINSEL ANALOG11_PINSEL
#define DIO125_ALT_FUNC ANALOG11_ALT_FUNC
#define DIO125_CHANNEL ANALOG11_CHANNEL
#define DIO125_ADDR ANALOG11_ADDR
#endif</t>
  </si>
  <si>
    <t>#if ANALOG11&gt;=0
mcu_config_input(ANALOG11);
#endif</t>
  </si>
  <si>
    <t>#if (defined(ANALOG12) &amp;&amp; defined(ANALOG12_CHANNEL))
#define ANALOG12_ADDR __helper__(ADDR, ANALOG12_CHANNEL, )
#if (ANALOG12_CHANNEL &lt; 4)
#define ANALOG12_PINSEL 1
#define ANALOG12_ALT_FUNC 1
#elif (ANALOG12_CHANNEL &gt; 5)
#define ANALOG12_PINSEL 0
#define ANALOG12_ALT_FUNC 2
#else
#define ANALOG12_PINSEL 3
#define ANALOG12_ALT_FUNC 3
#endif
#define DIO126_PINSEL ANALOG12_PINSEL
#define DIO126_ALT_FUNC ANALOG12_ALT_FUNC
#define DIO126_CHANNEL ANALOG12_CHANNEL
#define DIO126_ADDR ANALOG12_ADDR
#endif</t>
  </si>
  <si>
    <t>#if ANALOG12&gt;=0
mcu_config_input(ANALOG12);
#endif</t>
  </si>
  <si>
    <t>#if (defined(ANALOG13) &amp;&amp; defined(ANALOG13_CHANNEL))
#define ANALOG13_ADDR __helper__(ADDR, ANALOG13_CHANNEL, )
#if (ANALOG13_CHANNEL &lt; 4)
#define ANALOG13_PINSEL 1
#define ANALOG13_ALT_FUNC 1
#elif (ANALOG13_CHANNEL &gt; 5)
#define ANALOG13_PINSEL 0
#define ANALOG13_ALT_FUNC 2
#else
#define ANALOG13_PINSEL 3
#define ANALOG13_ALT_FUNC 3
#endif
#define DIO127_PINSEL ANALOG13_PINSEL
#define DIO127_ALT_FUNC ANALOG13_ALT_FUNC
#define DIO127_CHANNEL ANALOG13_CHANNEL
#define DIO127_ADDR ANALOG13_ADDR
#endif</t>
  </si>
  <si>
    <t>#if ANALOG13&gt;=0
mcu_config_input(ANALOG13);
#endif</t>
  </si>
  <si>
    <t>#if (defined(ANALOG14) &amp;&amp; defined(ANALOG14_CHANNEL))
#define ANALOG14_ADDR __helper__(ADDR, ANALOG14_CHANNEL, )
#if (ANALOG14_CHANNEL &lt; 4)
#define ANALOG14_PINSEL 1
#define ANALOG14_ALT_FUNC 1
#elif (ANALOG14_CHANNEL &gt; 5)
#define ANALOG14_PINSEL 0
#define ANALOG14_ALT_FUNC 2
#else
#define ANALOG14_PINSEL 3
#define ANALOG14_ALT_FUNC 3
#endif
#define DIO128_PINSEL ANALOG14_PINSEL
#define DIO128_ALT_FUNC ANALOG14_ALT_FUNC
#define DIO128_CHANNEL ANALOG14_CHANNEL
#define DIO128_ADDR ANALOG14_ADDR
#endif</t>
  </si>
  <si>
    <t>#if ANALOG14&gt;=0
mcu_config_input(ANALOG14);
#endif</t>
  </si>
  <si>
    <t>#if (defined(ANALOG15) &amp;&amp; defined(ANALOG15_CHANNEL))
#define ANALOG15_ADDR __helper__(ADDR, ANALOG15_CHANNEL, )
#if (ANALOG15_CHANNEL &lt; 4)
#define ANALOG15_PINSEL 1
#define ANALOG15_ALT_FUNC 1
#elif (ANALOG15_CHANNEL &gt; 5)
#define ANALOG15_PINSEL 0
#define ANALOG15_ALT_FUNC 2
#else
#define ANALOG15_PINSEL 3
#define ANALOG15_ALT_FUNC 3
#endif
#define DIO129_PINSEL ANALOG15_PINSEL
#define DIO129_ALT_FUNC ANALOG15_ALT_FUNC
#define DIO129_CHANNEL ANALOG15_CHANNEL
#define DIO129_ADDR ANALOG15_ADDR
#endif</t>
  </si>
  <si>
    <t>#if ANALOG15&gt;=0
mcu_config_input(ANALOG15);
#endif</t>
  </si>
  <si>
    <t>#if(defined(DIN0_ISR) &amp;&amp; defined(DIN0))
#define DIN0_RISEREG (__risereg__(DIN0_PORT))
#define DIN0_FALLREG (__fallreg__(DIN0_PORT))
#define DIO130_ISR (DIN0_ISR)
#define DIO130_RISEREG DIN0_RISEREG
#define DIO130_FALLREG DIN0_FALLREG
#endif</t>
  </si>
  <si>
    <t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t>
  </si>
  <si>
    <t>#if DIN0&gt;=0
mcu_config_input(DIN0);
#ifdef DIN0_PULLUP
mcu_config_pullup(DIN0);
#endif
#ifdef DIN0_ISR
mcu_config_input_isr(DIN0);
#endif
#endif</t>
  </si>
  <si>
    <t>#if(defined(DIN1_ISR) &amp;&amp; defined(DIN1))
#define DIN1_RISEREG (__risereg__(DIN1_PORT))
#define DIN1_FALLREG (__fallreg__(DIN1_PORT))
#define DIO131_ISR (DIN1_ISR)
#define DIO131_RISEREG DIN1_RISEREG
#define DIO131_FALLREG DIN1_FALLREG
#endif</t>
  </si>
  <si>
    <t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t>
  </si>
  <si>
    <t>#if DIN1&gt;=0
mcu_config_input(DIN1);
#ifdef DIN1_PULLUP
mcu_config_pullup(DIN1);
#endif
#ifdef DIN1_ISR
mcu_config_input_isr(DIN1);
#endif
#endif</t>
  </si>
  <si>
    <t>#if(defined(DIN2_ISR) &amp;&amp; defined(DIN2))
#define DIN2_RISEREG (__risereg__(DIN2_PORT))
#define DIN2_FALLREG (__fallreg__(DIN2_PORT))
#define DIO132_ISR (DIN2_ISR)
#define DIO132_RISEREG DIN2_RISEREG
#define DIO132_FALLREG DIN2_FALLREG
#endif</t>
  </si>
  <si>
    <t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t>
  </si>
  <si>
    <t>#if DIN2&gt;=0
mcu_config_input(DIN2);
#ifdef DIN2_PULLUP
mcu_config_pullup(DIN2);
#endif
#ifdef DIN2_ISR
mcu_config_input_isr(DIN2);
#endif
#endif</t>
  </si>
  <si>
    <t>#if(defined(DIN3_ISR) &amp;&amp; defined(DIN3))
#define DIN3_RISEREG (__risereg__(DIN3_PORT))
#define DIN3_FALLREG (__fallreg__(DIN3_PORT))
#define DIO133_ISR (DIN3_ISR)
#define DIO133_RISEREG DIN3_RISEREG
#define DIO133_FALLREG DIN3_FALLREG
#endif</t>
  </si>
  <si>
    <t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t>
  </si>
  <si>
    <t>#if DIN3&gt;=0
mcu_config_input(DIN3);
#ifdef DIN3_PULLUP
mcu_config_pullup(DIN3);
#endif
#ifdef DIN3_ISR
mcu_config_input_isr(DIN3);
#endif
#endif</t>
  </si>
  <si>
    <t>#if(defined(DIN4_ISR) &amp;&amp; defined(DIN4))
#define DIN4_RISEREG (__risereg__(DIN4_PORT))
#define DIN4_FALLREG (__fallreg__(DIN4_PORT))
#define DIO134_ISR (DIN4_ISR)
#define DIO134_RISEREG DIN4_RISEREG
#define DIO134_FALLREG DIN4_FALLREG
#endif</t>
  </si>
  <si>
    <t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t>
  </si>
  <si>
    <t>#if DIN4&gt;=0
mcu_config_input(DIN4);
#ifdef DIN4_PULLUP
mcu_config_pullup(DIN4);
#endif
#ifdef DIN4_ISR
mcu_config_input_isr(DIN4);
#endif
#endif</t>
  </si>
  <si>
    <t>#if(defined(DIN5_ISR) &amp;&amp; defined(DIN5))
#define DIN5_RISEREG (__risereg__(DIN5_PORT))
#define DIN5_FALLREG (__fallreg__(DIN5_PORT))
#define DIO135_ISR (DIN5_ISR)
#define DIO135_RISEREG DIN5_RISEREG
#define DIO135_FALLREG DIN5_FALLREG
#endif</t>
  </si>
  <si>
    <t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t>
  </si>
  <si>
    <t>#if DIN5&gt;=0
mcu_config_input(DIN5);
#ifdef DIN5_PULLUP
mcu_config_pullup(DIN5);
#endif
#ifdef DIN5_ISR
mcu_config_input_isr(DIN5);
#endif
#endif</t>
  </si>
  <si>
    <t>#if(defined(DIN6_ISR) &amp;&amp; defined(DIN6))
#define DIN6_RISEREG (__risereg__(DIN6_PORT))
#define DIN6_FALLREG (__fallreg__(DIN6_PORT))
#define DIO136_ISR (DIN6_ISR)
#define DIO136_RISEREG DIN6_RISEREG
#define DIO136_FALLREG DIN6_FALLREG
#endif</t>
  </si>
  <si>
    <t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t>
  </si>
  <si>
    <t>#if DIN6&gt;=0
mcu_config_input(DIN6);
#ifdef DIN6_PULLUP
mcu_config_pullup(DIN6);
#endif
#ifdef DIN6_ISR
mcu_config_input_isr(DIN6);
#endif
#endif</t>
  </si>
  <si>
    <t>#if(defined(DIN7_ISR) &amp;&amp; defined(DIN7))
#define DIN7_RISEREG (__risereg__(DIN7_PORT))
#define DIN7_FALLREG (__fallreg__(DIN7_PORT))
#define DIO137_ISR (DIN7_ISR)
#define DIO137_RISEREG DIN7_RISEREG
#define DIO137_FALLREG DIN7_FALLREG
#endif</t>
  </si>
  <si>
    <t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t>
  </si>
  <si>
    <t>#if DIN7&gt;=0
mcu_config_input(DIN7);
#ifdef DIN7_PULLUP
mcu_config_pullup(DIN7);
#endif
#ifdef DIN7_ISR
mcu_config_input_isr(DIN7);
#endif
#endif</t>
  </si>
  <si>
    <t>#if DIN8&gt;=0
mcu_config_input(DIN8);
#ifdef DIN8_PULLUP
mcu_config_pullup(DIN8);
#endif
#endif</t>
  </si>
  <si>
    <t>#if DIN9&gt;=0
mcu_config_input(DIN9);
#ifdef DIN9_PULLUP
mcu_config_pullup(DIN9);
#endif
#endif</t>
  </si>
  <si>
    <t>#if DIN10&gt;=0
mcu_config_input(DIN10);
#ifdef DIN10_PULLUP
mcu_config_pullup(DIN10);
#endif
#endif</t>
  </si>
  <si>
    <t>#if DIN11&gt;=0
mcu_config_input(DIN11);
#ifdef DIN11_PULLUP
mcu_config_pullup(DIN11);
#endif
#endif</t>
  </si>
  <si>
    <t>#if DIN12&gt;=0
mcu_config_input(DIN12);
#ifdef DIN12_PULLUP
mcu_config_pullup(DIN12);
#endif
#endif</t>
  </si>
  <si>
    <t>#if DIN13&gt;=0
mcu_config_input(DIN13);
#ifdef DIN13_PULLUP
mcu_config_pullup(DIN13);
#endif
#endif</t>
  </si>
  <si>
    <t>#if DIN14&gt;=0
mcu_config_input(DIN14);
#ifdef DIN14_PULLUP
mcu_config_pullup(DIN14);
#endif
#endif</t>
  </si>
  <si>
    <t>#if DIN15&gt;=0
mcu_config_input(DIN15);
#ifdef DIN15_PULLUP
mcu_config_pullup(DIN15);
#endif
#endif</t>
  </si>
  <si>
    <t>#if DIN16&gt;=0
mcu_config_input(DIN16);
#ifdef DIN16_PULLUP
mcu_config_pullup(DIN16);
#endif
#endif</t>
  </si>
  <si>
    <t>#if DIN17&gt;=0
mcu_config_input(DIN17);
#ifdef DIN17_PULLUP
mcu_config_pullup(DIN17);
#endif
#endif</t>
  </si>
  <si>
    <t>#if DIN18&gt;=0
mcu_config_input(DIN18);
#ifdef DIN18_PULLUP
mcu_config_pullup(DIN18);
#endif
#endif</t>
  </si>
  <si>
    <t>#if DIN19&gt;=0
mcu_config_input(DIN19);
#ifdef DIN19_PULLUP
mcu_config_pullup(DIN19);
#endif
#endif</t>
  </si>
  <si>
    <t>#if DIN20&gt;=0
mcu_config_input(DIN20);
#ifdef DIN20_PULLUP
mcu_config_pullup(DIN20);
#endif
#endif</t>
  </si>
  <si>
    <t>#if DIN21&gt;=0
mcu_config_input(DIN21);
#ifdef DIN21_PULLUP
mcu_config_pullup(DIN21);
#endif
#endif</t>
  </si>
  <si>
    <t>#if DIN22&gt;=0
mcu_config_input(DIN22);
#ifdef DIN22_PULLUP
mcu_config_pullup(DIN22);
#endif
#endif</t>
  </si>
  <si>
    <t>#if DIN23&gt;=0
mcu_config_input(DIN23);
#ifdef DIN23_PULLUP
mcu_config_pullup(DIN23);
#endif
#endif</t>
  </si>
  <si>
    <t>#if DIN24&gt;=0
mcu_config_input(DIN24);
#ifdef DIN24_PULLUP
mcu_config_pullup(DIN24);
#endif
#endif</t>
  </si>
  <si>
    <t>#if DIN25&gt;=0
mcu_config_input(DIN25);
#ifdef DIN25_PULLUP
mcu_config_pullup(DIN25);
#endif
#endif</t>
  </si>
  <si>
    <t>#if DIN26&gt;=0
mcu_config_input(DIN26);
#ifdef DIN26_PULLUP
mcu_config_pullup(DIN26);
#endif
#endif</t>
  </si>
  <si>
    <t>#if DIN27&gt;=0
mcu_config_input(DIN27);
#ifdef DIN27_PULLUP
mcu_config_pullup(DIN27);
#endif
#endif</t>
  </si>
  <si>
    <t>#if DIN28&gt;=0
mcu_config_input(DIN28);
#ifdef DIN28_PULLUP
mcu_config_pullup(DIN28);
#endif
#endif</t>
  </si>
  <si>
    <t>#if DIN29&gt;=0
mcu_config_input(DIN29);
#ifdef DIN29_PULLUP
mcu_config_pullup(DIN29);
#endif
#endif</t>
  </si>
  <si>
    <t>#if DIN30&gt;=0
mcu_config_input(DIN30);
#ifdef DIN30_PULLUP
mcu_config_pullup(DIN30);
#endif
#endif</t>
  </si>
  <si>
    <t>#if DIN31&gt;=0
mcu_config_input(DIN31);
#ifdef DIN31_PULLUP
mcu_config_pullup(DIN31);
#endif
#endif</t>
  </si>
  <si>
    <t>#if TX&gt;=0
mcu_config_output(TX);
#endif</t>
  </si>
  <si>
    <t>#if RX&gt;=0
mcu_config_input(RX);
#ifdef RX_PULLUP
mcu_config_pullup(RX);
#endif
#endif</t>
  </si>
  <si>
    <t>#if USB_DM&gt;=0
mcu_config_input(USB_DM);
#ifdef USB_DM_PULLUP
mcu_config_pullup(USB_DM);
#endif
#endif</t>
  </si>
  <si>
    <t>#if USB_DP&gt;=0
mcu_config_input(USB_DP);
#ifdef USB_DP_PULLUP
mcu_config_pullup(USB_DP);
#endif
#endif</t>
  </si>
  <si>
    <t>#if SPI_CLK&gt;=0
mcu_config_output(SPI_CLK);
#endif</t>
  </si>
  <si>
    <t>#if SPI_SDI&gt;=0
mcu_config_input(SPI_SDI);
#ifdef SPI_SDI_PULLUP
mcu_config_pullup(SPI_SDI);
#endif
#endif</t>
  </si>
  <si>
    <t>#if SPI_SDO&gt;=0
mcu_config_output(SPI_SDO);
#endif</t>
  </si>
  <si>
    <t>SPI_CS</t>
  </si>
  <si>
    <t>Group</t>
  </si>
  <si>
    <t>STEPS</t>
  </si>
  <si>
    <t>DIRS</t>
  </si>
  <si>
    <t>STEPS_EN</t>
  </si>
  <si>
    <t>PWMS</t>
  </si>
  <si>
    <t>SERVOS</t>
  </si>
  <si>
    <t>DOUTS</t>
  </si>
  <si>
    <t>TX2</t>
  </si>
  <si>
    <t>RX2</t>
  </si>
  <si>
    <t>Offsets</t>
  </si>
  <si>
    <t>normalio</t>
  </si>
  <si>
    <t>pwm</t>
  </si>
  <si>
    <t>servo</t>
  </si>
  <si>
    <t>analog</t>
  </si>
  <si>
    <t>num</t>
  </si>
  <si>
    <t>tx</t>
  </si>
  <si>
    <t>rx</t>
  </si>
  <si>
    <t>cs</t>
  </si>
  <si>
    <t>ITP</t>
  </si>
  <si>
    <t>SERVO</t>
  </si>
  <si>
    <t>ONESHOT</t>
  </si>
  <si>
    <t>UART port</t>
  </si>
  <si>
    <t>AFIO</t>
  </si>
  <si>
    <t>UART PIN</t>
  </si>
  <si>
    <t>STM PIN</t>
  </si>
  <si>
    <t>A14</t>
  </si>
  <si>
    <t>A15</t>
  </si>
  <si>
    <t>A0</t>
  </si>
  <si>
    <t>A1</t>
  </si>
  <si>
    <t>A4</t>
  </si>
  <si>
    <t>A5</t>
  </si>
  <si>
    <t>B3</t>
  </si>
  <si>
    <t>B4</t>
  </si>
  <si>
    <t>C0</t>
  </si>
  <si>
    <t>C1</t>
  </si>
  <si>
    <t>C6</t>
  </si>
  <si>
    <t>C7</t>
  </si>
  <si>
    <t>C4</t>
  </si>
  <si>
    <t>C5</t>
  </si>
  <si>
    <t>C8</t>
  </si>
  <si>
    <t>C9</t>
  </si>
  <si>
    <t>C2</t>
  </si>
  <si>
    <t>C3</t>
  </si>
  <si>
    <t>D13</t>
  </si>
  <si>
    <t>D14</t>
  </si>
  <si>
    <t>E8</t>
  </si>
  <si>
    <t>E9</t>
  </si>
  <si>
    <t>E10</t>
  </si>
  <si>
    <t>E11</t>
  </si>
  <si>
    <t>F2</t>
  </si>
  <si>
    <t>F3</t>
  </si>
  <si>
    <t>UART</t>
  </si>
  <si>
    <t>I2C_DATA</t>
  </si>
  <si>
    <t>I2C</t>
  </si>
  <si>
    <t>I2C_CLK</t>
  </si>
  <si>
    <t>B8</t>
  </si>
  <si>
    <t>B9</t>
  </si>
  <si>
    <t>B13</t>
  </si>
  <si>
    <t>B14</t>
  </si>
  <si>
    <t>DIO212</t>
  </si>
  <si>
    <t>SPI2_CLK</t>
  </si>
  <si>
    <t>DIO213</t>
  </si>
  <si>
    <t>SPI2_SDI</t>
  </si>
  <si>
    <t>DIO214</t>
  </si>
  <si>
    <t>SPI2_SDO</t>
  </si>
  <si>
    <t>DIO215</t>
  </si>
  <si>
    <t>SPI2_CS</t>
  </si>
  <si>
    <t>DOUT32</t>
  </si>
  <si>
    <t>DOUT33</t>
  </si>
  <si>
    <t>DOUT34</t>
  </si>
  <si>
    <t>DOUT35</t>
  </si>
  <si>
    <t>DOUT36</t>
  </si>
  <si>
    <t>DOUT37</t>
  </si>
  <si>
    <t>DOUT38</t>
  </si>
  <si>
    <t>DOUT39</t>
  </si>
  <si>
    <t>DOUT40</t>
  </si>
  <si>
    <t>DOUT41</t>
  </si>
  <si>
    <t>DOUT42</t>
  </si>
  <si>
    <t>DOUT43</t>
  </si>
  <si>
    <t>DOUT44</t>
  </si>
  <si>
    <t>DOUT45</t>
  </si>
  <si>
    <t>DOUT46</t>
  </si>
  <si>
    <t>DOUT47</t>
  </si>
  <si>
    <t>DOUT48</t>
  </si>
  <si>
    <t>DOUT49</t>
  </si>
  <si>
    <t>DIN32</t>
  </si>
  <si>
    <t>DIN33</t>
  </si>
  <si>
    <t>DIN34</t>
  </si>
  <si>
    <t>DIN35</t>
  </si>
  <si>
    <t>DIN36</t>
  </si>
  <si>
    <t>DIN37</t>
  </si>
  <si>
    <t>DIN38</t>
  </si>
  <si>
    <t>DIN39</t>
  </si>
  <si>
    <t>DIN40</t>
  </si>
  <si>
    <t>DIN41</t>
  </si>
  <si>
    <t>DIN42</t>
  </si>
  <si>
    <t>DIN43</t>
  </si>
  <si>
    <t>DIN44</t>
  </si>
  <si>
    <t>DIN45</t>
  </si>
  <si>
    <t>DIN46</t>
  </si>
  <si>
    <t>DIN47</t>
  </si>
  <si>
    <t>DIN48</t>
  </si>
  <si>
    <t>DIN49</t>
  </si>
  <si>
    <t>LIMITS</t>
  </si>
  <si>
    <t>CONTROLS</t>
  </si>
  <si>
    <t>DINS</t>
  </si>
  <si>
    <t>AF</t>
  </si>
  <si>
    <t>COM</t>
  </si>
  <si>
    <t>COM2</t>
  </si>
  <si>
    <t>B15</t>
  </si>
  <si>
    <t>APB1LENR</t>
  </si>
  <si>
    <t>A12</t>
  </si>
  <si>
    <t>A11</t>
  </si>
  <si>
    <t>D1</t>
  </si>
  <si>
    <t>D0</t>
  </si>
  <si>
    <t>B5</t>
  </si>
  <si>
    <t>B12</t>
  </si>
  <si>
    <t>G14</t>
  </si>
  <si>
    <t>G9</t>
  </si>
  <si>
    <t>A8</t>
  </si>
  <si>
    <t>E7</t>
  </si>
  <si>
    <t>F7</t>
  </si>
  <si>
    <t>F6</t>
  </si>
  <si>
    <t>E1</t>
  </si>
  <si>
    <t>E0</t>
  </si>
  <si>
    <t>SPI</t>
  </si>
  <si>
    <t>PIN</t>
  </si>
  <si>
    <t>FUNC</t>
  </si>
  <si>
    <t>ALT_FUN</t>
  </si>
  <si>
    <t>CS</t>
  </si>
  <si>
    <t>CLK</t>
  </si>
  <si>
    <t>A6</t>
  </si>
  <si>
    <t>SDI</t>
  </si>
  <si>
    <t>A7</t>
  </si>
  <si>
    <t>SDO</t>
  </si>
  <si>
    <t>B2</t>
  </si>
  <si>
    <t>D3</t>
  </si>
  <si>
    <t>D7</t>
  </si>
  <si>
    <t>E2</t>
  </si>
  <si>
    <t>E4</t>
  </si>
  <si>
    <t>E5</t>
  </si>
  <si>
    <t>E6</t>
  </si>
  <si>
    <t>E12</t>
  </si>
  <si>
    <t>E13</t>
  </si>
  <si>
    <t>E14</t>
  </si>
  <si>
    <t>F8</t>
  </si>
  <si>
    <t>F9</t>
  </si>
  <si>
    <t>F11</t>
  </si>
  <si>
    <t>G8</t>
  </si>
  <si>
    <t>G10</t>
  </si>
  <si>
    <t>G11</t>
  </si>
  <si>
    <t>G12</t>
  </si>
  <si>
    <t>G13</t>
  </si>
  <si>
    <t>H5</t>
  </si>
  <si>
    <t>H6</t>
  </si>
  <si>
    <t>H7</t>
  </si>
  <si>
    <t>I0</t>
  </si>
  <si>
    <t>I1</t>
  </si>
  <si>
    <t>I2</t>
  </si>
  <si>
    <t>I3</t>
  </si>
  <si>
    <t>J10</t>
  </si>
  <si>
    <t>J11</t>
  </si>
  <si>
    <t>K0</t>
  </si>
  <si>
    <t>K1</t>
  </si>
  <si>
    <t>Mask</t>
  </si>
  <si>
    <t>Index</t>
  </si>
  <si>
    <t>#if (defined(STEP0_ENCODER) &amp;&amp; STEPPER_COUNTER&gt;0)
itp_rt_step_pos[0] = encoder_get_position(STEP0_ENCODER);
#endif</t>
  </si>
  <si>
    <t>#if (defined(STEP1_ENCODER) &amp;&amp; STEPPER_COUNTER&gt;1)
itp_rt_step_pos[1] = encoder_get_position(STEP1_ENCODER);
#endif</t>
  </si>
  <si>
    <t>#if (defined(STEP2_ENCODER) &amp;&amp; STEPPER_COUNTER&gt;2)
itp_rt_step_pos[2] = encoder_get_position(STEP2_ENCODER);
#endif</t>
  </si>
  <si>
    <t>#if (defined(STEP3_ENCODER) &amp;&amp; STEPPER_COUNTER&gt;3)
itp_rt_step_pos[3] = encoder_get_position(STEP3_ENCODER);
#endif</t>
  </si>
  <si>
    <t>#if (defined(STEP4_ENCODER) &amp;&amp; STEPPER_COUNTER&gt;4)
itp_rt_step_pos[4] = encoder_get_position(STEP4_ENCODER);
#endif</t>
  </si>
  <si>
    <t>#if (defined(STEP5_ENCODER) &amp;&amp; STEPPER_COUNTER&gt;5)
itp_rt_step_pos[5] = encoder_get_position(STEP5_ENCODER);
#endif</t>
  </si>
  <si>
    <t>UART2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</si>
</sst>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</font>
    <font>
      <sz val="11"/>
      <color theme="0"/>
      <name val="Calibri"/>
      <family val="2"/>
    </font>
    <font>
      <sz val="11"/>
      <name val="Calibri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sz val="8"/>
      <color rgb="FF000000"/>
      <name val="Calibri"/>
      <family val="2"/>
    </font>
    <font>
      <u/>
      <sz val="8"/>
      <color theme="1"/>
      <name val="Calibri"/>
      <family val="2"/>
    </font>
    <font>
      <sz val="8"/>
      <name val="Calibri"/>
      <family val="2"/>
    </font>
    <font>
      <u/>
      <sz val="8"/>
      <color theme="1"/>
      <name val="Calibri"/>
      <family val="2"/>
    </font>
    <font>
      <sz val="11"/>
      <color rgb="FFFFFFFF"/>
      <name val="Calibri"/>
      <family val="2"/>
    </font>
    <font>
      <sz val="8"/>
      <name val="Calibri"/>
      <family val="2"/>
    </font>
    <font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rgb="FFD99594"/>
        <bgColor rgb="FFD99594"/>
      </patternFill>
    </fill>
    <fill>
      <patternFill patternType="solid">
        <fgColor rgb="FFC00000"/>
        <bgColor rgb="FFC00000"/>
      </patternFill>
    </fill>
    <fill>
      <patternFill patternType="solid">
        <fgColor rgb="FFC0504D"/>
        <bgColor indexed="64"/>
      </patternFill>
    </fill>
    <fill>
      <patternFill patternType="solid">
        <fgColor rgb="FFD99594"/>
        <bgColor indexed="64"/>
      </patternFill>
    </fill>
    <fill>
      <patternFill patternType="solid">
        <fgColor rgb="FFC0000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3" fillId="3" borderId="4" xfId="0" applyFont="1" applyFill="1" applyBorder="1"/>
    <xf numFmtId="0" fontId="3" fillId="3" borderId="5" xfId="0" applyFont="1" applyFill="1" applyBorder="1"/>
    <xf numFmtId="0" fontId="4" fillId="0" borderId="0" xfId="0" applyFont="1"/>
    <xf numFmtId="0" fontId="3" fillId="0" borderId="4" xfId="0" applyFont="1" applyBorder="1"/>
    <xf numFmtId="0" fontId="5" fillId="0" borderId="4" xfId="0" applyFont="1" applyBorder="1"/>
    <xf numFmtId="0" fontId="3" fillId="0" borderId="0" xfId="0" applyFont="1"/>
    <xf numFmtId="0" fontId="1" fillId="2" borderId="4" xfId="0" applyFont="1" applyFill="1" applyBorder="1" applyAlignment="1">
      <alignment horizontal="center"/>
    </xf>
    <xf numFmtId="0" fontId="1" fillId="2" borderId="4" xfId="0" applyFont="1" applyFill="1" applyBorder="1"/>
    <xf numFmtId="0" fontId="3" fillId="0" borderId="4" xfId="0" applyFont="1" applyBorder="1" applyAlignment="1">
      <alignment wrapText="1"/>
    </xf>
    <xf numFmtId="0" fontId="0" fillId="0" borderId="4" xfId="0" applyBorder="1"/>
    <xf numFmtId="0" fontId="3" fillId="4" borderId="4" xfId="0" applyFont="1" applyFill="1" applyBorder="1" applyAlignment="1">
      <alignment wrapText="1"/>
    </xf>
    <xf numFmtId="0" fontId="6" fillId="0" borderId="4" xfId="0" applyFont="1" applyBorder="1" applyAlignment="1">
      <alignment wrapText="1"/>
    </xf>
    <xf numFmtId="0" fontId="8" fillId="0" borderId="4" xfId="0" applyFont="1" applyBorder="1"/>
    <xf numFmtId="0" fontId="8" fillId="0" borderId="4" xfId="0" applyFont="1" applyBorder="1" applyAlignment="1">
      <alignment wrapText="1"/>
    </xf>
    <xf numFmtId="0" fontId="5" fillId="0" borderId="0" xfId="0" applyFont="1"/>
    <xf numFmtId="0" fontId="3" fillId="0" borderId="0" xfId="0" applyFont="1" applyAlignment="1">
      <alignment wrapText="1"/>
    </xf>
    <xf numFmtId="0" fontId="3" fillId="0" borderId="7" xfId="0" applyFont="1" applyBorder="1" applyAlignment="1">
      <alignment wrapText="1"/>
    </xf>
    <xf numFmtId="0" fontId="3" fillId="0" borderId="6" xfId="0" applyFont="1" applyBorder="1"/>
    <xf numFmtId="0" fontId="3" fillId="0" borderId="6" xfId="0" applyFont="1" applyBorder="1" applyAlignment="1">
      <alignment wrapText="1"/>
    </xf>
    <xf numFmtId="0" fontId="9" fillId="5" borderId="6" xfId="0" applyFont="1" applyFill="1" applyBorder="1" applyAlignment="1">
      <alignment horizontal="center" wrapText="1"/>
    </xf>
    <xf numFmtId="0" fontId="4" fillId="5" borderId="6" xfId="0" applyFont="1" applyFill="1" applyBorder="1" applyAlignment="1">
      <alignment wrapText="1"/>
    </xf>
    <xf numFmtId="0" fontId="4" fillId="0" borderId="6" xfId="0" applyFont="1" applyBorder="1" applyAlignment="1">
      <alignment wrapText="1"/>
    </xf>
    <xf numFmtId="0" fontId="3" fillId="6" borderId="6" xfId="0" applyFont="1" applyFill="1" applyBorder="1" applyAlignment="1">
      <alignment wrapText="1"/>
    </xf>
    <xf numFmtId="0" fontId="3" fillId="0" borderId="6" xfId="0" applyFont="1" applyBorder="1" applyAlignment="1">
      <alignment horizontal="right" wrapText="1"/>
    </xf>
    <xf numFmtId="0" fontId="3" fillId="7" borderId="6" xfId="0" applyFont="1" applyFill="1" applyBorder="1" applyAlignment="1">
      <alignment wrapText="1"/>
    </xf>
    <xf numFmtId="0" fontId="2" fillId="0" borderId="0" xfId="0" applyFont="1"/>
    <xf numFmtId="0" fontId="6" fillId="0" borderId="4" xfId="0" applyFont="1" applyBorder="1"/>
    <xf numFmtId="0" fontId="3" fillId="3" borderId="1" xfId="0" applyFont="1" applyFill="1" applyBorder="1"/>
    <xf numFmtId="0" fontId="3" fillId="0" borderId="1" xfId="0" applyFont="1" applyBorder="1"/>
    <xf numFmtId="0" fontId="5" fillId="0" borderId="1" xfId="0" applyFont="1" applyBorder="1"/>
    <xf numFmtId="0" fontId="3" fillId="3" borderId="6" xfId="0" applyFont="1" applyFill="1" applyBorder="1"/>
    <xf numFmtId="0" fontId="0" fillId="0" borderId="6" xfId="0" applyBorder="1"/>
    <xf numFmtId="0" fontId="6" fillId="0" borderId="0" xfId="0" applyFont="1"/>
    <xf numFmtId="0" fontId="3" fillId="7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11" fillId="0" borderId="8" xfId="0" applyFont="1" applyBorder="1" applyAlignment="1">
      <alignment horizontal="right" wrapText="1"/>
    </xf>
    <xf numFmtId="0" fontId="11" fillId="0" borderId="8" xfId="0" applyFont="1" applyBorder="1" applyAlignment="1">
      <alignment vertical="center" wrapText="1"/>
    </xf>
    <xf numFmtId="0" fontId="11" fillId="0" borderId="8" xfId="0" applyFont="1" applyBorder="1" applyAlignment="1">
      <alignment wrapText="1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/>
    <xf numFmtId="0" fontId="2" fillId="0" borderId="3" xfId="0" applyFont="1" applyBorder="1"/>
    <xf numFmtId="0" fontId="3" fillId="3" borderId="1" xfId="0" applyFont="1" applyFill="1" applyBorder="1" applyAlignment="1">
      <alignment horizontal="center"/>
    </xf>
    <xf numFmtId="0" fontId="9" fillId="5" borderId="6" xfId="0" applyFont="1" applyFill="1" applyBorder="1" applyAlignment="1">
      <alignment horizontal="center" wrapText="1"/>
    </xf>
    <xf numFmtId="0" fontId="3" fillId="6" borderId="6" xfId="0" applyFont="1" applyFill="1" applyBorder="1" applyAlignment="1">
      <alignment horizontal="center" wrapText="1"/>
    </xf>
  </cellXfs>
  <cellStyles count="1">
    <cellStyle name="Normal" xfId="0" builtinId="0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4A7416-F659-4B90-89F8-674CFAD353C7}" name="Tabela1" displayName="Tabela1" ref="A200:F221" totalsRowShown="0" headerRowDxfId="7" dataDxfId="6">
  <autoFilter ref="A200:F221" xr:uid="{B33EECAE-667B-4B2E-8E82-DA27F923ADFC}"/>
  <sortState xmlns:xlrd2="http://schemas.microsoft.com/office/spreadsheetml/2017/richdata2" ref="A201:F221">
    <sortCondition ref="A200:A221"/>
  </sortState>
  <tableColumns count="6">
    <tableColumn id="1" xr3:uid="{1FAB43C9-6111-4396-80A4-8620D7BF017F}" name="USART" dataDxfId="5"/>
    <tableColumn id="2" xr3:uid="{CD82FCD0-DEDC-4F9F-A68C-C1011237AEA2}" name="TX" dataDxfId="4"/>
    <tableColumn id="3" xr3:uid="{B304D27D-F89B-4EAD-9CEB-EBAAB2098615}" name="RX" dataDxfId="3"/>
    <tableColumn id="4" xr3:uid="{A89CEE2A-A5A4-4786-9DA4-D3C261D1BFBC}" name="APB" dataDxfId="2"/>
    <tableColumn id="5" xr3:uid="{3EC04B4F-9DFE-4148-8AD7-2B1C9E6B8C18}" name="APB2ENR" dataDxfId="1">
      <calculatedColumnFormula>"RCC_"&amp;Tabela1[[#This Row],[APB]]&amp;"_USART"&amp;Tabela1[[#This Row],[USART]]&amp;"EN"</calculatedColumnFormula>
    </tableColumn>
    <tableColumn id="6" xr3:uid="{B1AA13D7-C88B-4187-A4A3-8F1B910E97A4}" name="AF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2.bin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4.bin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5.bin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6.bin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38"/>
  <sheetViews>
    <sheetView topLeftCell="B83" workbookViewId="0">
      <selection activeCell="G81" sqref="G81:G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77.140625" bestFit="1" customWidth="1"/>
    <col min="5" max="5" width="68.140625" bestFit="1" customWidth="1"/>
    <col min="6" max="6" width="30.140625" bestFit="1" customWidth="1"/>
    <col min="7" max="7" width="27.5703125" customWidth="1"/>
    <col min="8" max="26" width="8.7109375" customWidth="1"/>
  </cols>
  <sheetData>
    <row r="1" spans="1:7" ht="14.25" customHeight="1" x14ac:dyDescent="0.25">
      <c r="A1" s="40" t="s">
        <v>0</v>
      </c>
      <c r="B1" s="41"/>
      <c r="C1" s="42"/>
    </row>
    <row r="2" spans="1:7" ht="14.25" customHeight="1" x14ac:dyDescent="0.25">
      <c r="A2" s="1" t="s">
        <v>1</v>
      </c>
      <c r="B2" s="1" t="s">
        <v>2</v>
      </c>
      <c r="C2" s="1" t="s">
        <v>3</v>
      </c>
      <c r="D2" s="2" t="s">
        <v>4</v>
      </c>
      <c r="E2" s="2" t="s">
        <v>5</v>
      </c>
      <c r="F2" s="2" t="s">
        <v>6</v>
      </c>
      <c r="G2" s="2" t="s">
        <v>469</v>
      </c>
    </row>
    <row r="3" spans="1:7" ht="14.2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 t="str">
        <f>"#ifndef "&amp;C3&amp;"
#define "&amp;C3&amp;" UNDEF_PIN
#ifdef "&amp;B3&amp;"
#undef "&amp;B3&amp;"
#endif
#define "&amp;B3&amp;" UNDEF_PIN
#endif"</f>
        <v>#ifndef STEP0
#define STEP0 UNDEF_PIN
#ifdef DIO1
#undef DIO1
#endif
#define DIO1 UNDEF_PIN
#endif</v>
      </c>
      <c r="E3" s="4" t="str">
        <f t="shared" ref="E3:E24" si="1">"#if "&amp;C3&amp;" &gt;= 0
    case "&amp;C3&amp;":
        return (mcu_get_output("&amp;C3&amp;") != 0);
#endif"</f>
        <v>#if STEP0 &gt;= 0
    case STEP0:
        return (mcu_get_output(STEP0) != 0);
#endif</v>
      </c>
      <c r="F3" s="4" t="str">
        <f t="shared" ref="F3:F134" si="2">"| "&amp;A3&amp;" | "&amp;B3&amp;" | "&amp;C3&amp;" |"</f>
        <v>| 1 | DIO1 | STEP0 |</v>
      </c>
      <c r="G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"&amp;C3&amp;"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IC74HC595_HAS_STEPS
#define IC74HC595_HAS_STEPS
#endif
#endif"</f>
        <v>#ifndef STEP0_IO_OFFSET
#define STEP0_IO_OFFSET -1
#define DIO1_IO_OFFSET -1
#else
#define DIO1_IO_OFFSET STEP0_IO_OFFSET
#ifdef STEP0
#undef STEP0
#endif
#ifdef DIO1
#undef DIO1
#endif
#define STEP0 1
#define STEP0 -1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</row>
    <row r="4" spans="1:7" ht="14.25" customHeight="1" x14ac:dyDescent="0.25">
      <c r="A4" s="4">
        <v>2</v>
      </c>
      <c r="B4" s="4" t="str">
        <f t="shared" si="0"/>
        <v>DIO2</v>
      </c>
      <c r="C4" s="4" t="s">
        <v>8</v>
      </c>
      <c r="D4" s="4" t="str">
        <f t="shared" ref="D4:D67" si="3">"#ifndef "&amp;C4&amp;"
#define "&amp;C4&amp;" UNDEF_PIN
#ifdef "&amp;B4&amp;"
#undef "&amp;B4&amp;"
#endif
#define "&amp;B4&amp;" UNDEF_PIN
#endif"</f>
        <v>#ifndef STEP1
#define STEP1 UNDEF_PIN
#ifdef DIO2
#undef DIO2
#endif
#define DIO2 UNDEF_PIN
#endif</v>
      </c>
      <c r="E4" s="4" t="str">
        <f t="shared" si="1"/>
        <v>#if STEP1 &gt;= 0
    case STEP1:
        return (mcu_get_output(STEP1) != 0);
#endif</v>
      </c>
      <c r="F4" s="4" t="str">
        <f t="shared" si="2"/>
        <v>| 2 | DIO2 | STEP1 |</v>
      </c>
      <c r="G4" s="4" t="str">
        <f t="shared" ref="G4:G10" si="4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"&amp;C4&amp;"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IC74HC595_HAS_STEPS
#define IC74HC595_HAS_STEPS
#endif
#endif"</f>
        <v>#ifndef STEP1_IO_OFFSET
#define STEP1_IO_OFFSET -1
#define DIO2_IO_OFFSET -1
#else
#define DIO2_IO_OFFSET STEP1_IO_OFFSET
#ifdef STEP1
#undef STEP1
#endif
#ifdef DIO2
#undef DIO2
#endif
#define STEP1 2
#define STEP1 -2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</row>
    <row r="5" spans="1:7" ht="14.25" customHeight="1" x14ac:dyDescent="0.25">
      <c r="A5" s="4">
        <v>3</v>
      </c>
      <c r="B5" s="4" t="str">
        <f t="shared" si="0"/>
        <v>DIO3</v>
      </c>
      <c r="C5" s="4" t="s">
        <v>9</v>
      </c>
      <c r="D5" s="4" t="str">
        <f t="shared" si="3"/>
        <v>#ifndef STEP2
#define STEP2 UNDEF_PIN
#ifdef DIO3
#undef DIO3
#endif
#define DIO3 UNDEF_PIN
#endif</v>
      </c>
      <c r="E5" s="4" t="str">
        <f t="shared" si="1"/>
        <v>#if STEP2 &gt;= 0
    case STEP2:
        return (mcu_get_output(STEP2) != 0);
#endif</v>
      </c>
      <c r="F5" s="4" t="str">
        <f t="shared" si="2"/>
        <v>| 3 | DIO3 | STEP2 |</v>
      </c>
      <c r="G5" s="4" t="str">
        <f t="shared" si="4"/>
        <v>#ifndef STEP2_IO_OFFSET
#define STEP2_IO_OFFSET -1
#define DIO3_IO_OFFSET -1
#else
#define DIO3_IO_OFFSET STEP2_IO_OFFSET
#ifdef STEP2
#undef STEP2
#endif
#ifdef DIO3
#undef DIO3
#endif
#define STEP2 3
#define STEP2 -3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</row>
    <row r="6" spans="1:7" ht="14.25" customHeight="1" x14ac:dyDescent="0.25">
      <c r="A6" s="4">
        <v>4</v>
      </c>
      <c r="B6" s="4" t="str">
        <f t="shared" si="0"/>
        <v>DIO4</v>
      </c>
      <c r="C6" s="4" t="s">
        <v>10</v>
      </c>
      <c r="D6" s="4" t="str">
        <f t="shared" si="3"/>
        <v>#ifndef STEP3
#define STEP3 UNDEF_PIN
#ifdef DIO4
#undef DIO4
#endif
#define DIO4 UNDEF_PIN
#endif</v>
      </c>
      <c r="E6" s="4" t="str">
        <f t="shared" si="1"/>
        <v>#if STEP3 &gt;= 0
    case STEP3:
        return (mcu_get_output(STEP3) != 0);
#endif</v>
      </c>
      <c r="F6" s="4" t="str">
        <f t="shared" si="2"/>
        <v>| 4 | DIO4 | STEP3 |</v>
      </c>
      <c r="G6" s="4" t="str">
        <f t="shared" si="4"/>
        <v>#ifndef STEP3_IO_OFFSET
#define STEP3_IO_OFFSET -1
#define DIO4_IO_OFFSET -1
#else
#define DIO4_IO_OFFSET STEP3_IO_OFFSET
#ifdef STEP3
#undef STEP3
#endif
#ifdef DIO4
#undef DIO4
#endif
#define STEP3 4
#define STEP3 -4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</row>
    <row r="7" spans="1:7" ht="14.25" customHeight="1" x14ac:dyDescent="0.25">
      <c r="A7" s="4">
        <v>5</v>
      </c>
      <c r="B7" s="4" t="str">
        <f t="shared" si="0"/>
        <v>DIO5</v>
      </c>
      <c r="C7" s="4" t="s">
        <v>11</v>
      </c>
      <c r="D7" s="4" t="str">
        <f t="shared" si="3"/>
        <v>#ifndef STEP4
#define STEP4 UNDEF_PIN
#ifdef DIO5
#undef DIO5
#endif
#define DIO5 UNDEF_PIN
#endif</v>
      </c>
      <c r="E7" s="4" t="str">
        <f t="shared" si="1"/>
        <v>#if STEP4 &gt;= 0
    case STEP4:
        return (mcu_get_output(STEP4) != 0);
#endif</v>
      </c>
      <c r="F7" s="4" t="str">
        <f t="shared" si="2"/>
        <v>| 5 | DIO5 | STEP4 |</v>
      </c>
      <c r="G7" s="4" t="str">
        <f t="shared" si="4"/>
        <v>#ifndef STEP4_IO_OFFSET
#define STEP4_IO_OFFSET -1
#define DIO5_IO_OFFSET -1
#else
#define DIO5_IO_OFFSET STEP4_IO_OFFSET
#ifdef STEP4
#undef STEP4
#endif
#ifdef DIO5
#undef DIO5
#endif
#define STEP4 5
#define STEP4 -5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</row>
    <row r="8" spans="1:7" ht="14.25" customHeight="1" x14ac:dyDescent="0.25">
      <c r="A8" s="4">
        <v>6</v>
      </c>
      <c r="B8" s="4" t="str">
        <f t="shared" si="0"/>
        <v>DIO6</v>
      </c>
      <c r="C8" s="4" t="s">
        <v>12</v>
      </c>
      <c r="D8" s="4" t="str">
        <f t="shared" si="3"/>
        <v>#ifndef STEP5
#define STEP5 UNDEF_PIN
#ifdef DIO6
#undef DIO6
#endif
#define DIO6 UNDEF_PIN
#endif</v>
      </c>
      <c r="E8" s="4" t="str">
        <f t="shared" si="1"/>
        <v>#if STEP5 &gt;= 0
    case STEP5:
        return (mcu_get_output(STEP5) != 0);
#endif</v>
      </c>
      <c r="F8" s="4" t="str">
        <f t="shared" si="2"/>
        <v>| 6 | DIO6 | STEP5 |</v>
      </c>
      <c r="G8" s="4" t="str">
        <f t="shared" si="4"/>
        <v>#ifndef STEP5_IO_OFFSET
#define STEP5_IO_OFFSET -1
#define DIO6_IO_OFFSET -1
#else
#define DIO6_IO_OFFSET STEP5_IO_OFFSET
#ifdef STEP5
#undef STEP5
#endif
#ifdef DIO6
#undef DIO6
#endif
#define STEP5 6
#define STEP5 -6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</row>
    <row r="9" spans="1:7" ht="14.25" customHeight="1" x14ac:dyDescent="0.25">
      <c r="A9" s="4">
        <v>7</v>
      </c>
      <c r="B9" s="4" t="str">
        <f t="shared" si="0"/>
        <v>DIO7</v>
      </c>
      <c r="C9" s="4" t="s">
        <v>13</v>
      </c>
      <c r="D9" s="4" t="str">
        <f t="shared" si="3"/>
        <v>#ifndef STEP6
#define STEP6 UNDEF_PIN
#ifdef DIO7
#undef DIO7
#endif
#define DIO7 UNDEF_PIN
#endif</v>
      </c>
      <c r="E9" s="4" t="str">
        <f t="shared" si="1"/>
        <v>#if STEP6 &gt;= 0
    case STEP6:
        return (mcu_get_output(STEP6) != 0);
#endif</v>
      </c>
      <c r="F9" s="4" t="str">
        <f t="shared" si="2"/>
        <v>| 7 | DIO7 | STEP6 |</v>
      </c>
      <c r="G9" s="4" t="str">
        <f t="shared" si="4"/>
        <v>#ifndef STEP6_IO_OFFSET
#define STEP6_IO_OFFSET -1
#define DIO7_IO_OFFSET -1
#else
#define DIO7_IO_OFFSET STEP6_IO_OFFSET
#ifdef STEP6
#undef STEP6
#endif
#ifdef DIO7
#undef DIO7
#endif
#define STEP6 7
#define STEP6 -7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</row>
    <row r="10" spans="1:7" ht="14.25" customHeight="1" x14ac:dyDescent="0.25">
      <c r="A10" s="4">
        <v>8</v>
      </c>
      <c r="B10" s="4" t="str">
        <f t="shared" si="0"/>
        <v>DIO8</v>
      </c>
      <c r="C10" s="4" t="s">
        <v>14</v>
      </c>
      <c r="D10" s="4" t="str">
        <f t="shared" si="3"/>
        <v>#ifndef STEP7
#define STEP7 UNDEF_PIN
#ifdef DIO8
#undef DIO8
#endif
#define DIO8 UNDEF_PIN
#endif</v>
      </c>
      <c r="E10" s="27" t="str">
        <f t="shared" si="1"/>
        <v>#if STEP7 &gt;= 0
    case STEP7:
        return (mcu_get_output(STEP7) != 0);
#endif</v>
      </c>
      <c r="F10" s="4" t="str">
        <f t="shared" si="2"/>
        <v>| 8 | DIO8 | STEP7 |</v>
      </c>
      <c r="G10" s="4" t="str">
        <f t="shared" si="4"/>
        <v>#ifndef STEP7_IO_OFFSET
#define STEP7_IO_OFFSET -1
#define DIO8_IO_OFFSET -1
#else
#define DIO8_IO_OFFSET STEP7_IO_OFFSET
#ifdef STEP7
#undef STEP7
#endif
#ifdef DIO8
#undef DIO8
#endif
#define STEP7 8
#define STEP7 -8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</row>
    <row r="11" spans="1:7" ht="14.25" customHeight="1" x14ac:dyDescent="0.25">
      <c r="A11" s="4">
        <v>9</v>
      </c>
      <c r="B11" s="4" t="str">
        <f t="shared" si="0"/>
        <v>DIO9</v>
      </c>
      <c r="C11" s="4" t="s">
        <v>15</v>
      </c>
      <c r="D11" s="4" t="str">
        <f t="shared" si="3"/>
        <v>#ifndef DIR0
#define DIR0 UNDEF_PIN
#ifdef DIO9
#undef DIO9
#endif
#define DIO9 UNDEF_PIN
#endif</v>
      </c>
      <c r="E11" s="4" t="str">
        <f t="shared" si="1"/>
        <v>#if DIR0 &gt;= 0
    case DIR0:
        return (mcu_get_output(DIR0) != 0);
#endif</v>
      </c>
      <c r="F11" s="4" t="str">
        <f t="shared" si="2"/>
        <v>| 9 | DIO9 | DIR0 |</v>
      </c>
      <c r="G11" s="4" t="str">
        <f>"#ifndef "&amp;C11&amp;"_IO_OFFSET
#define "&amp;C11&amp;"_IO_OFFSET -1
#define "&amp;B11&amp;"_IO_OFFSET -1
#else
#define "&amp;B11&amp;"_IO_OFFSET "&amp;C11&amp;"_IO_OFFSET
#ifdef "&amp;C11&amp;"
#undef "&amp;C11&amp;"
#endif
#ifdef "&amp;B11&amp;"
#undef "&amp;B11&amp;"
#endif
#define "&amp;C11&amp;" "&amp;A11&amp;"
#define "&amp;C11&amp;" -"&amp;A11&amp;"
#define "&amp;C11&amp;"_IO_BYTEOFFSET ("&amp;C11&amp;"_IO_OFFSET &gt;&gt; 3)
#define "&amp;C11&amp;"_IO_BITMASK (1 &lt;&lt; ("&amp;C11&amp;"_IO_OFFSET &amp; 0x7))
#define "&amp;B11&amp;"_IO_BYTEOFFSET "&amp;C11&amp;"_IO_BYTEOFFSET
#define "&amp;B11&amp;"_IO_BITMASK "&amp;C11&amp;"_IO_BITMASK
#ifndef IC74HC595_HAS_DIRS
#define IC74HC595_HAS_DIRS
#endif
#endif"</f>
        <v>#ifndef DIR0_IO_OFFSET
#define DIR0_IO_OFFSET -1
#define DIO9_IO_OFFSET -1
#else
#define DIO9_IO_OFFSET DIR0_IO_OFFSET
#ifdef DIR0
#undef DIR0
#endif
#ifdef DIO9
#undef DIO9
#endif
#define DIR0 9
#define DIR0 -9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</row>
    <row r="12" spans="1:7" ht="14.25" customHeight="1" x14ac:dyDescent="0.25">
      <c r="A12" s="4">
        <v>10</v>
      </c>
      <c r="B12" s="4" t="str">
        <f t="shared" si="0"/>
        <v>DIO10</v>
      </c>
      <c r="C12" s="4" t="s">
        <v>16</v>
      </c>
      <c r="D12" s="4" t="str">
        <f t="shared" si="3"/>
        <v>#ifndef DIR1
#define DIR1 UNDEF_PIN
#ifdef DIO10
#undef DIO10
#endif
#define DIO10 UNDEF_PIN
#endif</v>
      </c>
      <c r="E12" s="4" t="str">
        <f t="shared" si="1"/>
        <v>#if DIR1 &gt;= 0
    case DIR1:
        return (mcu_get_output(DIR1) != 0);
#endif</v>
      </c>
      <c r="F12" s="4" t="str">
        <f t="shared" si="2"/>
        <v>| 10 | DIO10 | DIR1 |</v>
      </c>
      <c r="G12" s="4" t="str">
        <f t="shared" ref="G12:G18" si="5">"#ifndef "&amp;C12&amp;"_IO_OFFSET
#define "&amp;C12&amp;"_IO_OFFSET -1
#define "&amp;B12&amp;"_IO_OFFSET -1
#else
#define "&amp;B12&amp;"_IO_OFFSET "&amp;C12&amp;"_IO_OFFSET
#ifdef "&amp;C12&amp;"
#undef "&amp;C12&amp;"
#endif
#ifdef "&amp;B12&amp;"
#undef "&amp;B12&amp;"
#endif
#define "&amp;C12&amp;" "&amp;A12&amp;"
#define "&amp;C12&amp;" -"&amp;A12&amp;"
#define "&amp;C12&amp;"_IO_BYTEOFFSET ("&amp;C12&amp;"_IO_OFFSET &gt;&gt; 3)
#define "&amp;C12&amp;"_IO_BITMASK (1 &lt;&lt; ("&amp;C12&amp;"_IO_OFFSET &amp; 0x7))
#define "&amp;B12&amp;"_IO_BYTEOFFSET "&amp;C12&amp;"_IO_BYTEOFFSET
#define "&amp;B12&amp;"_IO_BITMASK "&amp;C12&amp;"_IO_BITMASK
#ifndef IC74HC595_HAS_DIRS
#define IC74HC595_HAS_DIRS
#endif
#endif"</f>
        <v>#ifndef DIR1_IO_OFFSET
#define DIR1_IO_OFFSET -1
#define DIO10_IO_OFFSET -1
#else
#define DIO10_IO_OFFSET DIR1_IO_OFFSET
#ifdef DIR1
#undef DIR1
#endif
#ifdef DIO10
#undef DIO10
#endif
#define DIR1 10
#define DIR1 -10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</row>
    <row r="13" spans="1:7" ht="14.25" customHeight="1" x14ac:dyDescent="0.25">
      <c r="A13" s="4">
        <v>11</v>
      </c>
      <c r="B13" s="4" t="str">
        <f t="shared" si="0"/>
        <v>DIO11</v>
      </c>
      <c r="C13" s="4" t="s">
        <v>17</v>
      </c>
      <c r="D13" s="4" t="str">
        <f t="shared" si="3"/>
        <v>#ifndef DIR2
#define DIR2 UNDEF_PIN
#ifdef DIO11
#undef DIO11
#endif
#define DIO11 UNDEF_PIN
#endif</v>
      </c>
      <c r="E13" s="4" t="str">
        <f t="shared" si="1"/>
        <v>#if DIR2 &gt;= 0
    case DIR2:
        return (mcu_get_output(DIR2) != 0);
#endif</v>
      </c>
      <c r="F13" s="4" t="str">
        <f t="shared" si="2"/>
        <v>| 11 | DIO11 | DIR2 |</v>
      </c>
      <c r="G13" s="4" t="str">
        <f t="shared" si="5"/>
        <v>#ifndef DIR2_IO_OFFSET
#define DIR2_IO_OFFSET -1
#define DIO11_IO_OFFSET -1
#else
#define DIO11_IO_OFFSET DIR2_IO_OFFSET
#ifdef DIR2
#undef DIR2
#endif
#ifdef DIO11
#undef DIO11
#endif
#define DIR2 11
#define DIR2 -11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</row>
    <row r="14" spans="1:7" ht="14.25" customHeight="1" x14ac:dyDescent="0.25">
      <c r="A14" s="4">
        <v>12</v>
      </c>
      <c r="B14" s="4" t="str">
        <f t="shared" si="0"/>
        <v>DIO12</v>
      </c>
      <c r="C14" s="4" t="s">
        <v>18</v>
      </c>
      <c r="D14" s="4" t="str">
        <f t="shared" si="3"/>
        <v>#ifndef DIR3
#define DIR3 UNDEF_PIN
#ifdef DIO12
#undef DIO12
#endif
#define DIO12 UNDEF_PIN
#endif</v>
      </c>
      <c r="E14" s="4" t="str">
        <f t="shared" si="1"/>
        <v>#if DIR3 &gt;= 0
    case DIR3:
        return (mcu_get_output(DIR3) != 0);
#endif</v>
      </c>
      <c r="F14" s="4" t="str">
        <f t="shared" si="2"/>
        <v>| 12 | DIO12 | DIR3 |</v>
      </c>
      <c r="G14" s="4" t="str">
        <f t="shared" si="5"/>
        <v>#ifndef DIR3_IO_OFFSET
#define DIR3_IO_OFFSET -1
#define DIO12_IO_OFFSET -1
#else
#define DIO12_IO_OFFSET DIR3_IO_OFFSET
#ifdef DIR3
#undef DIR3
#endif
#ifdef DIO12
#undef DIO12
#endif
#define DIR3 12
#define DIR3 -12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</row>
    <row r="15" spans="1:7" ht="14.25" customHeight="1" x14ac:dyDescent="0.25">
      <c r="A15" s="4">
        <v>13</v>
      </c>
      <c r="B15" s="4" t="str">
        <f t="shared" si="0"/>
        <v>DIO13</v>
      </c>
      <c r="C15" s="4" t="s">
        <v>19</v>
      </c>
      <c r="D15" s="4" t="str">
        <f t="shared" si="3"/>
        <v>#ifndef DIR4
#define DIR4 UNDEF_PIN
#ifdef DIO13
#undef DIO13
#endif
#define DIO13 UNDEF_PIN
#endif</v>
      </c>
      <c r="E15" s="4" t="str">
        <f t="shared" si="1"/>
        <v>#if DIR4 &gt;= 0
    case DIR4:
        return (mcu_get_output(DIR4) != 0);
#endif</v>
      </c>
      <c r="F15" s="4" t="str">
        <f t="shared" si="2"/>
        <v>| 13 | DIO13 | DIR4 |</v>
      </c>
      <c r="G15" s="4" t="str">
        <f t="shared" si="5"/>
        <v>#ifndef DIR4_IO_OFFSET
#define DIR4_IO_OFFSET -1
#define DIO13_IO_OFFSET -1
#else
#define DIO13_IO_OFFSET DIR4_IO_OFFSET
#ifdef DIR4
#undef DIR4
#endif
#ifdef DIO13
#undef DIO13
#endif
#define DIR4 13
#define DIR4 -13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</row>
    <row r="16" spans="1:7" ht="14.25" customHeight="1" x14ac:dyDescent="0.25">
      <c r="A16" s="4">
        <v>14</v>
      </c>
      <c r="B16" s="4" t="str">
        <f t="shared" si="0"/>
        <v>DIO14</v>
      </c>
      <c r="C16" s="4" t="s">
        <v>20</v>
      </c>
      <c r="D16" s="4" t="str">
        <f t="shared" si="3"/>
        <v>#ifndef DIR5
#define DIR5 UNDEF_PIN
#ifdef DIO14
#undef DIO14
#endif
#define DIO14 UNDEF_PIN
#endif</v>
      </c>
      <c r="E16" s="4" t="str">
        <f t="shared" si="1"/>
        <v>#if DIR5 &gt;= 0
    case DIR5:
        return (mcu_get_output(DIR5) != 0);
#endif</v>
      </c>
      <c r="F16" s="4" t="str">
        <f t="shared" si="2"/>
        <v>| 14 | DIO14 | DIR5 |</v>
      </c>
      <c r="G16" s="4" t="str">
        <f t="shared" si="5"/>
        <v>#ifndef DIR5_IO_OFFSET
#define DIR5_IO_OFFSET -1
#define DIO14_IO_OFFSET -1
#else
#define DIO14_IO_OFFSET DIR5_IO_OFFSET
#ifdef DIR5
#undef DIR5
#endif
#ifdef DIO14
#undef DIO14
#endif
#define DIR5 14
#define DIR5 -14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</row>
    <row r="17" spans="1:7" ht="14.25" customHeight="1" x14ac:dyDescent="0.25">
      <c r="A17" s="4">
        <v>15</v>
      </c>
      <c r="B17" s="4" t="str">
        <f t="shared" si="0"/>
        <v>DIO15</v>
      </c>
      <c r="C17" s="4" t="s">
        <v>228</v>
      </c>
      <c r="D17" s="4" t="str">
        <f t="shared" si="3"/>
        <v>#ifndef DIR6
#define DIR6 UNDEF_PIN
#ifdef DIO15
#undef DIO15
#endif
#define DIO15 UNDEF_PIN
#endif</v>
      </c>
      <c r="E17" s="4" t="str">
        <f t="shared" ref="E17:E18" si="6">"#if "&amp;C17&amp;" &gt;= 0
    case "&amp;C17&amp;":
        return (mcu_get_output("&amp;C17&amp;") != 0);
#endif"</f>
        <v>#if DIR6 &gt;= 0
    case DIR6:
        return (mcu_get_output(DIR6) != 0);
#endif</v>
      </c>
      <c r="F17" s="4" t="str">
        <f t="shared" ref="F17:F18" si="7">"| "&amp;A17&amp;" | "&amp;B17&amp;" | "&amp;C17&amp;" |"</f>
        <v>| 15 | DIO15 | DIR6 |</v>
      </c>
      <c r="G17" s="4" t="str">
        <f t="shared" si="5"/>
        <v>#ifndef DIR6_IO_OFFSET
#define DIR6_IO_OFFSET -1
#define DIO15_IO_OFFSET -1
#else
#define DIO15_IO_OFFSET DIR6_IO_OFFSET
#ifdef DIR6
#undef DIR6
#endif
#ifdef DIO15
#undef DIO15
#endif
#define DIR6 15
#define DIR6 -15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</row>
    <row r="18" spans="1:7" ht="14.25" customHeight="1" x14ac:dyDescent="0.25">
      <c r="A18" s="4">
        <v>16</v>
      </c>
      <c r="B18" s="4" t="str">
        <f t="shared" si="0"/>
        <v>DIO16</v>
      </c>
      <c r="C18" s="4" t="s">
        <v>229</v>
      </c>
      <c r="D18" s="4" t="str">
        <f t="shared" si="3"/>
        <v>#ifndef DIR7
#define DIR7 UNDEF_PIN
#ifdef DIO16
#undef DIO16
#endif
#define DIO16 UNDEF_PIN
#endif</v>
      </c>
      <c r="E18" s="4" t="str">
        <f t="shared" si="6"/>
        <v>#if DIR7 &gt;= 0
    case DIR7:
        return (mcu_get_output(DIR7) != 0);
#endif</v>
      </c>
      <c r="F18" s="4" t="str">
        <f t="shared" si="7"/>
        <v>| 16 | DIO16 | DIR7 |</v>
      </c>
      <c r="G18" s="4" t="str">
        <f t="shared" si="5"/>
        <v>#ifndef DIR7_IO_OFFSET
#define DIR7_IO_OFFSET -1
#define DIO16_IO_OFFSET -1
#else
#define DIO16_IO_OFFSET DIR7_IO_OFFSET
#ifdef DIR7
#undef DIR7
#endif
#ifdef DIO16
#undef DIO16
#endif
#define DIR7 16
#define DIR7 -16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</row>
    <row r="19" spans="1:7" ht="14.25" customHeight="1" x14ac:dyDescent="0.25">
      <c r="A19" s="4">
        <v>17</v>
      </c>
      <c r="B19" s="4" t="str">
        <f t="shared" si="0"/>
        <v>DIO17</v>
      </c>
      <c r="C19" s="4" t="s">
        <v>21</v>
      </c>
      <c r="D19" s="4" t="str">
        <f t="shared" si="3"/>
        <v>#ifndef STEP0_EN
#define STEP0_EN UNDEF_PIN
#ifdef DIO17
#undef DIO17
#endif
#define DIO17 UNDEF_PIN
#endif</v>
      </c>
      <c r="E19" s="4" t="str">
        <f t="shared" si="1"/>
        <v>#if STEP0_EN &gt;= 0
    case STEP0_EN:
        return (mcu_get_output(STEP0_EN) != 0);
#endif</v>
      </c>
      <c r="F19" s="4" t="str">
        <f t="shared" si="2"/>
        <v>| 17 | DIO17 | STEP0_EN |</v>
      </c>
      <c r="G19" s="4" t="str">
        <f>"#ifndef "&amp;C19&amp;"_IO_OFFSET
#define "&amp;C19&amp;"_IO_OFFSET -1
#define "&amp;B19&amp;"_IO_OFFSET -1
#else
#define "&amp;B19&amp;"_IO_OFFSET "&amp;C19&amp;"_IO_OFFSET
#ifdef "&amp;C19&amp;"
#undef "&amp;C19&amp;"
#endif
#ifdef "&amp;B19&amp;"
#undef "&amp;B19&amp;"
#endif
#define "&amp;C19&amp;" "&amp;A19&amp;"
#define "&amp;C19&amp;" -"&amp;A19&amp;"
#define "&amp;C19&amp;"_IO_BYTEOFFSET ("&amp;C19&amp;"_IO_OFFSET &gt;&gt; 3)
#define "&amp;C19&amp;"_IO_BITMASK (1 &lt;&lt; ("&amp;C19&amp;"_IO_OFFSET &amp; 0x7))
#define "&amp;B19&amp;"_IO_BYTEOFFSET "&amp;C19&amp;"_IO_BYTEOFFSET
#define "&amp;B19&amp;"_IO_BITMASK "&amp;C19&amp;"_IO_BITMASK
#ifndef IC74HC595_HAS_STEPS_EN
#define IC74HC595_HAS_STEPS_EN
#endif
#endif"</f>
        <v>#ifndef STEP0_EN_IO_OFFSET
#define STEP0_EN_IO_OFFSET -1
#define DIO17_IO_OFFSET -1
#else
#define DIO17_IO_OFFSET STEP0_EN_IO_OFFSET
#ifdef STEP0_EN
#undef STEP0_EN
#endif
#ifdef DIO17
#undef DIO17
#endif
#define STEP0_EN 17
#define STEP0_EN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</row>
    <row r="20" spans="1:7" ht="14.25" customHeight="1" x14ac:dyDescent="0.25">
      <c r="A20" s="4">
        <v>18</v>
      </c>
      <c r="B20" s="4" t="str">
        <f t="shared" si="0"/>
        <v>DIO18</v>
      </c>
      <c r="C20" s="4" t="s">
        <v>22</v>
      </c>
      <c r="D20" s="4" t="str">
        <f t="shared" si="3"/>
        <v>#ifndef STEP1_EN
#define STEP1_EN UNDEF_PIN
#ifdef DIO18
#undef DIO18
#endif
#define DIO18 UNDEF_PIN
#endif</v>
      </c>
      <c r="E20" s="4" t="str">
        <f t="shared" si="1"/>
        <v>#if STEP1_EN &gt;= 0
    case STEP1_EN:
        return (mcu_get_output(STEP1_EN) != 0);
#endif</v>
      </c>
      <c r="F20" s="4" t="str">
        <f t="shared" si="2"/>
        <v>| 18 | DIO18 | STEP1_EN |</v>
      </c>
      <c r="G20" s="4" t="str">
        <f t="shared" ref="G20:G26" si="8">"#ifndef "&amp;C20&amp;"_IO_OFFSET
#define "&amp;C20&amp;"_IO_OFFSET -1
#define "&amp;B20&amp;"_IO_OFFSET -1
#else
#define "&amp;B20&amp;"_IO_OFFSET "&amp;C20&amp;"_IO_OFFSET
#ifdef "&amp;C20&amp;"
#undef "&amp;C20&amp;"
#endif
#ifdef "&amp;B20&amp;"
#undef "&amp;B20&amp;"
#endif
#define "&amp;C20&amp;" "&amp;A20&amp;"
#define "&amp;C20&amp;" -"&amp;A20&amp;"
#define "&amp;C20&amp;"_IO_BYTEOFFSET ("&amp;C20&amp;"_IO_OFFSET &gt;&gt; 3)
#define "&amp;C20&amp;"_IO_BITMASK (1 &lt;&lt; ("&amp;C20&amp;"_IO_OFFSET &amp; 0x7))
#define "&amp;B20&amp;"_IO_BYTEOFFSET "&amp;C20&amp;"_IO_BYTEOFFSET
#define "&amp;B20&amp;"_IO_BITMASK "&amp;C20&amp;"_IO_BITMASK
#ifndef IC74HC595_HAS_STEPS_EN
#define IC74HC595_HAS_STEPS_EN
#endif
#endif"</f>
        <v>#ifndef STEP1_EN_IO_OFFSET
#define STEP1_EN_IO_OFFSET -1
#define DIO18_IO_OFFSET -1
#else
#define DIO18_IO_OFFSET STEP1_EN_IO_OFFSET
#ifdef STEP1_EN
#undef STEP1_EN
#endif
#ifdef DIO18
#undef DIO18
#endif
#define STEP1_EN 18
#define STEP1_EN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</row>
    <row r="21" spans="1:7" ht="14.25" customHeight="1" x14ac:dyDescent="0.25">
      <c r="A21" s="4">
        <v>19</v>
      </c>
      <c r="B21" s="4" t="str">
        <f t="shared" si="0"/>
        <v>DIO19</v>
      </c>
      <c r="C21" s="4" t="s">
        <v>23</v>
      </c>
      <c r="D21" s="4" t="str">
        <f t="shared" si="3"/>
        <v>#ifndef STEP2_EN
#define STEP2_EN UNDEF_PIN
#ifdef DIO19
#undef DIO19
#endif
#define DIO19 UNDEF_PIN
#endif</v>
      </c>
      <c r="E21" s="4" t="str">
        <f t="shared" si="1"/>
        <v>#if STEP2_EN &gt;= 0
    case STEP2_EN:
        return (mcu_get_output(STEP2_EN) != 0);
#endif</v>
      </c>
      <c r="F21" s="4" t="str">
        <f t="shared" si="2"/>
        <v>| 19 | DIO19 | STEP2_EN |</v>
      </c>
      <c r="G21" s="4" t="str">
        <f t="shared" si="8"/>
        <v>#ifndef STEP2_EN_IO_OFFSET
#define STEP2_EN_IO_OFFSET -1
#define DIO19_IO_OFFSET -1
#else
#define DIO19_IO_OFFSET STEP2_EN_IO_OFFSET
#ifdef STEP2_EN
#undef STEP2_EN
#endif
#ifdef DIO19
#undef DIO19
#endif
#define STEP2_EN 19
#define STEP2_EN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</row>
    <row r="22" spans="1:7" ht="14.25" customHeight="1" x14ac:dyDescent="0.25">
      <c r="A22" s="4">
        <v>20</v>
      </c>
      <c r="B22" s="4" t="str">
        <f t="shared" si="0"/>
        <v>DIO20</v>
      </c>
      <c r="C22" s="4" t="s">
        <v>24</v>
      </c>
      <c r="D22" s="4" t="str">
        <f t="shared" si="3"/>
        <v>#ifndef STEP3_EN
#define STEP3_EN UNDEF_PIN
#ifdef DIO20
#undef DIO20
#endif
#define DIO20 UNDEF_PIN
#endif</v>
      </c>
      <c r="E22" s="4" t="str">
        <f t="shared" si="1"/>
        <v>#if STEP3_EN &gt;= 0
    case STEP3_EN:
        return (mcu_get_output(STEP3_EN) != 0);
#endif</v>
      </c>
      <c r="F22" s="4" t="str">
        <f t="shared" si="2"/>
        <v>| 20 | DIO20 | STEP3_EN |</v>
      </c>
      <c r="G22" s="4" t="str">
        <f t="shared" si="8"/>
        <v>#ifndef STEP3_EN_IO_OFFSET
#define STEP3_EN_IO_OFFSET -1
#define DIO20_IO_OFFSET -1
#else
#define DIO20_IO_OFFSET STEP3_EN_IO_OFFSET
#ifdef STEP3_EN
#undef STEP3_EN
#endif
#ifdef DIO20
#undef DIO20
#endif
#define STEP3_EN 20
#define STEP3_EN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</row>
    <row r="23" spans="1:7" ht="14.25" customHeight="1" x14ac:dyDescent="0.25">
      <c r="A23" s="4">
        <v>21</v>
      </c>
      <c r="B23" s="4" t="str">
        <f t="shared" si="0"/>
        <v>DIO21</v>
      </c>
      <c r="C23" s="4" t="s">
        <v>25</v>
      </c>
      <c r="D23" s="4" t="str">
        <f t="shared" si="3"/>
        <v>#ifndef STEP4_EN
#define STEP4_EN UNDEF_PIN
#ifdef DIO21
#undef DIO21
#endif
#define DIO21 UNDEF_PIN
#endif</v>
      </c>
      <c r="E23" s="4" t="str">
        <f t="shared" si="1"/>
        <v>#if STEP4_EN &gt;= 0
    case STEP4_EN:
        return (mcu_get_output(STEP4_EN) != 0);
#endif</v>
      </c>
      <c r="F23" s="4" t="str">
        <f t="shared" si="2"/>
        <v>| 21 | DIO21 | STEP4_EN |</v>
      </c>
      <c r="G23" s="4" t="str">
        <f t="shared" si="8"/>
        <v>#ifndef STEP4_EN_IO_OFFSET
#define STEP4_EN_IO_OFFSET -1
#define DIO21_IO_OFFSET -1
#else
#define DIO21_IO_OFFSET STEP4_EN_IO_OFFSET
#ifdef STEP4_EN
#undef STEP4_EN
#endif
#ifdef DIO21
#undef DIO21
#endif
#define STEP4_EN 21
#define STEP4_EN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</row>
    <row r="24" spans="1:7" ht="14.25" customHeight="1" x14ac:dyDescent="0.25">
      <c r="A24" s="4">
        <v>22</v>
      </c>
      <c r="B24" s="4" t="str">
        <f t="shared" si="0"/>
        <v>DIO22</v>
      </c>
      <c r="C24" s="4" t="s">
        <v>26</v>
      </c>
      <c r="D24" s="4" t="str">
        <f t="shared" si="3"/>
        <v>#ifndef STEP5_EN
#define STEP5_EN UNDEF_PIN
#ifdef DIO22
#undef DIO22
#endif
#define DIO22 UNDEF_PIN
#endif</v>
      </c>
      <c r="E24" s="4" t="str">
        <f t="shared" si="1"/>
        <v>#if STEP5_EN &gt;= 0
    case STEP5_EN:
        return (mcu_get_output(STEP5_EN) != 0);
#endif</v>
      </c>
      <c r="F24" s="4" t="str">
        <f t="shared" si="2"/>
        <v>| 22 | DIO22 | STEP5_EN |</v>
      </c>
      <c r="G24" s="4" t="str">
        <f t="shared" si="8"/>
        <v>#ifndef STEP5_EN_IO_OFFSET
#define STEP5_EN_IO_OFFSET -1
#define DIO22_IO_OFFSET -1
#else
#define DIO22_IO_OFFSET STEP5_EN_IO_OFFSET
#ifdef STEP5_EN
#undef STEP5_EN
#endif
#ifdef DIO22
#undef DIO22
#endif
#define STEP5_EN 22
#define STEP5_EN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</row>
    <row r="25" spans="1:7" ht="14.25" customHeight="1" x14ac:dyDescent="0.25">
      <c r="A25" s="4">
        <v>23</v>
      </c>
      <c r="B25" s="4" t="str">
        <f t="shared" si="0"/>
        <v>DIO23</v>
      </c>
      <c r="C25" s="4" t="s">
        <v>226</v>
      </c>
      <c r="D25" s="4" t="str">
        <f t="shared" si="3"/>
        <v>#ifndef STEP6_EN
#define STEP6_EN UNDEF_PIN
#ifdef DIO23
#undef DIO23
#endif
#define DIO23 UNDEF_PIN
#endif</v>
      </c>
      <c r="E25" s="4" t="str">
        <f t="shared" ref="E25:E26" si="9">"#if "&amp;C25&amp;" &gt;= 0
    case "&amp;C25&amp;":
        return (mcu_get_output("&amp;C25&amp;") != 0);
#endif"</f>
        <v>#if STEP6_EN &gt;= 0
    case STEP6_EN:
        return (mcu_get_output(STEP6_EN) != 0);
#endif</v>
      </c>
      <c r="F25" s="4" t="str">
        <f t="shared" ref="F25:F26" si="10">"| "&amp;A25&amp;" | "&amp;B25&amp;" | "&amp;C25&amp;" |"</f>
        <v>| 23 | DIO23 | STEP6_EN |</v>
      </c>
      <c r="G25" s="4" t="str">
        <f t="shared" si="8"/>
        <v>#ifndef STEP6_EN_IO_OFFSET
#define STEP6_EN_IO_OFFSET -1
#define DIO23_IO_OFFSET -1
#else
#define DIO23_IO_OFFSET STEP6_EN_IO_OFFSET
#ifdef STEP6_EN
#undef STEP6_EN
#endif
#ifdef DIO23
#undef DIO23
#endif
#define STEP6_EN 23
#define STEP6_EN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</row>
    <row r="26" spans="1:7" ht="14.25" customHeight="1" x14ac:dyDescent="0.25">
      <c r="A26" s="4">
        <v>24</v>
      </c>
      <c r="B26" s="4" t="str">
        <f t="shared" si="0"/>
        <v>DIO24</v>
      </c>
      <c r="C26" s="4" t="s">
        <v>227</v>
      </c>
      <c r="D26" s="4" t="str">
        <f t="shared" si="3"/>
        <v>#ifndef STEP7_EN
#define STEP7_EN UNDEF_PIN
#ifdef DIO24
#undef DIO24
#endif
#define DIO24 UNDEF_PIN
#endif</v>
      </c>
      <c r="E26" s="4" t="str">
        <f t="shared" si="9"/>
        <v>#if STEP7_EN &gt;= 0
    case STEP7_EN:
        return (mcu_get_output(STEP7_EN) != 0);
#endif</v>
      </c>
      <c r="F26" s="4" t="str">
        <f t="shared" si="10"/>
        <v>| 24 | DIO24 | STEP7_EN |</v>
      </c>
      <c r="G26" s="4" t="str">
        <f t="shared" si="8"/>
        <v>#ifndef STEP7_EN_IO_OFFSET
#define STEP7_EN_IO_OFFSET -1
#define DIO24_IO_OFFSET -1
#else
#define DIO24_IO_OFFSET STEP7_EN_IO_OFFSET
#ifdef STEP7_EN
#undef STEP7_EN
#endif
#ifdef DIO24
#undef DIO24
#endif
#define STEP7_EN 24
#define STEP7_EN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</row>
    <row r="27" spans="1:7" ht="14.25" customHeight="1" x14ac:dyDescent="0.25">
      <c r="A27" s="4">
        <v>25</v>
      </c>
      <c r="B27" s="4" t="str">
        <f t="shared" si="0"/>
        <v>DIO25</v>
      </c>
      <c r="C27" s="4" t="s">
        <v>27</v>
      </c>
      <c r="D27" s="4" t="str">
        <f t="shared" si="3"/>
        <v>#ifndef PWM0
#define PWM0 UNDEF_PIN
#ifdef DIO25
#undef DIO25
#endif
#define DIO25 UNDEF_PIN
#endif</v>
      </c>
      <c r="E27" s="4" t="str">
        <f t="shared" ref="E27:E42" si="11">"#if "&amp;C27&amp;" &gt;= 0
    case "&amp;C27&amp;":
        return mcu_get_pwm("&amp;C27&amp;");
#endif"</f>
        <v>#if PWM0 &gt;= 0
    case PWM0:
        return mcu_get_pwm(PWM0);
#endif</v>
      </c>
      <c r="F27" s="4" t="str">
        <f t="shared" si="2"/>
        <v>| 25 | DIO25 | PWM0 |</v>
      </c>
      <c r="G27" s="4" t="str">
        <f>"#ifndef "&amp;C27&amp;"_IO_OFFSET
#define "&amp;C27&amp;"_IO_OFFSET -1
#define "&amp;B27&amp;"_IO_OFFSET -1
#else
#define "&amp;B27&amp;"_IO_OFFSET "&amp;C27&amp;"_IO_OFFSET
#ifdef "&amp;C27&amp;"
#undef "&amp;C27&amp;"
#endif
#ifdef "&amp;B27&amp;"
#undef "&amp;B27&amp;"
#endif
#define "&amp;C27&amp;" "&amp;A27&amp;"
#define "&amp;C27&amp;" -"&amp;A27&amp;"
#define "&amp;C27&amp;"_IO_BYTEOFFSET ("&amp;C27&amp;"_IO_OFFSET &gt;&gt; 3)
#define "&amp;C27&amp;"_IO_BITMASK (1 &lt;&lt; ("&amp;C27&amp;"_IO_OFFSET &amp; 0x7))
#define "&amp;B27&amp;"_IO_BYTEOFFSET "&amp;C27&amp;"_IO_BYTEOFFSET
#define "&amp;B27&amp;"_IO_BITMASK "&amp;C27&amp;"_IO_BITMASK
#ifndef IC74HC595_HAS_PWMS
#define IC74HC595_HAS_PWMS
#endif
#endif"</f>
        <v>#ifndef PWM0_IO_OFFSET
#define PWM0_IO_OFFSET -1
#define DIO25_IO_OFFSET -1
#else
#define DIO25_IO_OFFSET PWM0_IO_OFFSET
#ifdef PWM0
#undef PWM0
#endif
#ifdef DIO25
#undef DIO25
#endif
#define PWM0 25
#define PWM0 -25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</row>
    <row r="28" spans="1:7" ht="14.25" customHeight="1" x14ac:dyDescent="0.25">
      <c r="A28" s="4">
        <v>26</v>
      </c>
      <c r="B28" s="4" t="str">
        <f t="shared" si="0"/>
        <v>DIO26</v>
      </c>
      <c r="C28" s="4" t="s">
        <v>28</v>
      </c>
      <c r="D28" s="4" t="str">
        <f t="shared" si="3"/>
        <v>#ifndef PWM1
#define PWM1 UNDEF_PIN
#ifdef DIO26
#undef DIO26
#endif
#define DIO26 UNDEF_PIN
#endif</v>
      </c>
      <c r="E28" s="4" t="str">
        <f t="shared" si="11"/>
        <v>#if PWM1 &gt;= 0
    case PWM1:
        return mcu_get_pwm(PWM1);
#endif</v>
      </c>
      <c r="F28" s="4" t="str">
        <f t="shared" si="2"/>
        <v>| 26 | DIO26 | PWM1 |</v>
      </c>
      <c r="G28" s="4" t="str">
        <f t="shared" ref="G28:G42" si="12">"#ifndef "&amp;C28&amp;"_IO_OFFSET
#define "&amp;C28&amp;"_IO_OFFSET -1
#define "&amp;B28&amp;"_IO_OFFSET -1
#else
#define "&amp;B28&amp;"_IO_OFFSET "&amp;C28&amp;"_IO_OFFSET
#ifdef "&amp;C28&amp;"
#undef "&amp;C28&amp;"
#endif
#ifdef "&amp;B28&amp;"
#undef "&amp;B28&amp;"
#endif
#define "&amp;C28&amp;" "&amp;A28&amp;"
#define "&amp;C28&amp;" -"&amp;A28&amp;"
#define "&amp;C28&amp;"_IO_BYTEOFFSET ("&amp;C28&amp;"_IO_OFFSET &gt;&gt; 3)
#define "&amp;C28&amp;"_IO_BITMASK (1 &lt;&lt; ("&amp;C28&amp;"_IO_OFFSET &amp; 0x7))
#define "&amp;B28&amp;"_IO_BYTEOFFSET "&amp;C28&amp;"_IO_BYTEOFFSET
#define "&amp;B28&amp;"_IO_BITMASK "&amp;C28&amp;"_IO_BITMASK
#ifndef IC74HC595_HAS_PWMS
#define IC74HC595_HAS_PWMS
#endif
#endif"</f>
        <v>#ifndef PWM1_IO_OFFSET
#define PWM1_IO_OFFSET -1
#define DIO26_IO_OFFSET -1
#else
#define DIO26_IO_OFFSET PWM1_IO_OFFSET
#ifdef PWM1
#undef PWM1
#endif
#ifdef DIO26
#undef DIO26
#endif
#define PWM1 26
#define PWM1 -26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</row>
    <row r="29" spans="1:7" ht="14.25" customHeight="1" x14ac:dyDescent="0.25">
      <c r="A29" s="4">
        <v>27</v>
      </c>
      <c r="B29" s="4" t="str">
        <f t="shared" si="0"/>
        <v>DIO27</v>
      </c>
      <c r="C29" s="4" t="s">
        <v>29</v>
      </c>
      <c r="D29" s="4" t="str">
        <f t="shared" si="3"/>
        <v>#ifndef PWM2
#define PWM2 UNDEF_PIN
#ifdef DIO27
#undef DIO27
#endif
#define DIO27 UNDEF_PIN
#endif</v>
      </c>
      <c r="E29" s="4" t="str">
        <f t="shared" si="11"/>
        <v>#if PWM2 &gt;= 0
    case PWM2:
        return mcu_get_pwm(PWM2);
#endif</v>
      </c>
      <c r="F29" s="4" t="str">
        <f t="shared" si="2"/>
        <v>| 27 | DIO27 | PWM2 |</v>
      </c>
      <c r="G29" s="4" t="str">
        <f t="shared" si="12"/>
        <v>#ifndef PWM2_IO_OFFSET
#define PWM2_IO_OFFSET -1
#define DIO27_IO_OFFSET -1
#else
#define DIO27_IO_OFFSET PWM2_IO_OFFSET
#ifdef PWM2
#undef PWM2
#endif
#ifdef DIO27
#undef DIO27
#endif
#define PWM2 27
#define PWM2 -27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</row>
    <row r="30" spans="1:7" ht="14.25" customHeight="1" x14ac:dyDescent="0.25">
      <c r="A30" s="4">
        <v>28</v>
      </c>
      <c r="B30" s="4" t="str">
        <f t="shared" si="0"/>
        <v>DIO28</v>
      </c>
      <c r="C30" s="4" t="s">
        <v>30</v>
      </c>
      <c r="D30" s="4" t="str">
        <f t="shared" si="3"/>
        <v>#ifndef PWM3
#define PWM3 UNDEF_PIN
#ifdef DIO28
#undef DIO28
#endif
#define DIO28 UNDEF_PIN
#endif</v>
      </c>
      <c r="E30" s="4" t="str">
        <f t="shared" si="11"/>
        <v>#if PWM3 &gt;= 0
    case PWM3:
        return mcu_get_pwm(PWM3);
#endif</v>
      </c>
      <c r="F30" s="4" t="str">
        <f t="shared" si="2"/>
        <v>| 28 | DIO28 | PWM3 |</v>
      </c>
      <c r="G30" s="4" t="str">
        <f t="shared" si="12"/>
        <v>#ifndef PWM3_IO_OFFSET
#define PWM3_IO_OFFSET -1
#define DIO28_IO_OFFSET -1
#else
#define DIO28_IO_OFFSET PWM3_IO_OFFSET
#ifdef PWM3
#undef PWM3
#endif
#ifdef DIO28
#undef DIO28
#endif
#define PWM3 28
#define PWM3 -28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</row>
    <row r="31" spans="1:7" ht="14.25" customHeight="1" x14ac:dyDescent="0.25">
      <c r="A31" s="4">
        <v>29</v>
      </c>
      <c r="B31" s="4" t="str">
        <f t="shared" si="0"/>
        <v>DIO29</v>
      </c>
      <c r="C31" s="4" t="s">
        <v>31</v>
      </c>
      <c r="D31" s="4" t="str">
        <f t="shared" si="3"/>
        <v>#ifndef PWM4
#define PWM4 UNDEF_PIN
#ifdef DIO29
#undef DIO29
#endif
#define DIO29 UNDEF_PIN
#endif</v>
      </c>
      <c r="E31" s="4" t="str">
        <f t="shared" si="11"/>
        <v>#if PWM4 &gt;= 0
    case PWM4:
        return mcu_get_pwm(PWM4);
#endif</v>
      </c>
      <c r="F31" s="4" t="str">
        <f t="shared" si="2"/>
        <v>| 29 | DIO29 | PWM4 |</v>
      </c>
      <c r="G31" s="4" t="str">
        <f t="shared" si="12"/>
        <v>#ifndef PWM4_IO_OFFSET
#define PWM4_IO_OFFSET -1
#define DIO29_IO_OFFSET -1
#else
#define DIO29_IO_OFFSET PWM4_IO_OFFSET
#ifdef PWM4
#undef PWM4
#endif
#ifdef DIO29
#undef DIO29
#endif
#define PWM4 29
#define PWM4 -29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</row>
    <row r="32" spans="1:7" ht="14.25" customHeight="1" x14ac:dyDescent="0.25">
      <c r="A32" s="4">
        <v>30</v>
      </c>
      <c r="B32" s="4" t="str">
        <f t="shared" si="0"/>
        <v>DIO30</v>
      </c>
      <c r="C32" s="4" t="s">
        <v>32</v>
      </c>
      <c r="D32" s="4" t="str">
        <f t="shared" si="3"/>
        <v>#ifndef PWM5
#define PWM5 UNDEF_PIN
#ifdef DIO30
#undef DIO30
#endif
#define DIO30 UNDEF_PIN
#endif</v>
      </c>
      <c r="E32" s="4" t="str">
        <f t="shared" si="11"/>
        <v>#if PWM5 &gt;= 0
    case PWM5:
        return mcu_get_pwm(PWM5);
#endif</v>
      </c>
      <c r="F32" s="4" t="str">
        <f t="shared" si="2"/>
        <v>| 30 | DIO30 | PWM5 |</v>
      </c>
      <c r="G32" s="4" t="str">
        <f t="shared" si="12"/>
        <v>#ifndef PWM5_IO_OFFSET
#define PWM5_IO_OFFSET -1
#define DIO30_IO_OFFSET -1
#else
#define DIO30_IO_OFFSET PWM5_IO_OFFSET
#ifdef PWM5
#undef PWM5
#endif
#ifdef DIO30
#undef DIO30
#endif
#define PWM5 30
#define PWM5 -30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</row>
    <row r="33" spans="1:7" ht="14.25" customHeight="1" x14ac:dyDescent="0.25">
      <c r="A33" s="4">
        <v>31</v>
      </c>
      <c r="B33" s="4" t="str">
        <f t="shared" si="0"/>
        <v>DIO31</v>
      </c>
      <c r="C33" s="4" t="s">
        <v>33</v>
      </c>
      <c r="D33" s="4" t="str">
        <f t="shared" si="3"/>
        <v>#ifndef PWM6
#define PWM6 UNDEF_PIN
#ifdef DIO31
#undef DIO31
#endif
#define DIO31 UNDEF_PIN
#endif</v>
      </c>
      <c r="E33" s="4" t="str">
        <f t="shared" si="11"/>
        <v>#if PWM6 &gt;= 0
    case PWM6:
        return mcu_get_pwm(PWM6);
#endif</v>
      </c>
      <c r="F33" s="4" t="str">
        <f t="shared" si="2"/>
        <v>| 31 | DIO31 | PWM6 |</v>
      </c>
      <c r="G33" s="4" t="str">
        <f t="shared" si="12"/>
        <v>#ifndef PWM6_IO_OFFSET
#define PWM6_IO_OFFSET -1
#define DIO31_IO_OFFSET -1
#else
#define DIO31_IO_OFFSET PWM6_IO_OFFSET
#ifdef PWM6
#undef PWM6
#endif
#ifdef DIO31
#undef DIO31
#endif
#define PWM6 31
#define PWM6 -31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</row>
    <row r="34" spans="1:7" ht="14.25" customHeight="1" x14ac:dyDescent="0.25">
      <c r="A34" s="4">
        <v>32</v>
      </c>
      <c r="B34" s="4" t="str">
        <f t="shared" si="0"/>
        <v>DIO32</v>
      </c>
      <c r="C34" s="4" t="s">
        <v>34</v>
      </c>
      <c r="D34" s="4" t="str">
        <f t="shared" si="3"/>
        <v>#ifndef PWM7
#define PWM7 UNDEF_PIN
#ifdef DIO32
#undef DIO32
#endif
#define DIO32 UNDEF_PIN
#endif</v>
      </c>
      <c r="E34" s="4" t="str">
        <f t="shared" si="11"/>
        <v>#if PWM7 &gt;= 0
    case PWM7:
        return mcu_get_pwm(PWM7);
#endif</v>
      </c>
      <c r="F34" s="4" t="str">
        <f t="shared" si="2"/>
        <v>| 32 | DIO32 | PWM7 |</v>
      </c>
      <c r="G34" s="4" t="str">
        <f t="shared" si="12"/>
        <v>#ifndef PWM7_IO_OFFSET
#define PWM7_IO_OFFSET -1
#define DIO32_IO_OFFSET -1
#else
#define DIO32_IO_OFFSET PWM7_IO_OFFSET
#ifdef PWM7
#undef PWM7
#endif
#ifdef DIO32
#undef DIO32
#endif
#define PWM7 32
#define PWM7 -32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</row>
    <row r="35" spans="1:7" ht="14.25" customHeight="1" x14ac:dyDescent="0.25">
      <c r="A35" s="4">
        <v>33</v>
      </c>
      <c r="B35" s="4" t="str">
        <f t="shared" si="0"/>
        <v>DIO33</v>
      </c>
      <c r="C35" s="4" t="s">
        <v>35</v>
      </c>
      <c r="D35" s="4" t="str">
        <f t="shared" si="3"/>
        <v>#ifndef PWM8
#define PWM8 UNDEF_PIN
#ifdef DIO33
#undef DIO33
#endif
#define DIO33 UNDEF_PIN
#endif</v>
      </c>
      <c r="E35" s="4" t="str">
        <f t="shared" si="11"/>
        <v>#if PWM8 &gt;= 0
    case PWM8:
        return mcu_get_pwm(PWM8);
#endif</v>
      </c>
      <c r="F35" s="4" t="str">
        <f t="shared" si="2"/>
        <v>| 33 | DIO33 | PWM8 |</v>
      </c>
      <c r="G35" s="4" t="str">
        <f t="shared" si="12"/>
        <v>#ifndef PWM8_IO_OFFSET
#define PWM8_IO_OFFSET -1
#define DIO33_IO_OFFSET -1
#else
#define DIO33_IO_OFFSET PWM8_IO_OFFSET
#ifdef PWM8
#undef PWM8
#endif
#ifdef DIO33
#undef DIO33
#endif
#define PWM8 33
#define PWM8 -33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</row>
    <row r="36" spans="1:7" ht="14.25" customHeight="1" x14ac:dyDescent="0.25">
      <c r="A36" s="4">
        <v>34</v>
      </c>
      <c r="B36" s="4" t="str">
        <f t="shared" si="0"/>
        <v>DIO34</v>
      </c>
      <c r="C36" s="4" t="s">
        <v>36</v>
      </c>
      <c r="D36" s="4" t="str">
        <f t="shared" si="3"/>
        <v>#ifndef PWM9
#define PWM9 UNDEF_PIN
#ifdef DIO34
#undef DIO34
#endif
#define DIO34 UNDEF_PIN
#endif</v>
      </c>
      <c r="E36" s="4" t="str">
        <f t="shared" si="11"/>
        <v>#if PWM9 &gt;= 0
    case PWM9:
        return mcu_get_pwm(PWM9);
#endif</v>
      </c>
      <c r="F36" s="4" t="str">
        <f t="shared" si="2"/>
        <v>| 34 | DIO34 | PWM9 |</v>
      </c>
      <c r="G36" s="4" t="str">
        <f t="shared" si="12"/>
        <v>#ifndef PWM9_IO_OFFSET
#define PWM9_IO_OFFSET -1
#define DIO34_IO_OFFSET -1
#else
#define DIO34_IO_OFFSET PWM9_IO_OFFSET
#ifdef PWM9
#undef PWM9
#endif
#ifdef DIO34
#undef DIO34
#endif
#define PWM9 34
#define PWM9 -34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</row>
    <row r="37" spans="1:7" ht="14.25" customHeight="1" x14ac:dyDescent="0.25">
      <c r="A37" s="4">
        <v>35</v>
      </c>
      <c r="B37" s="4" t="str">
        <f t="shared" si="0"/>
        <v>DIO35</v>
      </c>
      <c r="C37" s="4" t="s">
        <v>37</v>
      </c>
      <c r="D37" s="4" t="str">
        <f t="shared" si="3"/>
        <v>#ifndef PWM10
#define PWM10 UNDEF_PIN
#ifdef DIO35
#undef DIO35
#endif
#define DIO35 UNDEF_PIN
#endif</v>
      </c>
      <c r="E37" s="4" t="str">
        <f t="shared" si="11"/>
        <v>#if PWM10 &gt;= 0
    case PWM10:
        return mcu_get_pwm(PWM10);
#endif</v>
      </c>
      <c r="F37" s="4" t="str">
        <f t="shared" si="2"/>
        <v>| 35 | DIO35 | PWM10 |</v>
      </c>
      <c r="G37" s="4" t="str">
        <f t="shared" si="12"/>
        <v>#ifndef PWM10_IO_OFFSET
#define PWM10_IO_OFFSET -1
#define DIO35_IO_OFFSET -1
#else
#define DIO35_IO_OFFSET PWM10_IO_OFFSET
#ifdef PWM10
#undef PWM10
#endif
#ifdef DIO35
#undef DIO35
#endif
#define PWM10 35
#define PWM10 -35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</row>
    <row r="38" spans="1:7" ht="14.25" customHeight="1" x14ac:dyDescent="0.25">
      <c r="A38" s="4">
        <v>36</v>
      </c>
      <c r="B38" s="4" t="str">
        <f t="shared" si="0"/>
        <v>DIO36</v>
      </c>
      <c r="C38" s="4" t="s">
        <v>38</v>
      </c>
      <c r="D38" s="4" t="str">
        <f t="shared" si="3"/>
        <v>#ifndef PWM11
#define PWM11 UNDEF_PIN
#ifdef DIO36
#undef DIO36
#endif
#define DIO36 UNDEF_PIN
#endif</v>
      </c>
      <c r="E38" s="4" t="str">
        <f t="shared" si="11"/>
        <v>#if PWM11 &gt;= 0
    case PWM11:
        return mcu_get_pwm(PWM11);
#endif</v>
      </c>
      <c r="F38" s="4" t="str">
        <f t="shared" si="2"/>
        <v>| 36 | DIO36 | PWM11 |</v>
      </c>
      <c r="G38" s="4" t="str">
        <f t="shared" si="12"/>
        <v>#ifndef PWM11_IO_OFFSET
#define PWM11_IO_OFFSET -1
#define DIO36_IO_OFFSET -1
#else
#define DIO36_IO_OFFSET PWM11_IO_OFFSET
#ifdef PWM11
#undef PWM11
#endif
#ifdef DIO36
#undef DIO36
#endif
#define PWM11 36
#define PWM11 -36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</row>
    <row r="39" spans="1:7" ht="14.25" customHeight="1" x14ac:dyDescent="0.25">
      <c r="A39" s="4">
        <v>37</v>
      </c>
      <c r="B39" s="4" t="str">
        <f t="shared" si="0"/>
        <v>DIO37</v>
      </c>
      <c r="C39" s="4" t="s">
        <v>39</v>
      </c>
      <c r="D39" s="4" t="str">
        <f t="shared" si="3"/>
        <v>#ifndef PWM12
#define PWM12 UNDEF_PIN
#ifdef DIO37
#undef DIO37
#endif
#define DIO37 UNDEF_PIN
#endif</v>
      </c>
      <c r="E39" s="4" t="str">
        <f t="shared" si="11"/>
        <v>#if PWM12 &gt;= 0
    case PWM12:
        return mcu_get_pwm(PWM12);
#endif</v>
      </c>
      <c r="F39" s="4" t="str">
        <f t="shared" si="2"/>
        <v>| 37 | DIO37 | PWM12 |</v>
      </c>
      <c r="G39" s="4" t="str">
        <f t="shared" si="12"/>
        <v>#ifndef PWM12_IO_OFFSET
#define PWM12_IO_OFFSET -1
#define DIO37_IO_OFFSET -1
#else
#define DIO37_IO_OFFSET PWM12_IO_OFFSET
#ifdef PWM12
#undef PWM12
#endif
#ifdef DIO37
#undef DIO37
#endif
#define PWM12 37
#define PWM12 -37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</row>
    <row r="40" spans="1:7" ht="14.25" customHeight="1" x14ac:dyDescent="0.25">
      <c r="A40" s="4">
        <v>38</v>
      </c>
      <c r="B40" s="4" t="str">
        <f t="shared" si="0"/>
        <v>DIO38</v>
      </c>
      <c r="C40" s="4" t="s">
        <v>40</v>
      </c>
      <c r="D40" s="4" t="str">
        <f t="shared" si="3"/>
        <v>#ifndef PWM13
#define PWM13 UNDEF_PIN
#ifdef DIO38
#undef DIO38
#endif
#define DIO38 UNDEF_PIN
#endif</v>
      </c>
      <c r="E40" s="4" t="str">
        <f t="shared" si="11"/>
        <v>#if PWM13 &gt;= 0
    case PWM13:
        return mcu_get_pwm(PWM13);
#endif</v>
      </c>
      <c r="F40" s="4" t="str">
        <f t="shared" si="2"/>
        <v>| 38 | DIO38 | PWM13 |</v>
      </c>
      <c r="G40" s="4" t="str">
        <f t="shared" si="12"/>
        <v>#ifndef PWM13_IO_OFFSET
#define PWM13_IO_OFFSET -1
#define DIO38_IO_OFFSET -1
#else
#define DIO38_IO_OFFSET PWM13_IO_OFFSET
#ifdef PWM13
#undef PWM13
#endif
#ifdef DIO38
#undef DIO38
#endif
#define PWM13 38
#define PWM13 -38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</row>
    <row r="41" spans="1:7" ht="14.25" customHeight="1" x14ac:dyDescent="0.25">
      <c r="A41" s="4">
        <v>39</v>
      </c>
      <c r="B41" s="4" t="str">
        <f t="shared" si="0"/>
        <v>DIO39</v>
      </c>
      <c r="C41" s="4" t="s">
        <v>41</v>
      </c>
      <c r="D41" s="4" t="str">
        <f t="shared" si="3"/>
        <v>#ifndef PWM14
#define PWM14 UNDEF_PIN
#ifdef DIO39
#undef DIO39
#endif
#define DIO39 UNDEF_PIN
#endif</v>
      </c>
      <c r="E41" s="4" t="str">
        <f t="shared" si="11"/>
        <v>#if PWM14 &gt;= 0
    case PWM14:
        return mcu_get_pwm(PWM14);
#endif</v>
      </c>
      <c r="F41" s="4" t="str">
        <f t="shared" si="2"/>
        <v>| 39 | DIO39 | PWM14 |</v>
      </c>
      <c r="G41" s="4" t="str">
        <f t="shared" si="12"/>
        <v>#ifndef PWM14_IO_OFFSET
#define PWM14_IO_OFFSET -1
#define DIO39_IO_OFFSET -1
#else
#define DIO39_IO_OFFSET PWM14_IO_OFFSET
#ifdef PWM14
#undef PWM14
#endif
#ifdef DIO39
#undef DIO39
#endif
#define PWM14 39
#define PWM14 -39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</row>
    <row r="42" spans="1:7" ht="14.25" customHeight="1" x14ac:dyDescent="0.25">
      <c r="A42" s="4">
        <v>40</v>
      </c>
      <c r="B42" s="4" t="str">
        <f t="shared" si="0"/>
        <v>DIO40</v>
      </c>
      <c r="C42" s="4" t="s">
        <v>42</v>
      </c>
      <c r="D42" s="4" t="str">
        <f t="shared" si="3"/>
        <v>#ifndef PWM15
#define PWM15 UNDEF_PIN
#ifdef DIO40
#undef DIO40
#endif
#define DIO40 UNDEF_PIN
#endif</v>
      </c>
      <c r="E42" s="4" t="str">
        <f t="shared" si="11"/>
        <v>#if PWM15 &gt;= 0
    case PWM15:
        return mcu_get_pwm(PWM15);
#endif</v>
      </c>
      <c r="F42" s="4" t="str">
        <f t="shared" si="2"/>
        <v>| 40 | DIO40 | PWM15 |</v>
      </c>
      <c r="G42" s="4" t="str">
        <f t="shared" si="12"/>
        <v>#ifndef PWM15_IO_OFFSET
#define PWM15_IO_OFFSET -1
#define DIO40_IO_OFFSET -1
#else
#define DIO40_IO_OFFSET PWM15_IO_OFFSET
#ifdef PWM15
#undef PWM15
#endif
#ifdef DIO40
#undef DIO40
#endif
#define PWM15 40
#define PWM15 -40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</row>
    <row r="43" spans="1:7" ht="14.25" customHeight="1" x14ac:dyDescent="0.25">
      <c r="A43" s="4">
        <v>41</v>
      </c>
      <c r="B43" s="4" t="str">
        <f t="shared" ref="B43:B48" si="13">"DIO"&amp;A43</f>
        <v>DIO41</v>
      </c>
      <c r="C43" s="4" t="s">
        <v>109</v>
      </c>
      <c r="D43" s="4" t="str">
        <f t="shared" si="3"/>
        <v>#ifndef SERVO0
#define SERVO0 UNDEF_PIN
#ifdef DIO41
#undef DIO41
#endif
#define DIO41 UNDEF_PIN
#endif</v>
      </c>
      <c r="E43" s="4" t="str">
        <f>"#if "&amp;C43&amp;" &gt;= 0
    case "&amp;C43&amp;":
        return mcu_get_servo("&amp;C43&amp;");
#endif"</f>
        <v>#if SERVO0 &gt;= 0
    case SERVO0:
        return mcu_get_servo(SERVO0);
#endif</v>
      </c>
      <c r="F43" s="4" t="str">
        <f t="shared" si="2"/>
        <v>| 41 | DIO41 | SERVO0 |</v>
      </c>
      <c r="G43" s="4" t="str">
        <f>"#ifndef "&amp;C43&amp;"_IO_OFFSET
#define "&amp;C43&amp;"_IO_OFFSET -1
#define "&amp;B43&amp;"_IO_OFFSET -1
#else
#define "&amp;B43&amp;"_IO_OFFSET "&amp;C43&amp;"_IO_OFFSET
#ifdef "&amp;C43&amp;"
#undef "&amp;C43&amp;"
#endif
#ifdef "&amp;B43&amp;"
#undef "&amp;B43&amp;"
#endif
#define "&amp;C43&amp;" "&amp;A43&amp;"
#define "&amp;C43&amp;" -"&amp;A43&amp;"
#define "&amp;C43&amp;"_IO_BYTEOFFSET ("&amp;C43&amp;"_IO_OFFSET &gt;&gt; 3)
#define "&amp;C43&amp;"_IO_BITMASK (1 &lt;&lt; ("&amp;C43&amp;"_IO_OFFSET &amp; 0x7))
#define "&amp;B43&amp;"_IO_BYTEOFFSET "&amp;C43&amp;"_IO_BYTEOFFSET
#define "&amp;B43&amp;"_IO_BITMASK "&amp;C43&amp;"_IO_BITMASK
#ifndef IC74HC595_HAS_SERVOS
#define IC74HC595_HAS_SERVOS
#endif
#endif"</f>
        <v>#ifndef SERVO0_IO_OFFSET
#define SERVO0_IO_OFFSET -1
#define DIO41_IO_OFFSET -1
#else
#define DIO41_IO_OFFSET SERVO0_IO_OFFSET
#ifdef SERVO0
#undef SERVO0
#endif
#ifdef DIO41
#undef DIO41
#endif
#define SERVO0 41
#define SERVO0 -41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</row>
    <row r="44" spans="1:7" ht="14.25" customHeight="1" x14ac:dyDescent="0.25">
      <c r="A44" s="4">
        <v>42</v>
      </c>
      <c r="B44" s="4" t="str">
        <f t="shared" si="13"/>
        <v>DIO42</v>
      </c>
      <c r="C44" s="4" t="s">
        <v>110</v>
      </c>
      <c r="D44" s="4" t="str">
        <f t="shared" si="3"/>
        <v>#ifndef SERVO1
#define SERVO1 UNDEF_PIN
#ifdef DIO42
#undef DIO42
#endif
#define DIO42 UNDEF_PIN
#endif</v>
      </c>
      <c r="E44" s="4" t="str">
        <f t="shared" ref="E44:E48" si="14">"#if "&amp;C44&amp;" &gt;= 0
    case "&amp;C44&amp;":
        return mcu_get_servo("&amp;C44&amp;");
#endif"</f>
        <v>#if SERVO1 &gt;= 0
    case SERVO1:
        return mcu_get_servo(SERVO1);
#endif</v>
      </c>
      <c r="F44" s="4" t="str">
        <f t="shared" si="2"/>
        <v>| 42 | DIO42 | SERVO1 |</v>
      </c>
      <c r="G44" s="4" t="str">
        <f t="shared" ref="G44:G48" si="15">"#ifndef "&amp;C44&amp;"_IO_OFFSET
#define "&amp;C44&amp;"_IO_OFFSET -1
#define "&amp;B44&amp;"_IO_OFFSET -1
#else
#define "&amp;B44&amp;"_IO_OFFSET "&amp;C44&amp;"_IO_OFFSET
#ifdef "&amp;C44&amp;"
#undef "&amp;C44&amp;"
#endif
#ifdef "&amp;B44&amp;"
#undef "&amp;B44&amp;"
#endif
#define "&amp;C44&amp;" "&amp;A44&amp;"
#define "&amp;C44&amp;" -"&amp;A44&amp;"
#define "&amp;C44&amp;"_IO_BYTEOFFSET ("&amp;C44&amp;"_IO_OFFSET &gt;&gt; 3)
#define "&amp;C44&amp;"_IO_BITMASK (1 &lt;&lt; ("&amp;C44&amp;"_IO_OFFSET &amp; 0x7))
#define "&amp;B44&amp;"_IO_BYTEOFFSET "&amp;C44&amp;"_IO_BYTEOFFSET
#define "&amp;B44&amp;"_IO_BITMASK "&amp;C44&amp;"_IO_BITMASK
#ifndef IC74HC595_HAS_SERVOS
#define IC74HC595_HAS_SERVOS
#endif
#endif"</f>
        <v>#ifndef SERVO1_IO_OFFSET
#define SERVO1_IO_OFFSET -1
#define DIO42_IO_OFFSET -1
#else
#define DIO42_IO_OFFSET SERVO1_IO_OFFSET
#ifdef SERVO1
#undef SERVO1
#endif
#ifdef DIO42
#undef DIO42
#endif
#define SERVO1 42
#define SERVO1 -42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</row>
    <row r="45" spans="1:7" ht="14.25" customHeight="1" x14ac:dyDescent="0.25">
      <c r="A45" s="4">
        <v>43</v>
      </c>
      <c r="B45" s="4" t="str">
        <f t="shared" si="13"/>
        <v>DIO43</v>
      </c>
      <c r="C45" s="4" t="s">
        <v>111</v>
      </c>
      <c r="D45" s="4" t="str">
        <f t="shared" si="3"/>
        <v>#ifndef SERVO2
#define SERVO2 UNDEF_PIN
#ifdef DIO43
#undef DIO43
#endif
#define DIO43 UNDEF_PIN
#endif</v>
      </c>
      <c r="E45" s="4" t="str">
        <f t="shared" si="14"/>
        <v>#if SERVO2 &gt;= 0
    case SERVO2:
        return mcu_get_servo(SERVO2);
#endif</v>
      </c>
      <c r="F45" s="4" t="str">
        <f t="shared" si="2"/>
        <v>| 43 | DIO43 | SERVO2 |</v>
      </c>
      <c r="G45" s="4" t="str">
        <f t="shared" si="15"/>
        <v>#ifndef SERVO2_IO_OFFSET
#define SERVO2_IO_OFFSET -1
#define DIO43_IO_OFFSET -1
#else
#define DIO43_IO_OFFSET SERVO2_IO_OFFSET
#ifdef SERVO2
#undef SERVO2
#endif
#ifdef DIO43
#undef DIO43
#endif
#define SERVO2 43
#define SERVO2 -43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</row>
    <row r="46" spans="1:7" ht="14.25" customHeight="1" x14ac:dyDescent="0.25">
      <c r="A46" s="4">
        <v>44</v>
      </c>
      <c r="B46" s="4" t="str">
        <f t="shared" si="13"/>
        <v>DIO44</v>
      </c>
      <c r="C46" s="4" t="s">
        <v>112</v>
      </c>
      <c r="D46" s="4" t="str">
        <f t="shared" si="3"/>
        <v>#ifndef SERVO3
#define SERVO3 UNDEF_PIN
#ifdef DIO44
#undef DIO44
#endif
#define DIO44 UNDEF_PIN
#endif</v>
      </c>
      <c r="E46" s="4" t="str">
        <f t="shared" si="14"/>
        <v>#if SERVO3 &gt;= 0
    case SERVO3:
        return mcu_get_servo(SERVO3);
#endif</v>
      </c>
      <c r="F46" s="4" t="str">
        <f t="shared" si="2"/>
        <v>| 44 | DIO44 | SERVO3 |</v>
      </c>
      <c r="G46" s="4" t="str">
        <f t="shared" si="15"/>
        <v>#ifndef SERVO3_IO_OFFSET
#define SERVO3_IO_OFFSET -1
#define DIO44_IO_OFFSET -1
#else
#define DIO44_IO_OFFSET SERVO3_IO_OFFSET
#ifdef SERVO3
#undef SERVO3
#endif
#ifdef DIO44
#undef DIO44
#endif
#define SERVO3 44
#define SERVO3 -44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</row>
    <row r="47" spans="1:7" ht="14.25" customHeight="1" x14ac:dyDescent="0.25">
      <c r="A47" s="4">
        <v>45</v>
      </c>
      <c r="B47" s="4" t="str">
        <f t="shared" si="13"/>
        <v>DIO45</v>
      </c>
      <c r="C47" s="4" t="s">
        <v>113</v>
      </c>
      <c r="D47" s="4" t="str">
        <f t="shared" si="3"/>
        <v>#ifndef SERVO4
#define SERVO4 UNDEF_PIN
#ifdef DIO45
#undef DIO45
#endif
#define DIO45 UNDEF_PIN
#endif</v>
      </c>
      <c r="E47" s="4" t="str">
        <f t="shared" si="14"/>
        <v>#if SERVO4 &gt;= 0
    case SERVO4:
        return mcu_get_servo(SERVO4);
#endif</v>
      </c>
      <c r="F47" s="4" t="str">
        <f t="shared" si="2"/>
        <v>| 45 | DIO45 | SERVO4 |</v>
      </c>
      <c r="G47" s="4" t="str">
        <f t="shared" si="15"/>
        <v>#ifndef SERVO4_IO_OFFSET
#define SERVO4_IO_OFFSET -1
#define DIO45_IO_OFFSET -1
#else
#define DIO45_IO_OFFSET SERVO4_IO_OFFSET
#ifdef SERVO4
#undef SERVO4
#endif
#ifdef DIO45
#undef DIO45
#endif
#define SERVO4 45
#define SERVO4 -45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</row>
    <row r="48" spans="1:7" ht="14.25" customHeight="1" x14ac:dyDescent="0.25">
      <c r="A48" s="4">
        <v>46</v>
      </c>
      <c r="B48" s="4" t="str">
        <f t="shared" si="13"/>
        <v>DIO46</v>
      </c>
      <c r="C48" s="4" t="s">
        <v>114</v>
      </c>
      <c r="D48" s="4" t="str">
        <f t="shared" si="3"/>
        <v>#ifndef SERVO5
#define SERVO5 UNDEF_PIN
#ifdef DIO46
#undef DIO46
#endif
#define DIO46 UNDEF_PIN
#endif</v>
      </c>
      <c r="E48" s="4" t="str">
        <f t="shared" si="14"/>
        <v>#if SERVO5 &gt;= 0
    case SERVO5:
        return mcu_get_servo(SERVO5);
#endif</v>
      </c>
      <c r="F48" s="4" t="str">
        <f t="shared" si="2"/>
        <v>| 46 | DIO46 | SERVO5 |</v>
      </c>
      <c r="G48" s="4" t="str">
        <f t="shared" si="15"/>
        <v>#ifndef SERVO5_IO_OFFSET
#define SERVO5_IO_OFFSET -1
#define DIO46_IO_OFFSET -1
#else
#define DIO46_IO_OFFSET SERVO5_IO_OFFSET
#ifdef SERVO5
#undef SERVO5
#endif
#ifdef DIO46
#undef DIO46
#endif
#define SERVO5 46
#define SERVO5 -46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</row>
    <row r="49" spans="1:9" ht="14.25" customHeight="1" x14ac:dyDescent="0.25">
      <c r="A49" s="4">
        <v>47</v>
      </c>
      <c r="B49" s="4" t="str">
        <f t="shared" si="0"/>
        <v>DIO47</v>
      </c>
      <c r="C49" s="4" t="s">
        <v>43</v>
      </c>
      <c r="D49" s="4" t="str">
        <f t="shared" si="3"/>
        <v>#ifndef DOUT0
#define DOUT0 UNDEF_PIN
#ifdef DIO47
#undef DIO47
#endif
#define DIO47 UNDEF_PIN
#endif</v>
      </c>
      <c r="E49" s="4" t="str">
        <f t="shared" ref="E49:E58" si="16">"#if "&amp;C49&amp;" &gt;= 0
    case "&amp;C49&amp;":
        return (mcu_get_output("&amp;C49&amp;") != 0);
#endif"</f>
        <v>#if DOUT0 &gt;= 0
    case DOUT0:
        return (mcu_get_output(DOUT0) != 0);
#endif</v>
      </c>
      <c r="F49" s="4" t="str">
        <f t="shared" si="2"/>
        <v>| 47 | DIO47 | DOUT0 |</v>
      </c>
      <c r="G49" s="4" t="str">
        <f t="shared" ref="G49:G67" si="17">"#ifndef "&amp;C49&amp;"_IO_OFFSET
#define "&amp;C49&amp;"_IO_OFFSET -1
#define "&amp;B49&amp;"_IO_OFFSET -1
#else
#define "&amp;B49&amp;"_IO_OFFSET "&amp;C49&amp;"_IO_OFFSET
#ifdef "&amp;C49&amp;"
#undef "&amp;C49&amp;"
#endif
#ifdef "&amp;B49&amp;"
#undef "&amp;B49&amp;"
#endif
#define "&amp;C49&amp;" "&amp;A49&amp;"
#define "&amp;C49&amp;" -"&amp;A49&amp;"
#define "&amp;C49&amp;"_IO_BYTEOFFSET ("&amp;C49&amp;"_IO_OFFSET &gt;&gt; 3)
#define "&amp;C49&amp;"_IO_BITMASK (1 &lt;&lt; ("&amp;C49&amp;"_IO_OFFSET &amp; 0x7))
#define "&amp;B49&amp;"_IO_BYTEOFFSET "&amp;C49&amp;"_IO_BYTEOFFSET
#define "&amp;B49&amp;"_IO_BITMASK "&amp;C49&amp;"_IO_BITMASK
#ifndef IC74HC595_HAS_DOUTS
#define IC74HC595_HAS_DOUTS
#endif
#endif"</f>
        <v>#ifndef DOUT0_IO_OFFSET
#define DOUT0_IO_OFFSET -1
#define DIO47_IO_OFFSET -1
#else
#define DIO47_IO_OFFSET DOUT0_IO_OFFSET
#ifdef DOUT0
#undef DOUT0
#endif
#ifdef DIO47
#undef DIO47
#endif
#define DOUT0 47
#define DOUT0 -47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H49" t="str">
        <f t="shared" ref="H49:H97" si="18">"#if ASSERT_PIN("&amp;C49&amp;")
		case "&amp;C49&amp;":
			io_set_output("&amp;C49&amp;");
			break;
#endif"</f>
        <v>#if ASSERT_PIN(DOUT0)
		case DOUT0:
			io_set_output(DOUT0);
			break;
#endif</v>
      </c>
      <c r="I49" t="str">
        <f t="shared" ref="I49:I98" si="19">"#if ASSERT_PIN("&amp;C49&amp;")
		case "&amp;C49&amp;":
			io_clear_output("&amp;C49&amp;");
			break;
#endif"</f>
        <v>#if ASSERT_PIN(DOUT0)
		case DOUT0:
			io_clear_output(DOUT0);
			break;
#endif</v>
      </c>
    </row>
    <row r="50" spans="1:9" ht="14.25" customHeight="1" x14ac:dyDescent="0.25">
      <c r="A50" s="4">
        <v>48</v>
      </c>
      <c r="B50" s="4" t="str">
        <f t="shared" si="0"/>
        <v>DIO48</v>
      </c>
      <c r="C50" s="4" t="s">
        <v>44</v>
      </c>
      <c r="D50" s="4" t="str">
        <f t="shared" si="3"/>
        <v>#ifndef DOUT1
#define DOUT1 UNDEF_PIN
#ifdef DIO48
#undef DIO48
#endif
#define DIO48 UNDEF_PIN
#endif</v>
      </c>
      <c r="E50" s="4" t="str">
        <f t="shared" si="16"/>
        <v>#if DOUT1 &gt;= 0
    case DOUT1:
        return (mcu_get_output(DOUT1) != 0);
#endif</v>
      </c>
      <c r="F50" s="4" t="str">
        <f t="shared" si="2"/>
        <v>| 48 | DIO48 | DOUT1 |</v>
      </c>
      <c r="G50" s="4" t="str">
        <f t="shared" si="17"/>
        <v>#ifndef DOUT1_IO_OFFSET
#define DOUT1_IO_OFFSET -1
#define DIO48_IO_OFFSET -1
#else
#define DIO48_IO_OFFSET DOUT1_IO_OFFSET
#ifdef DOUT1
#undef DOUT1
#endif
#ifdef DIO48
#undef DIO48
#endif
#define DOUT1 48
#define DOUT1 -48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H50" t="str">
        <f t="shared" si="18"/>
        <v>#if ASSERT_PIN(DOUT1)
		case DOUT1:
			io_set_output(DOUT1);
			break;
#endif</v>
      </c>
      <c r="I50" t="str">
        <f t="shared" si="19"/>
        <v>#if ASSERT_PIN(DOUT1)
		case DOUT1:
			io_clear_output(DOUT1);
			break;
#endif</v>
      </c>
    </row>
    <row r="51" spans="1:9" ht="14.25" customHeight="1" x14ac:dyDescent="0.25">
      <c r="A51" s="4">
        <v>49</v>
      </c>
      <c r="B51" s="4" t="str">
        <f t="shared" si="0"/>
        <v>DIO49</v>
      </c>
      <c r="C51" s="4" t="s">
        <v>45</v>
      </c>
      <c r="D51" s="4" t="str">
        <f t="shared" si="3"/>
        <v>#ifndef DOUT2
#define DOUT2 UNDEF_PIN
#ifdef DIO49
#undef DIO49
#endif
#define DIO49 UNDEF_PIN
#endif</v>
      </c>
      <c r="E51" s="4" t="str">
        <f t="shared" si="16"/>
        <v>#if DOUT2 &gt;= 0
    case DOUT2:
        return (mcu_get_output(DOUT2) != 0);
#endif</v>
      </c>
      <c r="F51" s="4" t="str">
        <f t="shared" si="2"/>
        <v>| 49 | DIO49 | DOUT2 |</v>
      </c>
      <c r="G51" s="4" t="str">
        <f t="shared" si="17"/>
        <v>#ifndef DOUT2_IO_OFFSET
#define DOUT2_IO_OFFSET -1
#define DIO49_IO_OFFSET -1
#else
#define DIO49_IO_OFFSET DOUT2_IO_OFFSET
#ifdef DOUT2
#undef DOUT2
#endif
#ifdef DIO49
#undef DIO49
#endif
#define DOUT2 49
#define DOUT2 -49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H51" t="str">
        <f t="shared" si="18"/>
        <v>#if ASSERT_PIN(DOUT2)
		case DOUT2:
			io_set_output(DOUT2);
			break;
#endif</v>
      </c>
      <c r="I51" t="str">
        <f t="shared" si="19"/>
        <v>#if ASSERT_PIN(DOUT2)
		case DOUT2:
			io_clear_output(DOUT2);
			break;
#endif</v>
      </c>
    </row>
    <row r="52" spans="1:9" ht="14.25" customHeight="1" x14ac:dyDescent="0.25">
      <c r="A52" s="4">
        <v>50</v>
      </c>
      <c r="B52" s="4" t="str">
        <f t="shared" si="0"/>
        <v>DIO50</v>
      </c>
      <c r="C52" s="4" t="s">
        <v>46</v>
      </c>
      <c r="D52" s="4" t="str">
        <f t="shared" si="3"/>
        <v>#ifndef DOUT3
#define DOUT3 UNDEF_PIN
#ifdef DIO50
#undef DIO50
#endif
#define DIO50 UNDEF_PIN
#endif</v>
      </c>
      <c r="E52" s="4" t="str">
        <f t="shared" si="16"/>
        <v>#if DOUT3 &gt;= 0
    case DOUT3:
        return (mcu_get_output(DOUT3) != 0);
#endif</v>
      </c>
      <c r="F52" s="4" t="str">
        <f t="shared" si="2"/>
        <v>| 50 | DIO50 | DOUT3 |</v>
      </c>
      <c r="G52" s="4" t="str">
        <f t="shared" si="17"/>
        <v>#ifndef DOUT3_IO_OFFSET
#define DOUT3_IO_OFFSET -1
#define DIO50_IO_OFFSET -1
#else
#define DIO50_IO_OFFSET DOUT3_IO_OFFSET
#ifdef DOUT3
#undef DOUT3
#endif
#ifdef DIO50
#undef DIO50
#endif
#define DOUT3 50
#define DOUT3 -50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H52" t="str">
        <f t="shared" si="18"/>
        <v>#if ASSERT_PIN(DOUT3)
		case DOUT3:
			io_set_output(DOUT3);
			break;
#endif</v>
      </c>
      <c r="I52" t="str">
        <f t="shared" si="19"/>
        <v>#if ASSERT_PIN(DOUT3)
		case DOUT3:
			io_clear_output(DOUT3);
			break;
#endif</v>
      </c>
    </row>
    <row r="53" spans="1:9" ht="14.25" customHeight="1" x14ac:dyDescent="0.25">
      <c r="A53" s="4">
        <v>51</v>
      </c>
      <c r="B53" s="4" t="str">
        <f t="shared" si="0"/>
        <v>DIO51</v>
      </c>
      <c r="C53" s="4" t="s">
        <v>47</v>
      </c>
      <c r="D53" s="4" t="str">
        <f t="shared" si="3"/>
        <v>#ifndef DOUT4
#define DOUT4 UNDEF_PIN
#ifdef DIO51
#undef DIO51
#endif
#define DIO51 UNDEF_PIN
#endif</v>
      </c>
      <c r="E53" s="4" t="str">
        <f t="shared" si="16"/>
        <v>#if DOUT4 &gt;= 0
    case DOUT4:
        return (mcu_get_output(DOUT4) != 0);
#endif</v>
      </c>
      <c r="F53" s="4" t="str">
        <f t="shared" si="2"/>
        <v>| 51 | DIO51 | DOUT4 |</v>
      </c>
      <c r="G53" s="4" t="str">
        <f t="shared" si="17"/>
        <v>#ifndef DOUT4_IO_OFFSET
#define DOUT4_IO_OFFSET -1
#define DIO51_IO_OFFSET -1
#else
#define DIO51_IO_OFFSET DOUT4_IO_OFFSET
#ifdef DOUT4
#undef DOUT4
#endif
#ifdef DIO51
#undef DIO51
#endif
#define DOUT4 51
#define DOUT4 -51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H53" t="str">
        <f t="shared" si="18"/>
        <v>#if ASSERT_PIN(DOUT4)
		case DOUT4:
			io_set_output(DOUT4);
			break;
#endif</v>
      </c>
      <c r="I53" t="str">
        <f t="shared" si="19"/>
        <v>#if ASSERT_PIN(DOUT4)
		case DOUT4:
			io_clear_output(DOUT4);
			break;
#endif</v>
      </c>
    </row>
    <row r="54" spans="1:9" ht="14.25" customHeight="1" x14ac:dyDescent="0.25">
      <c r="A54" s="4">
        <v>52</v>
      </c>
      <c r="B54" s="4" t="str">
        <f t="shared" si="0"/>
        <v>DIO52</v>
      </c>
      <c r="C54" s="4" t="s">
        <v>48</v>
      </c>
      <c r="D54" s="4" t="str">
        <f t="shared" si="3"/>
        <v>#ifndef DOUT5
#define DOUT5 UNDEF_PIN
#ifdef DIO52
#undef DIO52
#endif
#define DIO52 UNDEF_PIN
#endif</v>
      </c>
      <c r="E54" s="4" t="str">
        <f t="shared" si="16"/>
        <v>#if DOUT5 &gt;= 0
    case DOUT5:
        return (mcu_get_output(DOUT5) != 0);
#endif</v>
      </c>
      <c r="F54" s="4" t="str">
        <f t="shared" si="2"/>
        <v>| 52 | DIO52 | DOUT5 |</v>
      </c>
      <c r="G54" s="4" t="str">
        <f t="shared" si="17"/>
        <v>#ifndef DOUT5_IO_OFFSET
#define DOUT5_IO_OFFSET -1
#define DIO52_IO_OFFSET -1
#else
#define DIO52_IO_OFFSET DOUT5_IO_OFFSET
#ifdef DOUT5
#undef DOUT5
#endif
#ifdef DIO52
#undef DIO52
#endif
#define DOUT5 52
#define DOUT5 -52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H54" t="str">
        <f t="shared" si="18"/>
        <v>#if ASSERT_PIN(DOUT5)
		case DOUT5:
			io_set_output(DOUT5);
			break;
#endif</v>
      </c>
      <c r="I54" t="str">
        <f t="shared" si="19"/>
        <v>#if ASSERT_PIN(DOUT5)
		case DOUT5:
			io_clear_output(DOUT5);
			break;
#endif</v>
      </c>
    </row>
    <row r="55" spans="1:9" ht="14.25" customHeight="1" x14ac:dyDescent="0.25">
      <c r="A55" s="4">
        <v>53</v>
      </c>
      <c r="B55" s="4" t="str">
        <f t="shared" si="0"/>
        <v>DIO53</v>
      </c>
      <c r="C55" s="4" t="s">
        <v>49</v>
      </c>
      <c r="D55" s="4" t="str">
        <f t="shared" si="3"/>
        <v>#ifndef DOUT6
#define DOUT6 UNDEF_PIN
#ifdef DIO53
#undef DIO53
#endif
#define DIO53 UNDEF_PIN
#endif</v>
      </c>
      <c r="E55" s="4" t="str">
        <f t="shared" si="16"/>
        <v>#if DOUT6 &gt;= 0
    case DOUT6:
        return (mcu_get_output(DOUT6) != 0);
#endif</v>
      </c>
      <c r="F55" s="4" t="str">
        <f t="shared" si="2"/>
        <v>| 53 | DIO53 | DOUT6 |</v>
      </c>
      <c r="G55" s="4" t="str">
        <f t="shared" si="17"/>
        <v>#ifndef DOUT6_IO_OFFSET
#define DOUT6_IO_OFFSET -1
#define DIO53_IO_OFFSET -1
#else
#define DIO53_IO_OFFSET DOUT6_IO_OFFSET
#ifdef DOUT6
#undef DOUT6
#endif
#ifdef DIO53
#undef DIO53
#endif
#define DOUT6 53
#define DOUT6 -53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H55" t="str">
        <f t="shared" si="18"/>
        <v>#if ASSERT_PIN(DOUT6)
		case DOUT6:
			io_set_output(DOUT6);
			break;
#endif</v>
      </c>
      <c r="I55" t="str">
        <f t="shared" si="19"/>
        <v>#if ASSERT_PIN(DOUT6)
		case DOUT6:
			io_clear_output(DOUT6);
			break;
#endif</v>
      </c>
    </row>
    <row r="56" spans="1:9" ht="14.25" customHeight="1" x14ac:dyDescent="0.25">
      <c r="A56" s="4">
        <v>54</v>
      </c>
      <c r="B56" s="4" t="str">
        <f t="shared" si="0"/>
        <v>DIO54</v>
      </c>
      <c r="C56" s="4" t="s">
        <v>50</v>
      </c>
      <c r="D56" s="4" t="str">
        <f t="shared" si="3"/>
        <v>#ifndef DOUT7
#define DOUT7 UNDEF_PIN
#ifdef DIO54
#undef DIO54
#endif
#define DIO54 UNDEF_PIN
#endif</v>
      </c>
      <c r="E56" s="4" t="str">
        <f t="shared" si="16"/>
        <v>#if DOUT7 &gt;= 0
    case DOUT7:
        return (mcu_get_output(DOUT7) != 0);
#endif</v>
      </c>
      <c r="F56" s="4" t="str">
        <f t="shared" si="2"/>
        <v>| 54 | DIO54 | DOUT7 |</v>
      </c>
      <c r="G56" s="4" t="str">
        <f t="shared" si="17"/>
        <v>#ifndef DOUT7_IO_OFFSET
#define DOUT7_IO_OFFSET -1
#define DIO54_IO_OFFSET -1
#else
#define DIO54_IO_OFFSET DOUT7_IO_OFFSET
#ifdef DOUT7
#undef DOUT7
#endif
#ifdef DIO54
#undef DIO54
#endif
#define DOUT7 54
#define DOUT7 -54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H56" t="str">
        <f t="shared" si="18"/>
        <v>#if ASSERT_PIN(DOUT7)
		case DOUT7:
			io_set_output(DOUT7);
			break;
#endif</v>
      </c>
      <c r="I56" t="str">
        <f t="shared" si="19"/>
        <v>#if ASSERT_PIN(DOUT7)
		case DOUT7:
			io_clear_output(DOUT7);
			break;
#endif</v>
      </c>
    </row>
    <row r="57" spans="1:9" ht="14.25" customHeight="1" x14ac:dyDescent="0.25">
      <c r="A57" s="4">
        <v>55</v>
      </c>
      <c r="B57" s="4" t="str">
        <f t="shared" si="0"/>
        <v>DIO55</v>
      </c>
      <c r="C57" s="4" t="s">
        <v>51</v>
      </c>
      <c r="D57" s="4" t="str">
        <f t="shared" si="3"/>
        <v>#ifndef DOUT8
#define DOUT8 UNDEF_PIN
#ifdef DIO55
#undef DIO55
#endif
#define DIO55 UNDEF_PIN
#endif</v>
      </c>
      <c r="E57" s="4" t="str">
        <f t="shared" si="16"/>
        <v>#if DOUT8 &gt;= 0
    case DOUT8:
        return (mcu_get_output(DOUT8) != 0);
#endif</v>
      </c>
      <c r="F57" s="4" t="str">
        <f t="shared" si="2"/>
        <v>| 55 | DIO55 | DOUT8 |</v>
      </c>
      <c r="G57" s="4" t="str">
        <f t="shared" si="17"/>
        <v>#ifndef DOUT8_IO_OFFSET
#define DOUT8_IO_OFFSET -1
#define DIO55_IO_OFFSET -1
#else
#define DIO55_IO_OFFSET DOUT8_IO_OFFSET
#ifdef DOUT8
#undef DOUT8
#endif
#ifdef DIO55
#undef DIO55
#endif
#define DOUT8 55
#define DOUT8 -55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H57" t="str">
        <f t="shared" si="18"/>
        <v>#if ASSERT_PIN(DOUT8)
		case DOUT8:
			io_set_output(DOUT8);
			break;
#endif</v>
      </c>
      <c r="I57" t="str">
        <f t="shared" si="19"/>
        <v>#if ASSERT_PIN(DOUT8)
		case DOUT8:
			io_clear_output(DOUT8);
			break;
#endif</v>
      </c>
    </row>
    <row r="58" spans="1:9" ht="14.25" customHeight="1" x14ac:dyDescent="0.25">
      <c r="A58" s="4">
        <v>56</v>
      </c>
      <c r="B58" s="4" t="str">
        <f t="shared" si="0"/>
        <v>DIO56</v>
      </c>
      <c r="C58" s="4" t="s">
        <v>52</v>
      </c>
      <c r="D58" s="4" t="str">
        <f t="shared" si="3"/>
        <v>#ifndef DOUT9
#define DOUT9 UNDEF_PIN
#ifdef DIO56
#undef DIO56
#endif
#define DIO56 UNDEF_PIN
#endif</v>
      </c>
      <c r="E58" s="4" t="str">
        <f t="shared" si="16"/>
        <v>#if DOUT9 &gt;= 0
    case DOUT9:
        return (mcu_get_output(DOUT9) != 0);
#endif</v>
      </c>
      <c r="F58" s="4" t="str">
        <f t="shared" si="2"/>
        <v>| 56 | DIO56 | DOUT9 |</v>
      </c>
      <c r="G58" s="4" t="str">
        <f t="shared" si="17"/>
        <v>#ifndef DOUT9_IO_OFFSET
#define DOUT9_IO_OFFSET -1
#define DIO56_IO_OFFSET -1
#else
#define DIO56_IO_OFFSET DOUT9_IO_OFFSET
#ifdef DOUT9
#undef DOUT9
#endif
#ifdef DIO56
#undef DIO56
#endif
#define DOUT9 56
#define DOUT9 -56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H58" t="str">
        <f t="shared" si="18"/>
        <v>#if ASSERT_PIN(DOUT9)
		case DOUT9:
			io_set_output(DOUT9);
			break;
#endif</v>
      </c>
      <c r="I58" t="str">
        <f t="shared" si="19"/>
        <v>#if ASSERT_PIN(DOUT9)
		case DOUT9:
			io_clear_output(DOUT9);
			break;
#endif</v>
      </c>
    </row>
    <row r="59" spans="1:9" ht="14.25" customHeight="1" x14ac:dyDescent="0.25">
      <c r="A59" s="4">
        <v>57</v>
      </c>
      <c r="B59" s="4" t="str">
        <f t="shared" si="0"/>
        <v>DIO57</v>
      </c>
      <c r="C59" s="4" t="s">
        <v>53</v>
      </c>
      <c r="D59" s="4" t="str">
        <f t="shared" si="3"/>
        <v>#ifndef DOUT10
#define DOUT10 UNDEF_PIN
#ifdef DIO57
#undef DIO57
#endif
#define DIO57 UNDEF_PIN
#endif</v>
      </c>
      <c r="E59" s="4" t="str">
        <f>"#if ASSERT_PIN("&amp;C59&amp;")
    case "&amp;C59&amp;":
        return (io_get_output("&amp;C59&amp;") != 0);
#endif"</f>
        <v>#if ASSERT_PIN(DOUT10)
    case DOUT10:
        return (io_get_output(DOUT10) != 0);
#endif</v>
      </c>
      <c r="F59" s="4" t="str">
        <f t="shared" si="2"/>
        <v>| 57 | DIO57 | DOUT10 |</v>
      </c>
      <c r="G59" s="4" t="str">
        <f t="shared" si="17"/>
        <v>#ifndef DOUT10_IO_OFFSET
#define DOUT10_IO_OFFSET -1
#define DIO57_IO_OFFSET -1
#else
#define DIO57_IO_OFFSET DOUT10_IO_OFFSET
#ifdef DOUT10
#undef DOUT10
#endif
#ifdef DIO57
#undef DIO57
#endif
#define DOUT10 57
#define DOUT10 -57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H59" t="str">
        <f t="shared" si="18"/>
        <v>#if ASSERT_PIN(DOUT10)
		case DOUT10:
			io_set_output(DOUT10);
			break;
#endif</v>
      </c>
      <c r="I59" t="str">
        <f t="shared" si="19"/>
        <v>#if ASSERT_PIN(DOUT10)
		case DOUT10:
			io_clear_output(DOUT10);
			break;
#endif</v>
      </c>
    </row>
    <row r="60" spans="1:9" ht="14.25" customHeight="1" x14ac:dyDescent="0.25">
      <c r="A60" s="4">
        <v>58</v>
      </c>
      <c r="B60" s="4" t="str">
        <f t="shared" si="0"/>
        <v>DIO58</v>
      </c>
      <c r="C60" s="4" t="s">
        <v>54</v>
      </c>
      <c r="D60" s="4" t="str">
        <f t="shared" si="3"/>
        <v>#ifndef DOUT11
#define DOUT11 UNDEF_PIN
#ifdef DIO58
#undef DIO58
#endif
#define DIO58 UNDEF_PIN
#endif</v>
      </c>
      <c r="E60" s="4" t="str">
        <f t="shared" ref="E60:E98" si="20">"#if ASSERT_PIN("&amp;C60&amp;")
    case "&amp;C60&amp;":
        return (io_get_output("&amp;C60&amp;") != 0);
#endif"</f>
        <v>#if ASSERT_PIN(DOUT11)
    case DOUT11:
        return (io_get_output(DOUT11) != 0);
#endif</v>
      </c>
      <c r="F60" s="4" t="str">
        <f t="shared" si="2"/>
        <v>| 58 | DIO58 | DOUT11 |</v>
      </c>
      <c r="G60" s="4" t="str">
        <f t="shared" si="17"/>
        <v>#ifndef DOUT11_IO_OFFSET
#define DOUT11_IO_OFFSET -1
#define DIO58_IO_OFFSET -1
#else
#define DIO58_IO_OFFSET DOUT11_IO_OFFSET
#ifdef DOUT11
#undef DOUT11
#endif
#ifdef DIO58
#undef DIO58
#endif
#define DOUT11 58
#define DOUT11 -58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H60" t="str">
        <f t="shared" si="18"/>
        <v>#if ASSERT_PIN(DOUT11)
		case DOUT11:
			io_set_output(DOUT11);
			break;
#endif</v>
      </c>
      <c r="I60" t="str">
        <f t="shared" si="19"/>
        <v>#if ASSERT_PIN(DOUT11)
		case DOUT11:
			io_clear_output(DOUT11);
			break;
#endif</v>
      </c>
    </row>
    <row r="61" spans="1:9" ht="14.25" customHeight="1" x14ac:dyDescent="0.25">
      <c r="A61" s="4">
        <v>59</v>
      </c>
      <c r="B61" s="4" t="str">
        <f t="shared" si="0"/>
        <v>DIO59</v>
      </c>
      <c r="C61" s="4" t="s">
        <v>55</v>
      </c>
      <c r="D61" s="4" t="str">
        <f t="shared" si="3"/>
        <v>#ifndef DOUT12
#define DOUT12 UNDEF_PIN
#ifdef DIO59
#undef DIO59
#endif
#define DIO59 UNDEF_PIN
#endif</v>
      </c>
      <c r="E61" s="4" t="str">
        <f t="shared" si="20"/>
        <v>#if ASSERT_PIN(DOUT12)
    case DOUT12:
        return (io_get_output(DOUT12) != 0);
#endif</v>
      </c>
      <c r="F61" s="4" t="str">
        <f t="shared" si="2"/>
        <v>| 59 | DIO59 | DOUT12 |</v>
      </c>
      <c r="G61" s="4" t="str">
        <f t="shared" si="17"/>
        <v>#ifndef DOUT12_IO_OFFSET
#define DOUT12_IO_OFFSET -1
#define DIO59_IO_OFFSET -1
#else
#define DIO59_IO_OFFSET DOUT12_IO_OFFSET
#ifdef DOUT12
#undef DOUT12
#endif
#ifdef DIO59
#undef DIO59
#endif
#define DOUT12 59
#define DOUT12 -59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H61" t="str">
        <f t="shared" si="18"/>
        <v>#if ASSERT_PIN(DOUT12)
		case DOUT12:
			io_set_output(DOUT12);
			break;
#endif</v>
      </c>
      <c r="I61" t="str">
        <f t="shared" si="19"/>
        <v>#if ASSERT_PIN(DOUT12)
		case DOUT12:
			io_clear_output(DOUT12);
			break;
#endif</v>
      </c>
    </row>
    <row r="62" spans="1:9" ht="14.25" customHeight="1" x14ac:dyDescent="0.25">
      <c r="A62" s="4">
        <v>60</v>
      </c>
      <c r="B62" s="4" t="str">
        <f t="shared" si="0"/>
        <v>DIO60</v>
      </c>
      <c r="C62" s="4" t="s">
        <v>56</v>
      </c>
      <c r="D62" s="4" t="str">
        <f t="shared" si="3"/>
        <v>#ifndef DOUT13
#define DOUT13 UNDEF_PIN
#ifdef DIO60
#undef DIO60
#endif
#define DIO60 UNDEF_PIN
#endif</v>
      </c>
      <c r="E62" s="4" t="str">
        <f t="shared" si="20"/>
        <v>#if ASSERT_PIN(DOUT13)
    case DOUT13:
        return (io_get_output(DOUT13) != 0);
#endif</v>
      </c>
      <c r="F62" s="4" t="str">
        <f t="shared" si="2"/>
        <v>| 60 | DIO60 | DOUT13 |</v>
      </c>
      <c r="G62" s="4" t="str">
        <f t="shared" si="17"/>
        <v>#ifndef DOUT13_IO_OFFSET
#define DOUT13_IO_OFFSET -1
#define DIO60_IO_OFFSET -1
#else
#define DIO60_IO_OFFSET DOUT13_IO_OFFSET
#ifdef DOUT13
#undef DOUT13
#endif
#ifdef DIO60
#undef DIO60
#endif
#define DOUT13 60
#define DOUT13 -60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H62" t="str">
        <f t="shared" si="18"/>
        <v>#if ASSERT_PIN(DOUT13)
		case DOUT13:
			io_set_output(DOUT13);
			break;
#endif</v>
      </c>
      <c r="I62" t="str">
        <f t="shared" si="19"/>
        <v>#if ASSERT_PIN(DOUT13)
		case DOUT13:
			io_clear_output(DOUT13);
			break;
#endif</v>
      </c>
    </row>
    <row r="63" spans="1:9" ht="14.25" customHeight="1" x14ac:dyDescent="0.25">
      <c r="A63" s="4">
        <v>61</v>
      </c>
      <c r="B63" s="4" t="str">
        <f t="shared" si="0"/>
        <v>DIO61</v>
      </c>
      <c r="C63" s="4" t="s">
        <v>57</v>
      </c>
      <c r="D63" s="4" t="str">
        <f t="shared" si="3"/>
        <v>#ifndef DOUT14
#define DOUT14 UNDEF_PIN
#ifdef DIO61
#undef DIO61
#endif
#define DIO61 UNDEF_PIN
#endif</v>
      </c>
      <c r="E63" s="4" t="str">
        <f t="shared" si="20"/>
        <v>#if ASSERT_PIN(DOUT14)
    case DOUT14:
        return (io_get_output(DOUT14) != 0);
#endif</v>
      </c>
      <c r="F63" s="4" t="str">
        <f t="shared" si="2"/>
        <v>| 61 | DIO61 | DOUT14 |</v>
      </c>
      <c r="G63" s="4" t="str">
        <f t="shared" si="17"/>
        <v>#ifndef DOUT14_IO_OFFSET
#define DOUT14_IO_OFFSET -1
#define DIO61_IO_OFFSET -1
#else
#define DIO61_IO_OFFSET DOUT14_IO_OFFSET
#ifdef DOUT14
#undef DOUT14
#endif
#ifdef DIO61
#undef DIO61
#endif
#define DOUT14 61
#define DOUT14 -61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H63" t="str">
        <f t="shared" si="18"/>
        <v>#if ASSERT_PIN(DOUT14)
		case DOUT14:
			io_set_output(DOUT14);
			break;
#endif</v>
      </c>
      <c r="I63" t="str">
        <f t="shared" si="19"/>
        <v>#if ASSERT_PIN(DOUT14)
		case DOUT14:
			io_clear_output(DOUT14);
			break;
#endif</v>
      </c>
    </row>
    <row r="64" spans="1:9" ht="14.25" customHeight="1" x14ac:dyDescent="0.25">
      <c r="A64" s="4">
        <v>62</v>
      </c>
      <c r="B64" s="4" t="str">
        <f t="shared" si="0"/>
        <v>DIO62</v>
      </c>
      <c r="C64" s="4" t="s">
        <v>58</v>
      </c>
      <c r="D64" s="4" t="str">
        <f t="shared" si="3"/>
        <v>#ifndef DOUT15
#define DOUT15 UNDEF_PIN
#ifdef DIO62
#undef DIO62
#endif
#define DIO62 UNDEF_PIN
#endif</v>
      </c>
      <c r="E64" s="4" t="str">
        <f t="shared" si="20"/>
        <v>#if ASSERT_PIN(DOUT15)
    case DOUT15:
        return (io_get_output(DOUT15) != 0);
#endif</v>
      </c>
      <c r="F64" s="4" t="str">
        <f t="shared" si="2"/>
        <v>| 62 | DIO62 | DOUT15 |</v>
      </c>
      <c r="G64" s="4" t="str">
        <f t="shared" si="17"/>
        <v>#ifndef DOUT15_IO_OFFSET
#define DOUT15_IO_OFFSET -1
#define DIO62_IO_OFFSET -1
#else
#define DIO62_IO_OFFSET DOUT15_IO_OFFSET
#ifdef DOUT15
#undef DOUT15
#endif
#ifdef DIO62
#undef DIO62
#endif
#define DOUT15 62
#define DOUT15 -62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H64" t="str">
        <f t="shared" si="18"/>
        <v>#if ASSERT_PIN(DOUT15)
		case DOUT15:
			io_set_output(DOUT15);
			break;
#endif</v>
      </c>
      <c r="I64" t="str">
        <f t="shared" si="19"/>
        <v>#if ASSERT_PIN(DOUT15)
		case DOUT15:
			io_clear_output(DOUT15);
			break;
#endif</v>
      </c>
    </row>
    <row r="65" spans="1:9" ht="14.25" customHeight="1" x14ac:dyDescent="0.25">
      <c r="A65" s="4">
        <v>63</v>
      </c>
      <c r="B65" s="4" t="str">
        <f t="shared" si="0"/>
        <v>DIO63</v>
      </c>
      <c r="C65" s="4" t="s">
        <v>191</v>
      </c>
      <c r="D65" s="4" t="str">
        <f t="shared" si="3"/>
        <v>#ifndef DOUT16
#define DOUT16 UNDEF_PIN
#ifdef DIO63
#undef DIO63
#endif
#define DIO63 UNDEF_PIN
#endif</v>
      </c>
      <c r="E65" s="4" t="str">
        <f t="shared" si="20"/>
        <v>#if ASSERT_PIN(DOUT16)
    case DOUT16:
        return (io_get_output(DOUT16) != 0);
#endif</v>
      </c>
      <c r="F65" s="4" t="str">
        <f t="shared" si="2"/>
        <v>| 63 | DIO63 | DOUT16 |</v>
      </c>
      <c r="G65" s="4" t="str">
        <f t="shared" si="17"/>
        <v>#ifndef DOUT16_IO_OFFSET
#define DOUT16_IO_OFFSET -1
#define DIO63_IO_OFFSET -1
#else
#define DIO63_IO_OFFSET DOUT16_IO_OFFSET
#ifdef DOUT16
#undef DOUT16
#endif
#ifdef DIO63
#undef DIO63
#endif
#define DOUT16 63
#define DOUT16 -63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H65" t="str">
        <f t="shared" si="18"/>
        <v>#if ASSERT_PIN(DOUT16)
		case DOUT16:
			io_set_output(DOUT16);
			break;
#endif</v>
      </c>
      <c r="I65" t="str">
        <f t="shared" si="19"/>
        <v>#if ASSERT_PIN(DOUT16)
		case DOUT16:
			io_clear_output(DOUT16);
			break;
#endif</v>
      </c>
    </row>
    <row r="66" spans="1:9" ht="14.25" customHeight="1" x14ac:dyDescent="0.25">
      <c r="A66" s="4">
        <v>64</v>
      </c>
      <c r="B66" s="4" t="str">
        <f t="shared" si="0"/>
        <v>DIO64</v>
      </c>
      <c r="C66" s="4" t="s">
        <v>192</v>
      </c>
      <c r="D66" s="4" t="str">
        <f t="shared" si="3"/>
        <v>#ifndef DOUT17
#define DOUT17 UNDEF_PIN
#ifdef DIO64
#undef DIO64
#endif
#define DIO64 UNDEF_PIN
#endif</v>
      </c>
      <c r="E66" s="4" t="str">
        <f t="shared" si="20"/>
        <v>#if ASSERT_PIN(DOUT17)
    case DOUT17:
        return (io_get_output(DOUT17) != 0);
#endif</v>
      </c>
      <c r="F66" s="4" t="str">
        <f t="shared" si="2"/>
        <v>| 64 | DIO64 | DOUT17 |</v>
      </c>
      <c r="G66" s="4" t="str">
        <f t="shared" si="17"/>
        <v>#ifndef DOUT17_IO_OFFSET
#define DOUT17_IO_OFFSET -1
#define DIO64_IO_OFFSET -1
#else
#define DIO64_IO_OFFSET DOUT17_IO_OFFSET
#ifdef DOUT17
#undef DOUT17
#endif
#ifdef DIO64
#undef DIO64
#endif
#define DOUT17 64
#define DOUT17 -64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H66" t="str">
        <f t="shared" si="18"/>
        <v>#if ASSERT_PIN(DOUT17)
		case DOUT17:
			io_set_output(DOUT17);
			break;
#endif</v>
      </c>
      <c r="I66" t="str">
        <f t="shared" si="19"/>
        <v>#if ASSERT_PIN(DOUT17)
		case DOUT17:
			io_clear_output(DOUT17);
			break;
#endif</v>
      </c>
    </row>
    <row r="67" spans="1:9" ht="14.25" customHeight="1" x14ac:dyDescent="0.25">
      <c r="A67" s="4">
        <v>65</v>
      </c>
      <c r="B67" s="4" t="str">
        <f t="shared" si="0"/>
        <v>DIO65</v>
      </c>
      <c r="C67" s="4" t="s">
        <v>193</v>
      </c>
      <c r="D67" s="4" t="str">
        <f t="shared" si="3"/>
        <v>#ifndef DOUT18
#define DOUT18 UNDEF_PIN
#ifdef DIO65
#undef DIO65
#endif
#define DIO65 UNDEF_PIN
#endif</v>
      </c>
      <c r="E67" s="4" t="str">
        <f t="shared" si="20"/>
        <v>#if ASSERT_PIN(DOUT18)
    case DOUT18:
        return (io_get_output(DOUT18) != 0);
#endif</v>
      </c>
      <c r="F67" s="4" t="str">
        <f t="shared" si="2"/>
        <v>| 65 | DIO65 | DOUT18 |</v>
      </c>
      <c r="G67" s="4" t="str">
        <f t="shared" si="17"/>
        <v>#ifndef DOUT18_IO_OFFSET
#define DOUT18_IO_OFFSET -1
#define DIO65_IO_OFFSET -1
#else
#define DIO65_IO_OFFSET DOUT18_IO_OFFSET
#ifdef DOUT18
#undef DOUT18
#endif
#ifdef DIO65
#undef DIO65
#endif
#define DOUT18 65
#define DOUT18 -65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H67" t="str">
        <f t="shared" si="18"/>
        <v>#if ASSERT_PIN(DOUT18)
		case DOUT18:
			io_set_output(DOUT18);
			break;
#endif</v>
      </c>
      <c r="I67" t="str">
        <f t="shared" si="19"/>
        <v>#if ASSERT_PIN(DOUT18)
		case DOUT18:
			io_clear_output(DOUT18);
			break;
#endif</v>
      </c>
    </row>
    <row r="68" spans="1:9" ht="14.25" customHeight="1" x14ac:dyDescent="0.25">
      <c r="A68" s="4">
        <v>66</v>
      </c>
      <c r="B68" s="4" t="str">
        <f t="shared" si="0"/>
        <v>DIO66</v>
      </c>
      <c r="C68" s="4" t="s">
        <v>194</v>
      </c>
      <c r="D68" s="4" t="str">
        <f t="shared" ref="D68:D149" si="21">"#ifndef "&amp;C68&amp;"
#define "&amp;C68&amp;" UNDEF_PIN
#ifdef "&amp;B68&amp;"
#undef "&amp;B68&amp;"
#endif
#define "&amp;B68&amp;" UNDEF_PIN
#endif"</f>
        <v>#ifndef DOUT19
#define DOUT19 UNDEF_PIN
#ifdef DIO66
#undef DIO66
#endif
#define DIO66 UNDEF_PIN
#endif</v>
      </c>
      <c r="E68" s="4" t="str">
        <f t="shared" si="20"/>
        <v>#if ASSERT_PIN(DOUT19)
    case DOUT19:
        return (io_get_output(DOUT19) != 0);
#endif</v>
      </c>
      <c r="F68" s="4" t="str">
        <f t="shared" si="2"/>
        <v>| 66 | DIO66 | DOUT19 |</v>
      </c>
      <c r="G68" s="4" t="str">
        <f t="shared" ref="G68:G80" si="22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"&amp;C68&amp;"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IC74HC595_HAS_DOUTS
#define IC74HC595_HAS_DOUTS
#endif
#endif"</f>
        <v>#ifndef DOUT19_IO_OFFSET
#define DOUT19_IO_OFFSET -1
#define DIO66_IO_OFFSET -1
#else
#define DIO66_IO_OFFSET DOUT19_IO_OFFSET
#ifdef DOUT19
#undef DOUT19
#endif
#ifdef DIO66
#undef DIO66
#endif
#define DOUT19 66
#define DOUT19 -66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H68" t="str">
        <f t="shared" si="18"/>
        <v>#if ASSERT_PIN(DOUT19)
		case DOUT19:
			io_set_output(DOUT19);
			break;
#endif</v>
      </c>
      <c r="I68" t="str">
        <f t="shared" si="19"/>
        <v>#if ASSERT_PIN(DOUT19)
		case DOUT19:
			io_clear_output(DOUT19);
			break;
#endif</v>
      </c>
    </row>
    <row r="69" spans="1:9" ht="14.25" customHeight="1" x14ac:dyDescent="0.25">
      <c r="A69" s="4">
        <v>67</v>
      </c>
      <c r="B69" s="4" t="str">
        <f t="shared" si="0"/>
        <v>DIO67</v>
      </c>
      <c r="C69" s="4" t="s">
        <v>195</v>
      </c>
      <c r="D69" s="4" t="str">
        <f t="shared" si="21"/>
        <v>#ifndef DOUT20
#define DOUT20 UNDEF_PIN
#ifdef DIO67
#undef DIO67
#endif
#define DIO67 UNDEF_PIN
#endif</v>
      </c>
      <c r="E69" s="4" t="str">
        <f t="shared" si="20"/>
        <v>#if ASSERT_PIN(DOUT20)
    case DOUT20:
        return (io_get_output(DOUT20) != 0);
#endif</v>
      </c>
      <c r="F69" s="4" t="str">
        <f t="shared" si="2"/>
        <v>| 67 | DIO67 | DOUT20 |</v>
      </c>
      <c r="G69" s="4" t="str">
        <f t="shared" si="22"/>
        <v>#ifndef DOUT20_IO_OFFSET
#define DOUT20_IO_OFFSET -1
#define DIO67_IO_OFFSET -1
#else
#define DIO67_IO_OFFSET DOUT20_IO_OFFSET
#ifdef DOUT20
#undef DOUT20
#endif
#ifdef DIO67
#undef DIO67
#endif
#define DOUT20 67
#define DOUT20 -67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H69" t="str">
        <f t="shared" si="18"/>
        <v>#if ASSERT_PIN(DOUT20)
		case DOUT20:
			io_set_output(DOUT20);
			break;
#endif</v>
      </c>
      <c r="I69" t="str">
        <f t="shared" si="19"/>
        <v>#if ASSERT_PIN(DOUT20)
		case DOUT20:
			io_clear_output(DOUT20);
			break;
#endif</v>
      </c>
    </row>
    <row r="70" spans="1:9" ht="14.25" customHeight="1" x14ac:dyDescent="0.25">
      <c r="A70" s="4">
        <v>68</v>
      </c>
      <c r="B70" s="4" t="str">
        <f t="shared" si="0"/>
        <v>DIO68</v>
      </c>
      <c r="C70" s="4" t="s">
        <v>196</v>
      </c>
      <c r="D70" s="4" t="str">
        <f t="shared" si="21"/>
        <v>#ifndef DOUT21
#define DOUT21 UNDEF_PIN
#ifdef DIO68
#undef DIO68
#endif
#define DIO68 UNDEF_PIN
#endif</v>
      </c>
      <c r="E70" s="4" t="str">
        <f t="shared" si="20"/>
        <v>#if ASSERT_PIN(DOUT21)
    case DOUT21:
        return (io_get_output(DOUT21) != 0);
#endif</v>
      </c>
      <c r="F70" s="4" t="str">
        <f t="shared" si="2"/>
        <v>| 68 | DIO68 | DOUT21 |</v>
      </c>
      <c r="G70" s="4" t="str">
        <f t="shared" si="22"/>
        <v>#ifndef DOUT21_IO_OFFSET
#define DOUT21_IO_OFFSET -1
#define DIO68_IO_OFFSET -1
#else
#define DIO68_IO_OFFSET DOUT21_IO_OFFSET
#ifdef DOUT21
#undef DOUT21
#endif
#ifdef DIO68
#undef DIO68
#endif
#define DOUT21 68
#define DOUT21 -68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H70" t="str">
        <f t="shared" si="18"/>
        <v>#if ASSERT_PIN(DOUT21)
		case DOUT21:
			io_set_output(DOUT21);
			break;
#endif</v>
      </c>
      <c r="I70" t="str">
        <f t="shared" si="19"/>
        <v>#if ASSERT_PIN(DOUT21)
		case DOUT21:
			io_clear_output(DOUT21);
			break;
#endif</v>
      </c>
    </row>
    <row r="71" spans="1:9" ht="14.25" customHeight="1" x14ac:dyDescent="0.25">
      <c r="A71" s="4">
        <v>69</v>
      </c>
      <c r="B71" s="4" t="str">
        <f t="shared" si="0"/>
        <v>DIO69</v>
      </c>
      <c r="C71" s="4" t="s">
        <v>197</v>
      </c>
      <c r="D71" s="4" t="str">
        <f t="shared" si="21"/>
        <v>#ifndef DOUT22
#define DOUT22 UNDEF_PIN
#ifdef DIO69
#undef DIO69
#endif
#define DIO69 UNDEF_PIN
#endif</v>
      </c>
      <c r="E71" s="4" t="str">
        <f t="shared" si="20"/>
        <v>#if ASSERT_PIN(DOUT22)
    case DOUT22:
        return (io_get_output(DOUT22) != 0);
#endif</v>
      </c>
      <c r="F71" s="4" t="str">
        <f t="shared" si="2"/>
        <v>| 69 | DIO69 | DOUT22 |</v>
      </c>
      <c r="G71" s="4" t="str">
        <f t="shared" si="22"/>
        <v>#ifndef DOUT22_IO_OFFSET
#define DOUT22_IO_OFFSET -1
#define DIO69_IO_OFFSET -1
#else
#define DIO69_IO_OFFSET DOUT22_IO_OFFSET
#ifdef DOUT22
#undef DOUT22
#endif
#ifdef DIO69
#undef DIO69
#endif
#define DOUT22 69
#define DOUT22 -69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H71" t="str">
        <f t="shared" si="18"/>
        <v>#if ASSERT_PIN(DOUT22)
		case DOUT22:
			io_set_output(DOUT22);
			break;
#endif</v>
      </c>
      <c r="I71" t="str">
        <f t="shared" si="19"/>
        <v>#if ASSERT_PIN(DOUT22)
		case DOUT22:
			io_clear_output(DOUT22);
			break;
#endif</v>
      </c>
    </row>
    <row r="72" spans="1:9" ht="14.25" customHeight="1" x14ac:dyDescent="0.25">
      <c r="A72" s="4">
        <v>70</v>
      </c>
      <c r="B72" s="4" t="str">
        <f t="shared" si="0"/>
        <v>DIO70</v>
      </c>
      <c r="C72" s="4" t="s">
        <v>198</v>
      </c>
      <c r="D72" s="4" t="str">
        <f t="shared" si="21"/>
        <v>#ifndef DOUT23
#define DOUT23 UNDEF_PIN
#ifdef DIO70
#undef DIO70
#endif
#define DIO70 UNDEF_PIN
#endif</v>
      </c>
      <c r="E72" s="4" t="str">
        <f t="shared" si="20"/>
        <v>#if ASSERT_PIN(DOUT23)
    case DOUT23:
        return (io_get_output(DOUT23) != 0);
#endif</v>
      </c>
      <c r="F72" s="4" t="str">
        <f t="shared" si="2"/>
        <v>| 70 | DIO70 | DOUT23 |</v>
      </c>
      <c r="G72" s="4" t="str">
        <f t="shared" si="22"/>
        <v>#ifndef DOUT23_IO_OFFSET
#define DOUT23_IO_OFFSET -1
#define DIO70_IO_OFFSET -1
#else
#define DIO70_IO_OFFSET DOUT23_IO_OFFSET
#ifdef DOUT23
#undef DOUT23
#endif
#ifdef DIO70
#undef DIO70
#endif
#define DOUT23 70
#define DOUT23 -70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H72" t="str">
        <f t="shared" si="18"/>
        <v>#if ASSERT_PIN(DOUT23)
		case DOUT23:
			io_set_output(DOUT23);
			break;
#endif</v>
      </c>
      <c r="I72" t="str">
        <f t="shared" si="19"/>
        <v>#if ASSERT_PIN(DOUT23)
		case DOUT23:
			io_clear_output(DOUT23);
			break;
#endif</v>
      </c>
    </row>
    <row r="73" spans="1:9" ht="14.25" customHeight="1" x14ac:dyDescent="0.25">
      <c r="A73" s="4">
        <v>71</v>
      </c>
      <c r="B73" s="4" t="str">
        <f t="shared" si="0"/>
        <v>DIO71</v>
      </c>
      <c r="C73" s="4" t="s">
        <v>199</v>
      </c>
      <c r="D73" s="4" t="str">
        <f t="shared" si="21"/>
        <v>#ifndef DOUT24
#define DOUT24 UNDEF_PIN
#ifdef DIO71
#undef DIO71
#endif
#define DIO71 UNDEF_PIN
#endif</v>
      </c>
      <c r="E73" s="4" t="str">
        <f t="shared" si="20"/>
        <v>#if ASSERT_PIN(DOUT24)
    case DOUT24:
        return (io_get_output(DOUT24) != 0);
#endif</v>
      </c>
      <c r="F73" s="4" t="str">
        <f t="shared" si="2"/>
        <v>| 71 | DIO71 | DOUT24 |</v>
      </c>
      <c r="G73" s="4" t="str">
        <f t="shared" si="22"/>
        <v>#ifndef DOUT24_IO_OFFSET
#define DOUT24_IO_OFFSET -1
#define DIO71_IO_OFFSET -1
#else
#define DIO71_IO_OFFSET DOUT24_IO_OFFSET
#ifdef DOUT24
#undef DOUT24
#endif
#ifdef DIO71
#undef DIO71
#endif
#define DOUT24 71
#define DOUT24 -71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H73" t="str">
        <f t="shared" si="18"/>
        <v>#if ASSERT_PIN(DOUT24)
		case DOUT24:
			io_set_output(DOUT24);
			break;
#endif</v>
      </c>
      <c r="I73" t="str">
        <f t="shared" si="19"/>
        <v>#if ASSERT_PIN(DOUT24)
		case DOUT24:
			io_clear_output(DOUT24);
			break;
#endif</v>
      </c>
    </row>
    <row r="74" spans="1:9" ht="14.25" customHeight="1" x14ac:dyDescent="0.25">
      <c r="A74" s="4">
        <v>72</v>
      </c>
      <c r="B74" s="4" t="str">
        <f t="shared" si="0"/>
        <v>DIO72</v>
      </c>
      <c r="C74" s="4" t="s">
        <v>200</v>
      </c>
      <c r="D74" s="4" t="str">
        <f t="shared" si="21"/>
        <v>#ifndef DOUT25
#define DOUT25 UNDEF_PIN
#ifdef DIO72
#undef DIO72
#endif
#define DIO72 UNDEF_PIN
#endif</v>
      </c>
      <c r="E74" s="4" t="str">
        <f t="shared" si="20"/>
        <v>#if ASSERT_PIN(DOUT25)
    case DOUT25:
        return (io_get_output(DOUT25) != 0);
#endif</v>
      </c>
      <c r="F74" s="4" t="str">
        <f t="shared" si="2"/>
        <v>| 72 | DIO72 | DOUT25 |</v>
      </c>
      <c r="G74" s="4" t="str">
        <f t="shared" si="22"/>
        <v>#ifndef DOUT25_IO_OFFSET
#define DOUT25_IO_OFFSET -1
#define DIO72_IO_OFFSET -1
#else
#define DIO72_IO_OFFSET DOUT25_IO_OFFSET
#ifdef DOUT25
#undef DOUT25
#endif
#ifdef DIO72
#undef DIO72
#endif
#define DOUT25 72
#define DOUT25 -72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H74" t="str">
        <f t="shared" si="18"/>
        <v>#if ASSERT_PIN(DOUT25)
		case DOUT25:
			io_set_output(DOUT25);
			break;
#endif</v>
      </c>
      <c r="I74" t="str">
        <f t="shared" si="19"/>
        <v>#if ASSERT_PIN(DOUT25)
		case DOUT25:
			io_clear_output(DOUT25);
			break;
#endif</v>
      </c>
    </row>
    <row r="75" spans="1:9" ht="14.25" customHeight="1" x14ac:dyDescent="0.25">
      <c r="A75" s="4">
        <v>73</v>
      </c>
      <c r="B75" s="4" t="str">
        <f t="shared" si="0"/>
        <v>DIO73</v>
      </c>
      <c r="C75" s="4" t="s">
        <v>201</v>
      </c>
      <c r="D75" s="4" t="str">
        <f t="shared" si="21"/>
        <v>#ifndef DOUT26
#define DOUT26 UNDEF_PIN
#ifdef DIO73
#undef DIO73
#endif
#define DIO73 UNDEF_PIN
#endif</v>
      </c>
      <c r="E75" s="4" t="str">
        <f t="shared" si="20"/>
        <v>#if ASSERT_PIN(DOUT26)
    case DOUT26:
        return (io_get_output(DOUT26) != 0);
#endif</v>
      </c>
      <c r="F75" s="4" t="str">
        <f t="shared" si="2"/>
        <v>| 73 | DIO73 | DOUT26 |</v>
      </c>
      <c r="G75" s="4" t="str">
        <f t="shared" si="22"/>
        <v>#ifndef DOUT26_IO_OFFSET
#define DOUT26_IO_OFFSET -1
#define DIO73_IO_OFFSET -1
#else
#define DIO73_IO_OFFSET DOUT26_IO_OFFSET
#ifdef DOUT26
#undef DOUT26
#endif
#ifdef DIO73
#undef DIO73
#endif
#define DOUT26 73
#define DOUT26 -73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H75" t="str">
        <f t="shared" si="18"/>
        <v>#if ASSERT_PIN(DOUT26)
		case DOUT26:
			io_set_output(DOUT26);
			break;
#endif</v>
      </c>
      <c r="I75" t="str">
        <f t="shared" si="19"/>
        <v>#if ASSERT_PIN(DOUT26)
		case DOUT26:
			io_clear_output(DOUT26);
			break;
#endif</v>
      </c>
    </row>
    <row r="76" spans="1:9" ht="14.25" customHeight="1" x14ac:dyDescent="0.25">
      <c r="A76" s="4">
        <v>74</v>
      </c>
      <c r="B76" s="4" t="str">
        <f t="shared" si="0"/>
        <v>DIO74</v>
      </c>
      <c r="C76" s="4" t="s">
        <v>202</v>
      </c>
      <c r="D76" s="4" t="str">
        <f t="shared" si="21"/>
        <v>#ifndef DOUT27
#define DOUT27 UNDEF_PIN
#ifdef DIO74
#undef DIO74
#endif
#define DIO74 UNDEF_PIN
#endif</v>
      </c>
      <c r="E76" s="4" t="str">
        <f t="shared" si="20"/>
        <v>#if ASSERT_PIN(DOUT27)
    case DOUT27:
        return (io_get_output(DOUT27) != 0);
#endif</v>
      </c>
      <c r="F76" s="4" t="str">
        <f t="shared" si="2"/>
        <v>| 74 | DIO74 | DOUT27 |</v>
      </c>
      <c r="G76" s="4" t="str">
        <f t="shared" si="22"/>
        <v>#ifndef DOUT27_IO_OFFSET
#define DOUT27_IO_OFFSET -1
#define DIO74_IO_OFFSET -1
#else
#define DIO74_IO_OFFSET DOUT27_IO_OFFSET
#ifdef DOUT27
#undef DOUT27
#endif
#ifdef DIO74
#undef DIO74
#endif
#define DOUT27 74
#define DOUT27 -74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H76" t="str">
        <f t="shared" si="18"/>
        <v>#if ASSERT_PIN(DOUT27)
		case DOUT27:
			io_set_output(DOUT27);
			break;
#endif</v>
      </c>
      <c r="I76" t="str">
        <f t="shared" si="19"/>
        <v>#if ASSERT_PIN(DOUT27)
		case DOUT27:
			io_clear_output(DOUT27);
			break;
#endif</v>
      </c>
    </row>
    <row r="77" spans="1:9" ht="14.25" customHeight="1" x14ac:dyDescent="0.25">
      <c r="A77" s="4">
        <v>75</v>
      </c>
      <c r="B77" s="4" t="str">
        <f t="shared" si="0"/>
        <v>DIO75</v>
      </c>
      <c r="C77" s="4" t="s">
        <v>203</v>
      </c>
      <c r="D77" s="4" t="str">
        <f t="shared" si="21"/>
        <v>#ifndef DOUT28
#define DOUT28 UNDEF_PIN
#ifdef DIO75
#undef DIO75
#endif
#define DIO75 UNDEF_PIN
#endif</v>
      </c>
      <c r="E77" s="4" t="str">
        <f t="shared" si="20"/>
        <v>#if ASSERT_PIN(DOUT28)
    case DOUT28:
        return (io_get_output(DOUT28) != 0);
#endif</v>
      </c>
      <c r="F77" s="4" t="str">
        <f t="shared" si="2"/>
        <v>| 75 | DIO75 | DOUT28 |</v>
      </c>
      <c r="G77" s="4" t="str">
        <f t="shared" si="22"/>
        <v>#ifndef DOUT28_IO_OFFSET
#define DOUT28_IO_OFFSET -1
#define DIO75_IO_OFFSET -1
#else
#define DIO75_IO_OFFSET DOUT28_IO_OFFSET
#ifdef DOUT28
#undef DOUT28
#endif
#ifdef DIO75
#undef DIO75
#endif
#define DOUT28 75
#define DOUT28 -75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H77" t="str">
        <f t="shared" si="18"/>
        <v>#if ASSERT_PIN(DOUT28)
		case DOUT28:
			io_set_output(DOUT28);
			break;
#endif</v>
      </c>
      <c r="I77" t="str">
        <f t="shared" si="19"/>
        <v>#if ASSERT_PIN(DOUT28)
		case DOUT28:
			io_clear_output(DOUT28);
			break;
#endif</v>
      </c>
    </row>
    <row r="78" spans="1:9" ht="14.25" customHeight="1" x14ac:dyDescent="0.25">
      <c r="A78" s="4">
        <v>76</v>
      </c>
      <c r="B78" s="4" t="str">
        <f t="shared" si="0"/>
        <v>DIO76</v>
      </c>
      <c r="C78" s="4" t="s">
        <v>204</v>
      </c>
      <c r="D78" s="4" t="str">
        <f t="shared" si="21"/>
        <v>#ifndef DOUT29
#define DOUT29 UNDEF_PIN
#ifdef DIO76
#undef DIO76
#endif
#define DIO76 UNDEF_PIN
#endif</v>
      </c>
      <c r="E78" s="4" t="str">
        <f t="shared" si="20"/>
        <v>#if ASSERT_PIN(DOUT29)
    case DOUT29:
        return (io_get_output(DOUT29) != 0);
#endif</v>
      </c>
      <c r="F78" s="4" t="str">
        <f t="shared" si="2"/>
        <v>| 76 | DIO76 | DOUT29 |</v>
      </c>
      <c r="G78" s="4" t="str">
        <f t="shared" si="22"/>
        <v>#ifndef DOUT29_IO_OFFSET
#define DOUT29_IO_OFFSET -1
#define DIO76_IO_OFFSET -1
#else
#define DIO76_IO_OFFSET DOUT29_IO_OFFSET
#ifdef DOUT29
#undef DOUT29
#endif
#ifdef DIO76
#undef DIO76
#endif
#define DOUT29 76
#define DOUT29 -76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H78" t="str">
        <f t="shared" si="18"/>
        <v>#if ASSERT_PIN(DOUT29)
		case DOUT29:
			io_set_output(DOUT29);
			break;
#endif</v>
      </c>
      <c r="I78" t="str">
        <f t="shared" si="19"/>
        <v>#if ASSERT_PIN(DOUT29)
		case DOUT29:
			io_clear_output(DOUT29);
			break;
#endif</v>
      </c>
    </row>
    <row r="79" spans="1:9" ht="14.25" customHeight="1" x14ac:dyDescent="0.25">
      <c r="A79" s="4">
        <v>77</v>
      </c>
      <c r="B79" s="4" t="str">
        <f t="shared" si="0"/>
        <v>DIO77</v>
      </c>
      <c r="C79" s="4" t="s">
        <v>205</v>
      </c>
      <c r="D79" s="4" t="str">
        <f t="shared" si="21"/>
        <v>#ifndef DOUT30
#define DOUT30 UNDEF_PIN
#ifdef DIO77
#undef DIO77
#endif
#define DIO77 UNDEF_PIN
#endif</v>
      </c>
      <c r="E79" s="4" t="str">
        <f t="shared" si="20"/>
        <v>#if ASSERT_PIN(DOUT30)
    case DOUT30:
        return (io_get_output(DOUT30) != 0);
#endif</v>
      </c>
      <c r="F79" s="4" t="str">
        <f t="shared" si="2"/>
        <v>| 77 | DIO77 | DOUT30 |</v>
      </c>
      <c r="G79" s="4" t="str">
        <f t="shared" si="22"/>
        <v>#ifndef DOUT30_IO_OFFSET
#define DOUT30_IO_OFFSET -1
#define DIO77_IO_OFFSET -1
#else
#define DIO77_IO_OFFSET DOUT30_IO_OFFSET
#ifdef DOUT30
#undef DOUT30
#endif
#ifdef DIO77
#undef DIO77
#endif
#define DOUT30 77
#define DOUT30 -77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H79" t="str">
        <f t="shared" si="18"/>
        <v>#if ASSERT_PIN(DOUT30)
		case DOUT30:
			io_set_output(DOUT30);
			break;
#endif</v>
      </c>
      <c r="I79" t="str">
        <f t="shared" si="19"/>
        <v>#if ASSERT_PIN(DOUT30)
		case DOUT30:
			io_clear_output(DOUT30);
			break;
#endif</v>
      </c>
    </row>
    <row r="80" spans="1:9" ht="14.25" customHeight="1" x14ac:dyDescent="0.25">
      <c r="A80" s="4">
        <v>78</v>
      </c>
      <c r="B80" s="4" t="str">
        <f t="shared" si="0"/>
        <v>DIO78</v>
      </c>
      <c r="C80" s="4" t="s">
        <v>206</v>
      </c>
      <c r="D80" s="4" t="str">
        <f t="shared" si="21"/>
        <v>#ifndef DOUT31
#define DOUT31 UNDEF_PIN
#ifdef DIO78
#undef DIO78
#endif
#define DIO78 UNDEF_PIN
#endif</v>
      </c>
      <c r="E80" s="4" t="str">
        <f t="shared" si="20"/>
        <v>#if ASSERT_PIN(DOUT31)
    case DOUT31:
        return (io_get_output(DOUT31) != 0);
#endif</v>
      </c>
      <c r="F80" s="4" t="str">
        <f t="shared" si="2"/>
        <v>| 78 | DIO78 | DOUT31 |</v>
      </c>
      <c r="G80" s="4" t="str">
        <f t="shared" si="22"/>
        <v>#ifndef DOUT31_IO_OFFSET
#define DOUT31_IO_OFFSET -1
#define DIO78_IO_OFFSET -1
#else
#define DIO78_IO_OFFSET DOUT31_IO_OFFSET
#ifdef DOUT31
#undef DOUT31
#endif
#ifdef DIO78
#undef DIO78
#endif
#define DOUT31 78
#define DOUT31 -78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H80" t="str">
        <f t="shared" si="18"/>
        <v>#if ASSERT_PIN(DOUT31)
		case DOUT31:
			io_set_output(DOUT31);
			break;
#endif</v>
      </c>
      <c r="I80" t="str">
        <f t="shared" si="19"/>
        <v>#if ASSERT_PIN(DOUT31)
		case DOUT31:
			io_clear_output(DOUT31);
			break;
#endif</v>
      </c>
    </row>
    <row r="81" spans="1:9" ht="14.25" customHeight="1" x14ac:dyDescent="0.25">
      <c r="A81" s="4">
        <v>79</v>
      </c>
      <c r="B81" s="4" t="str">
        <f t="shared" si="0"/>
        <v>DIO79</v>
      </c>
      <c r="C81" s="4" t="s">
        <v>527</v>
      </c>
      <c r="D81" s="4" t="str">
        <f t="shared" ref="D81:D98" si="23">"#ifndef "&amp;C81&amp;"
#define "&amp;C81&amp;" UNDEF_PIN
#ifdef "&amp;B81&amp;"
#undef "&amp;B81&amp;"
#endif
#define "&amp;B81&amp;" UNDEF_PIN
#endif"</f>
        <v>#ifndef DOUT32
#define DOUT32 UNDEF_PIN
#ifdef DIO79
#undef DIO79
#endif
#define DIO79 UNDEF_PIN
#endif</v>
      </c>
      <c r="E81" s="4" t="str">
        <f t="shared" si="20"/>
        <v>#if ASSERT_PIN(DOUT32)
    case DOUT32:
        return (io_get_output(DOUT32) != 0);
#endif</v>
      </c>
      <c r="F81" s="4" t="str">
        <f t="shared" ref="F81:F98" si="24">"| "&amp;A81&amp;" | "&amp;B81&amp;" | "&amp;C81&amp;" |"</f>
        <v>| 79 | DIO79 | DOUT32 |</v>
      </c>
      <c r="G81" s="4" t="str">
        <f t="shared" ref="G81:G98" si="25">"#ifndef "&amp;C81&amp;"_IO_OFFSET
#define "&amp;C81&amp;"_IO_OFFSET -1
#define "&amp;B81&amp;"_IO_OFFSET -1
#else
#define "&amp;B81&amp;"_IO_OFFSET "&amp;C81&amp;"_IO_OFFSET
#ifdef "&amp;C81&amp;"
#undef "&amp;C81&amp;"
#endif
#ifdef "&amp;B81&amp;"
#undef "&amp;B81&amp;"
#endif
#define "&amp;C81&amp;" "&amp;A81&amp;"
#define "&amp;C81&amp;" -"&amp;A81&amp;"
#define "&amp;C81&amp;"_IO_BYTEOFFSET ("&amp;C81&amp;"_IO_OFFSET &gt;&gt; 3)
#define "&amp;C81&amp;"_IO_BITMASK (1 &lt;&lt; ("&amp;C81&amp;"_IO_OFFSET &amp; 0x7))
#define "&amp;B81&amp;"_IO_BYTEOFFSET "&amp;C81&amp;"_IO_BYTEOFFSET
#define "&amp;B81&amp;"_IO_BITMASK "&amp;C81&amp;"_IO_BITMASK
#ifndef IC74HC595_HAS_DOUTS
#define IC74HC595_HAS_DOUTS
#endif
#endif"</f>
        <v>#ifndef DOUT32_IO_OFFSET
#define DOUT32_IO_OFFSET -1
#define DIO79_IO_OFFSET -1
#else
#define DIO79_IO_OFFSET DOUT32_IO_OFFSET
#ifdef DOUT32
#undef DOUT32
#endif
#ifdef DIO79
#undef DIO79
#endif
#define DOUT32 79
#define DOUT32 -79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H81" t="str">
        <f t="shared" si="18"/>
        <v>#if ASSERT_PIN(DOUT32)
		case DOUT32:
			io_set_output(DOUT32);
			break;
#endif</v>
      </c>
      <c r="I81" t="str">
        <f t="shared" si="19"/>
        <v>#if ASSERT_PIN(DOUT32)
		case DOUT32:
			io_clear_output(DOUT32);
			break;
#endif</v>
      </c>
    </row>
    <row r="82" spans="1:9" ht="14.25" customHeight="1" x14ac:dyDescent="0.25">
      <c r="A82" s="4">
        <v>80</v>
      </c>
      <c r="B82" s="4" t="str">
        <f t="shared" si="0"/>
        <v>DIO80</v>
      </c>
      <c r="C82" s="4" t="s">
        <v>528</v>
      </c>
      <c r="D82" s="4" t="str">
        <f t="shared" si="23"/>
        <v>#ifndef DOUT33
#define DOUT33 UNDEF_PIN
#ifdef DIO80
#undef DIO80
#endif
#define DIO80 UNDEF_PIN
#endif</v>
      </c>
      <c r="E82" s="4" t="str">
        <f t="shared" si="20"/>
        <v>#if ASSERT_PIN(DOUT33)
    case DOUT33:
        return (io_get_output(DOUT33) != 0);
#endif</v>
      </c>
      <c r="F82" s="4" t="str">
        <f t="shared" si="24"/>
        <v>| 80 | DIO80 | DOUT33 |</v>
      </c>
      <c r="G82" s="4" t="str">
        <f t="shared" si="25"/>
        <v>#ifndef DOUT33_IO_OFFSET
#define DOUT33_IO_OFFSET -1
#define DIO80_IO_OFFSET -1
#else
#define DIO80_IO_OFFSET DOUT33_IO_OFFSET
#ifdef DOUT33
#undef DOUT33
#endif
#ifdef DIO80
#undef DIO80
#endif
#define DOUT33 80
#define DOUT33 -80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H82" t="str">
        <f t="shared" si="18"/>
        <v>#if ASSERT_PIN(DOUT33)
		case DOUT33:
			io_set_output(DOUT33);
			break;
#endif</v>
      </c>
      <c r="I82" t="str">
        <f t="shared" si="19"/>
        <v>#if ASSERT_PIN(DOUT33)
		case DOUT33:
			io_clear_output(DOUT33);
			break;
#endif</v>
      </c>
    </row>
    <row r="83" spans="1:9" ht="14.25" customHeight="1" x14ac:dyDescent="0.25">
      <c r="A83" s="4">
        <v>81</v>
      </c>
      <c r="B83" s="4" t="str">
        <f t="shared" si="0"/>
        <v>DIO81</v>
      </c>
      <c r="C83" s="4" t="s">
        <v>529</v>
      </c>
      <c r="D83" s="4" t="str">
        <f t="shared" si="23"/>
        <v>#ifndef DOUT34
#define DOUT34 UNDEF_PIN
#ifdef DIO81
#undef DIO81
#endif
#define DIO81 UNDEF_PIN
#endif</v>
      </c>
      <c r="E83" s="4" t="str">
        <f t="shared" si="20"/>
        <v>#if ASSERT_PIN(DOUT34)
    case DOUT34:
        return (io_get_output(DOUT34) != 0);
#endif</v>
      </c>
      <c r="F83" s="4" t="str">
        <f t="shared" si="24"/>
        <v>| 81 | DIO81 | DOUT34 |</v>
      </c>
      <c r="G83" s="4" t="str">
        <f t="shared" si="25"/>
        <v>#ifndef DOUT34_IO_OFFSET
#define DOUT34_IO_OFFSET -1
#define DIO81_IO_OFFSET -1
#else
#define DIO81_IO_OFFSET DOUT34_IO_OFFSET
#ifdef DOUT34
#undef DOUT34
#endif
#ifdef DIO81
#undef DIO81
#endif
#define DOUT34 81
#define DOUT34 -81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H83" t="str">
        <f t="shared" si="18"/>
        <v>#if ASSERT_PIN(DOUT34)
		case DOUT34:
			io_set_output(DOUT34);
			break;
#endif</v>
      </c>
      <c r="I83" t="str">
        <f t="shared" si="19"/>
        <v>#if ASSERT_PIN(DOUT34)
		case DOUT34:
			io_clear_output(DOUT34);
			break;
#endif</v>
      </c>
    </row>
    <row r="84" spans="1:9" ht="14.25" customHeight="1" x14ac:dyDescent="0.25">
      <c r="A84" s="4">
        <v>82</v>
      </c>
      <c r="B84" s="4" t="str">
        <f t="shared" si="0"/>
        <v>DIO82</v>
      </c>
      <c r="C84" s="4" t="s">
        <v>530</v>
      </c>
      <c r="D84" s="4" t="str">
        <f t="shared" si="23"/>
        <v>#ifndef DOUT35
#define DOUT35 UNDEF_PIN
#ifdef DIO82
#undef DIO82
#endif
#define DIO82 UNDEF_PIN
#endif</v>
      </c>
      <c r="E84" s="4" t="str">
        <f t="shared" si="20"/>
        <v>#if ASSERT_PIN(DOUT35)
    case DOUT35:
        return (io_get_output(DOUT35) != 0);
#endif</v>
      </c>
      <c r="F84" s="4" t="str">
        <f t="shared" si="24"/>
        <v>| 82 | DIO82 | DOUT35 |</v>
      </c>
      <c r="G84" s="4" t="str">
        <f t="shared" si="25"/>
        <v>#ifndef DOUT35_IO_OFFSET
#define DOUT35_IO_OFFSET -1
#define DIO82_IO_OFFSET -1
#else
#define DIO82_IO_OFFSET DOUT35_IO_OFFSET
#ifdef DOUT35
#undef DOUT35
#endif
#ifdef DIO82
#undef DIO82
#endif
#define DOUT35 82
#define DOUT35 -82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H84" t="str">
        <f t="shared" si="18"/>
        <v>#if ASSERT_PIN(DOUT35)
		case DOUT35:
			io_set_output(DOUT35);
			break;
#endif</v>
      </c>
      <c r="I84" t="str">
        <f t="shared" si="19"/>
        <v>#if ASSERT_PIN(DOUT35)
		case DOUT35:
			io_clear_output(DOUT35);
			break;
#endif</v>
      </c>
    </row>
    <row r="85" spans="1:9" ht="14.25" customHeight="1" x14ac:dyDescent="0.25">
      <c r="A85" s="4">
        <v>83</v>
      </c>
      <c r="B85" s="4" t="str">
        <f t="shared" si="0"/>
        <v>DIO83</v>
      </c>
      <c r="C85" s="4" t="s">
        <v>531</v>
      </c>
      <c r="D85" s="4" t="str">
        <f t="shared" si="23"/>
        <v>#ifndef DOUT36
#define DOUT36 UNDEF_PIN
#ifdef DIO83
#undef DIO83
#endif
#define DIO83 UNDEF_PIN
#endif</v>
      </c>
      <c r="E85" s="4" t="str">
        <f t="shared" si="20"/>
        <v>#if ASSERT_PIN(DOUT36)
    case DOUT36:
        return (io_get_output(DOUT36) != 0);
#endif</v>
      </c>
      <c r="F85" s="4" t="str">
        <f t="shared" si="24"/>
        <v>| 83 | DIO83 | DOUT36 |</v>
      </c>
      <c r="G85" s="4" t="str">
        <f t="shared" si="25"/>
        <v>#ifndef DOUT36_IO_OFFSET
#define DOUT36_IO_OFFSET -1
#define DIO83_IO_OFFSET -1
#else
#define DIO83_IO_OFFSET DOUT36_IO_OFFSET
#ifdef DOUT36
#undef DOUT36
#endif
#ifdef DIO83
#undef DIO83
#endif
#define DOUT36 83
#define DOUT36 -83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H85" t="str">
        <f t="shared" si="18"/>
        <v>#if ASSERT_PIN(DOUT36)
		case DOUT36:
			io_set_output(DOUT36);
			break;
#endif</v>
      </c>
      <c r="I85" t="str">
        <f t="shared" si="19"/>
        <v>#if ASSERT_PIN(DOUT36)
		case DOUT36:
			io_clear_output(DOUT36);
			break;
#endif</v>
      </c>
    </row>
    <row r="86" spans="1:9" ht="14.25" customHeight="1" x14ac:dyDescent="0.25">
      <c r="A86" s="4">
        <v>84</v>
      </c>
      <c r="B86" s="4" t="str">
        <f t="shared" si="0"/>
        <v>DIO84</v>
      </c>
      <c r="C86" s="4" t="s">
        <v>532</v>
      </c>
      <c r="D86" s="4" t="str">
        <f t="shared" si="23"/>
        <v>#ifndef DOUT37
#define DOUT37 UNDEF_PIN
#ifdef DIO84
#undef DIO84
#endif
#define DIO84 UNDEF_PIN
#endif</v>
      </c>
      <c r="E86" s="4" t="str">
        <f t="shared" si="20"/>
        <v>#if ASSERT_PIN(DOUT37)
    case DOUT37:
        return (io_get_output(DOUT37) != 0);
#endif</v>
      </c>
      <c r="F86" s="4" t="str">
        <f t="shared" si="24"/>
        <v>| 84 | DIO84 | DOUT37 |</v>
      </c>
      <c r="G86" s="4" t="str">
        <f t="shared" si="25"/>
        <v>#ifndef DOUT37_IO_OFFSET
#define DOUT37_IO_OFFSET -1
#define DIO84_IO_OFFSET -1
#else
#define DIO84_IO_OFFSET DOUT37_IO_OFFSET
#ifdef DOUT37
#undef DOUT37
#endif
#ifdef DIO84
#undef DIO84
#endif
#define DOUT37 84
#define DOUT37 -84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H86" t="str">
        <f t="shared" si="18"/>
        <v>#if ASSERT_PIN(DOUT37)
		case DOUT37:
			io_set_output(DOUT37);
			break;
#endif</v>
      </c>
      <c r="I86" t="str">
        <f t="shared" si="19"/>
        <v>#if ASSERT_PIN(DOUT37)
		case DOUT37:
			io_clear_output(DOUT37);
			break;
#endif</v>
      </c>
    </row>
    <row r="87" spans="1:9" ht="14.25" customHeight="1" x14ac:dyDescent="0.25">
      <c r="A87" s="4">
        <v>85</v>
      </c>
      <c r="B87" s="4" t="str">
        <f t="shared" si="0"/>
        <v>DIO85</v>
      </c>
      <c r="C87" s="4" t="s">
        <v>533</v>
      </c>
      <c r="D87" s="4" t="str">
        <f t="shared" si="23"/>
        <v>#ifndef DOUT38
#define DOUT38 UNDEF_PIN
#ifdef DIO85
#undef DIO85
#endif
#define DIO85 UNDEF_PIN
#endif</v>
      </c>
      <c r="E87" s="4" t="str">
        <f t="shared" si="20"/>
        <v>#if ASSERT_PIN(DOUT38)
    case DOUT38:
        return (io_get_output(DOUT38) != 0);
#endif</v>
      </c>
      <c r="F87" s="4" t="str">
        <f t="shared" si="24"/>
        <v>| 85 | DIO85 | DOUT38 |</v>
      </c>
      <c r="G87" s="4" t="str">
        <f t="shared" si="25"/>
        <v>#ifndef DOUT38_IO_OFFSET
#define DOUT38_IO_OFFSET -1
#define DIO85_IO_OFFSET -1
#else
#define DIO85_IO_OFFSET DOUT38_IO_OFFSET
#ifdef DOUT38
#undef DOUT38
#endif
#ifdef DIO85
#undef DIO85
#endif
#define DOUT38 85
#define DOUT38 -85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H87" t="str">
        <f t="shared" si="18"/>
        <v>#if ASSERT_PIN(DOUT38)
		case DOUT38:
			io_set_output(DOUT38);
			break;
#endif</v>
      </c>
      <c r="I87" t="str">
        <f t="shared" si="19"/>
        <v>#if ASSERT_PIN(DOUT38)
		case DOUT38:
			io_clear_output(DOUT38);
			break;
#endif</v>
      </c>
    </row>
    <row r="88" spans="1:9" ht="14.25" customHeight="1" x14ac:dyDescent="0.25">
      <c r="A88" s="4">
        <v>86</v>
      </c>
      <c r="B88" s="4" t="str">
        <f t="shared" si="0"/>
        <v>DIO86</v>
      </c>
      <c r="C88" s="4" t="s">
        <v>534</v>
      </c>
      <c r="D88" s="4" t="str">
        <f t="shared" si="23"/>
        <v>#ifndef DOUT39
#define DOUT39 UNDEF_PIN
#ifdef DIO86
#undef DIO86
#endif
#define DIO86 UNDEF_PIN
#endif</v>
      </c>
      <c r="E88" s="4" t="str">
        <f t="shared" si="20"/>
        <v>#if ASSERT_PIN(DOUT39)
    case DOUT39:
        return (io_get_output(DOUT39) != 0);
#endif</v>
      </c>
      <c r="F88" s="4" t="str">
        <f t="shared" si="24"/>
        <v>| 86 | DIO86 | DOUT39 |</v>
      </c>
      <c r="G88" s="4" t="str">
        <f t="shared" si="25"/>
        <v>#ifndef DOUT39_IO_OFFSET
#define DOUT39_IO_OFFSET -1
#define DIO86_IO_OFFSET -1
#else
#define DIO86_IO_OFFSET DOUT39_IO_OFFSET
#ifdef DOUT39
#undef DOUT39
#endif
#ifdef DIO86
#undef DIO86
#endif
#define DOUT39 86
#define DOUT39 -86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H88" t="str">
        <f t="shared" si="18"/>
        <v>#if ASSERT_PIN(DOUT39)
		case DOUT39:
			io_set_output(DOUT39);
			break;
#endif</v>
      </c>
      <c r="I88" t="str">
        <f t="shared" si="19"/>
        <v>#if ASSERT_PIN(DOUT39)
		case DOUT39:
			io_clear_output(DOUT39);
			break;
#endif</v>
      </c>
    </row>
    <row r="89" spans="1:9" ht="14.25" customHeight="1" x14ac:dyDescent="0.25">
      <c r="A89" s="4">
        <v>87</v>
      </c>
      <c r="B89" s="4" t="str">
        <f t="shared" si="0"/>
        <v>DIO87</v>
      </c>
      <c r="C89" s="4" t="s">
        <v>535</v>
      </c>
      <c r="D89" s="4" t="str">
        <f t="shared" si="23"/>
        <v>#ifndef DOUT40
#define DOUT40 UNDEF_PIN
#ifdef DIO87
#undef DIO87
#endif
#define DIO87 UNDEF_PIN
#endif</v>
      </c>
      <c r="E89" s="4" t="str">
        <f t="shared" si="20"/>
        <v>#if ASSERT_PIN(DOUT40)
    case DOUT40:
        return (io_get_output(DOUT40) != 0);
#endif</v>
      </c>
      <c r="F89" s="4" t="str">
        <f t="shared" si="24"/>
        <v>| 87 | DIO87 | DOUT40 |</v>
      </c>
      <c r="G89" s="4" t="str">
        <f t="shared" si="25"/>
        <v>#ifndef DOUT40_IO_OFFSET
#define DOUT40_IO_OFFSET -1
#define DIO87_IO_OFFSET -1
#else
#define DIO87_IO_OFFSET DOUT40_IO_OFFSET
#ifdef DOUT40
#undef DOUT40
#endif
#ifdef DIO87
#undef DIO87
#endif
#define DOUT40 87
#define DOUT40 -87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H89" t="str">
        <f t="shared" si="18"/>
        <v>#if ASSERT_PIN(DOUT40)
		case DOUT40:
			io_set_output(DOUT40);
			break;
#endif</v>
      </c>
      <c r="I89" t="str">
        <f t="shared" si="19"/>
        <v>#if ASSERT_PIN(DOUT40)
		case DOUT40:
			io_clear_output(DOUT40);
			break;
#endif</v>
      </c>
    </row>
    <row r="90" spans="1:9" ht="14.25" customHeight="1" x14ac:dyDescent="0.25">
      <c r="A90" s="4">
        <v>88</v>
      </c>
      <c r="B90" s="4" t="str">
        <f t="shared" si="0"/>
        <v>DIO88</v>
      </c>
      <c r="C90" s="4" t="s">
        <v>536</v>
      </c>
      <c r="D90" s="4" t="str">
        <f t="shared" si="23"/>
        <v>#ifndef DOUT41
#define DOUT41 UNDEF_PIN
#ifdef DIO88
#undef DIO88
#endif
#define DIO88 UNDEF_PIN
#endif</v>
      </c>
      <c r="E90" s="4" t="str">
        <f t="shared" si="20"/>
        <v>#if ASSERT_PIN(DOUT41)
    case DOUT41:
        return (io_get_output(DOUT41) != 0);
#endif</v>
      </c>
      <c r="F90" s="4" t="str">
        <f t="shared" si="24"/>
        <v>| 88 | DIO88 | DOUT41 |</v>
      </c>
      <c r="G90" s="4" t="str">
        <f t="shared" si="25"/>
        <v>#ifndef DOUT41_IO_OFFSET
#define DOUT41_IO_OFFSET -1
#define DIO88_IO_OFFSET -1
#else
#define DIO88_IO_OFFSET DOUT41_IO_OFFSET
#ifdef DOUT41
#undef DOUT41
#endif
#ifdef DIO88
#undef DIO88
#endif
#define DOUT41 88
#define DOUT41 -88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H90" t="str">
        <f t="shared" si="18"/>
        <v>#if ASSERT_PIN(DOUT41)
		case DOUT41:
			io_set_output(DOUT41);
			break;
#endif</v>
      </c>
      <c r="I90" t="str">
        <f t="shared" si="19"/>
        <v>#if ASSERT_PIN(DOUT41)
		case DOUT41:
			io_clear_output(DOUT41);
			break;
#endif</v>
      </c>
    </row>
    <row r="91" spans="1:9" ht="14.25" customHeight="1" x14ac:dyDescent="0.25">
      <c r="A91" s="4">
        <v>89</v>
      </c>
      <c r="B91" s="4" t="str">
        <f t="shared" si="0"/>
        <v>DIO89</v>
      </c>
      <c r="C91" s="4" t="s">
        <v>537</v>
      </c>
      <c r="D91" s="4" t="str">
        <f t="shared" si="23"/>
        <v>#ifndef DOUT42
#define DOUT42 UNDEF_PIN
#ifdef DIO89
#undef DIO89
#endif
#define DIO89 UNDEF_PIN
#endif</v>
      </c>
      <c r="E91" s="4" t="str">
        <f t="shared" si="20"/>
        <v>#if ASSERT_PIN(DOUT42)
    case DOUT42:
        return (io_get_output(DOUT42) != 0);
#endif</v>
      </c>
      <c r="F91" s="4" t="str">
        <f t="shared" si="24"/>
        <v>| 89 | DIO89 | DOUT42 |</v>
      </c>
      <c r="G91" s="4" t="str">
        <f t="shared" si="25"/>
        <v>#ifndef DOUT42_IO_OFFSET
#define DOUT42_IO_OFFSET -1
#define DIO89_IO_OFFSET -1
#else
#define DIO89_IO_OFFSET DOUT42_IO_OFFSET
#ifdef DOUT42
#undef DOUT42
#endif
#ifdef DIO89
#undef DIO89
#endif
#define DOUT42 89
#define DOUT42 -89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H91" t="str">
        <f t="shared" si="18"/>
        <v>#if ASSERT_PIN(DOUT42)
		case DOUT42:
			io_set_output(DOUT42);
			break;
#endif</v>
      </c>
      <c r="I91" t="str">
        <f t="shared" si="19"/>
        <v>#if ASSERT_PIN(DOUT42)
		case DOUT42:
			io_clear_output(DOUT42);
			break;
#endif</v>
      </c>
    </row>
    <row r="92" spans="1:9" ht="14.25" customHeight="1" x14ac:dyDescent="0.25">
      <c r="A92" s="4">
        <v>90</v>
      </c>
      <c r="B92" s="4" t="str">
        <f t="shared" si="0"/>
        <v>DIO90</v>
      </c>
      <c r="C92" s="4" t="s">
        <v>538</v>
      </c>
      <c r="D92" s="4" t="str">
        <f t="shared" si="23"/>
        <v>#ifndef DOUT43
#define DOUT43 UNDEF_PIN
#ifdef DIO90
#undef DIO90
#endif
#define DIO90 UNDEF_PIN
#endif</v>
      </c>
      <c r="E92" s="4" t="str">
        <f t="shared" si="20"/>
        <v>#if ASSERT_PIN(DOUT43)
    case DOUT43:
        return (io_get_output(DOUT43) != 0);
#endif</v>
      </c>
      <c r="F92" s="4" t="str">
        <f t="shared" si="24"/>
        <v>| 90 | DIO90 | DOUT43 |</v>
      </c>
      <c r="G92" s="4" t="str">
        <f t="shared" si="25"/>
        <v>#ifndef DOUT43_IO_OFFSET
#define DOUT43_IO_OFFSET -1
#define DIO90_IO_OFFSET -1
#else
#define DIO90_IO_OFFSET DOUT43_IO_OFFSET
#ifdef DOUT43
#undef DOUT43
#endif
#ifdef DIO90
#undef DIO90
#endif
#define DOUT43 90
#define DOUT43 -90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H92" t="str">
        <f t="shared" si="18"/>
        <v>#if ASSERT_PIN(DOUT43)
		case DOUT43:
			io_set_output(DOUT43);
			break;
#endif</v>
      </c>
      <c r="I92" t="str">
        <f t="shared" si="19"/>
        <v>#if ASSERT_PIN(DOUT43)
		case DOUT43:
			io_clear_output(DOUT43);
			break;
#endif</v>
      </c>
    </row>
    <row r="93" spans="1:9" ht="14.25" customHeight="1" x14ac:dyDescent="0.25">
      <c r="A93" s="4">
        <v>91</v>
      </c>
      <c r="B93" s="4" t="str">
        <f t="shared" si="0"/>
        <v>DIO91</v>
      </c>
      <c r="C93" s="4" t="s">
        <v>539</v>
      </c>
      <c r="D93" s="4" t="str">
        <f t="shared" si="23"/>
        <v>#ifndef DOUT44
#define DOUT44 UNDEF_PIN
#ifdef DIO91
#undef DIO91
#endif
#define DIO91 UNDEF_PIN
#endif</v>
      </c>
      <c r="E93" s="4" t="str">
        <f t="shared" si="20"/>
        <v>#if ASSERT_PIN(DOUT44)
    case DOUT44:
        return (io_get_output(DOUT44) != 0);
#endif</v>
      </c>
      <c r="F93" s="4" t="str">
        <f t="shared" si="24"/>
        <v>| 91 | DIO91 | DOUT44 |</v>
      </c>
      <c r="G93" s="4" t="str">
        <f t="shared" si="25"/>
        <v>#ifndef DOUT44_IO_OFFSET
#define DOUT44_IO_OFFSET -1
#define DIO91_IO_OFFSET -1
#else
#define DIO91_IO_OFFSET DOUT44_IO_OFFSET
#ifdef DOUT44
#undef DOUT44
#endif
#ifdef DIO91
#undef DIO91
#endif
#define DOUT44 91
#define DOUT44 -91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H93" t="str">
        <f t="shared" si="18"/>
        <v>#if ASSERT_PIN(DOUT44)
		case DOUT44:
			io_set_output(DOUT44);
			break;
#endif</v>
      </c>
      <c r="I93" t="str">
        <f t="shared" si="19"/>
        <v>#if ASSERT_PIN(DOUT44)
		case DOUT44:
			io_clear_output(DOUT44);
			break;
#endif</v>
      </c>
    </row>
    <row r="94" spans="1:9" ht="14.25" customHeight="1" x14ac:dyDescent="0.25">
      <c r="A94" s="4">
        <v>92</v>
      </c>
      <c r="B94" s="4" t="str">
        <f t="shared" si="0"/>
        <v>DIO92</v>
      </c>
      <c r="C94" s="4" t="s">
        <v>540</v>
      </c>
      <c r="D94" s="4" t="str">
        <f t="shared" si="23"/>
        <v>#ifndef DOUT45
#define DOUT45 UNDEF_PIN
#ifdef DIO92
#undef DIO92
#endif
#define DIO92 UNDEF_PIN
#endif</v>
      </c>
      <c r="E94" s="4" t="str">
        <f t="shared" si="20"/>
        <v>#if ASSERT_PIN(DOUT45)
    case DOUT45:
        return (io_get_output(DOUT45) != 0);
#endif</v>
      </c>
      <c r="F94" s="4" t="str">
        <f t="shared" si="24"/>
        <v>| 92 | DIO92 | DOUT45 |</v>
      </c>
      <c r="G94" s="4" t="str">
        <f t="shared" si="25"/>
        <v>#ifndef DOUT45_IO_OFFSET
#define DOUT45_IO_OFFSET -1
#define DIO92_IO_OFFSET -1
#else
#define DIO92_IO_OFFSET DOUT45_IO_OFFSET
#ifdef DOUT45
#undef DOUT45
#endif
#ifdef DIO92
#undef DIO92
#endif
#define DOUT45 92
#define DOUT45 -92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H94" t="str">
        <f t="shared" si="18"/>
        <v>#if ASSERT_PIN(DOUT45)
		case DOUT45:
			io_set_output(DOUT45);
			break;
#endif</v>
      </c>
      <c r="I94" t="str">
        <f t="shared" si="19"/>
        <v>#if ASSERT_PIN(DOUT45)
		case DOUT45:
			io_clear_output(DOUT45);
			break;
#endif</v>
      </c>
    </row>
    <row r="95" spans="1:9" ht="14.25" customHeight="1" x14ac:dyDescent="0.25">
      <c r="A95" s="4">
        <v>93</v>
      </c>
      <c r="B95" s="4" t="str">
        <f t="shared" si="0"/>
        <v>DIO93</v>
      </c>
      <c r="C95" s="4" t="s">
        <v>541</v>
      </c>
      <c r="D95" s="4" t="str">
        <f t="shared" si="23"/>
        <v>#ifndef DOUT46
#define DOUT46 UNDEF_PIN
#ifdef DIO93
#undef DIO93
#endif
#define DIO93 UNDEF_PIN
#endif</v>
      </c>
      <c r="E95" s="4" t="str">
        <f t="shared" si="20"/>
        <v>#if ASSERT_PIN(DOUT46)
    case DOUT46:
        return (io_get_output(DOUT46) != 0);
#endif</v>
      </c>
      <c r="F95" s="4" t="str">
        <f t="shared" si="24"/>
        <v>| 93 | DIO93 | DOUT46 |</v>
      </c>
      <c r="G95" s="4" t="str">
        <f t="shared" si="25"/>
        <v>#ifndef DOUT46_IO_OFFSET
#define DOUT46_IO_OFFSET -1
#define DIO93_IO_OFFSET -1
#else
#define DIO93_IO_OFFSET DOUT46_IO_OFFSET
#ifdef DOUT46
#undef DOUT46
#endif
#ifdef DIO93
#undef DIO93
#endif
#define DOUT46 93
#define DOUT46 -93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H95" t="str">
        <f t="shared" si="18"/>
        <v>#if ASSERT_PIN(DOUT46)
		case DOUT46:
			io_set_output(DOUT46);
			break;
#endif</v>
      </c>
      <c r="I95" t="str">
        <f t="shared" si="19"/>
        <v>#if ASSERT_PIN(DOUT46)
		case DOUT46:
			io_clear_output(DOUT46);
			break;
#endif</v>
      </c>
    </row>
    <row r="96" spans="1:9" ht="14.25" customHeight="1" x14ac:dyDescent="0.25">
      <c r="A96" s="4">
        <v>94</v>
      </c>
      <c r="B96" s="4" t="str">
        <f t="shared" si="0"/>
        <v>DIO94</v>
      </c>
      <c r="C96" s="4" t="s">
        <v>542</v>
      </c>
      <c r="D96" s="4" t="str">
        <f t="shared" si="23"/>
        <v>#ifndef DOUT47
#define DOUT47 UNDEF_PIN
#ifdef DIO94
#undef DIO94
#endif
#define DIO94 UNDEF_PIN
#endif</v>
      </c>
      <c r="E96" s="4" t="str">
        <f t="shared" si="20"/>
        <v>#if ASSERT_PIN(DOUT47)
    case DOUT47:
        return (io_get_output(DOUT47) != 0);
#endif</v>
      </c>
      <c r="F96" s="4" t="str">
        <f t="shared" si="24"/>
        <v>| 94 | DIO94 | DOUT47 |</v>
      </c>
      <c r="G96" s="4" t="str">
        <f t="shared" si="25"/>
        <v>#ifndef DOUT47_IO_OFFSET
#define DOUT47_IO_OFFSET -1
#define DIO94_IO_OFFSET -1
#else
#define DIO94_IO_OFFSET DOUT47_IO_OFFSET
#ifdef DOUT47
#undef DOUT47
#endif
#ifdef DIO94
#undef DIO94
#endif
#define DOUT47 94
#define DOUT47 -94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H96" t="str">
        <f t="shared" si="18"/>
        <v>#if ASSERT_PIN(DOUT47)
		case DOUT47:
			io_set_output(DOUT47);
			break;
#endif</v>
      </c>
      <c r="I96" t="str">
        <f t="shared" si="19"/>
        <v>#if ASSERT_PIN(DOUT47)
		case DOUT47:
			io_clear_output(DOUT47);
			break;
#endif</v>
      </c>
    </row>
    <row r="97" spans="1:9" ht="14.25" customHeight="1" x14ac:dyDescent="0.25">
      <c r="A97" s="4">
        <v>95</v>
      </c>
      <c r="B97" s="4" t="str">
        <f t="shared" ref="B97:B98" si="26">"DIO"&amp;A97</f>
        <v>DIO95</v>
      </c>
      <c r="C97" s="4" t="s">
        <v>543</v>
      </c>
      <c r="D97" s="4" t="str">
        <f t="shared" si="23"/>
        <v>#ifndef DOUT48
#define DOUT48 UNDEF_PIN
#ifdef DIO95
#undef DIO95
#endif
#define DIO95 UNDEF_PIN
#endif</v>
      </c>
      <c r="E97" s="4" t="str">
        <f t="shared" si="20"/>
        <v>#if ASSERT_PIN(DOUT48)
    case DOUT48:
        return (io_get_output(DOUT48) != 0);
#endif</v>
      </c>
      <c r="F97" s="4" t="str">
        <f t="shared" si="24"/>
        <v>| 95 | DIO95 | DOUT48 |</v>
      </c>
      <c r="G97" s="4" t="str">
        <f t="shared" si="25"/>
        <v>#ifndef DOUT48_IO_OFFSET
#define DOUT48_IO_OFFSET -1
#define DIO95_IO_OFFSET -1
#else
#define DIO95_IO_OFFSET DOUT48_IO_OFFSET
#ifdef DOUT48
#undef DOUT48
#endif
#ifdef DIO95
#undef DIO95
#endif
#define DOUT48 95
#define DOUT48 -95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H97" t="str">
        <f t="shared" si="18"/>
        <v>#if ASSERT_PIN(DOUT48)
		case DOUT48:
			io_set_output(DOUT48);
			break;
#endif</v>
      </c>
      <c r="I97" t="str">
        <f t="shared" si="19"/>
        <v>#if ASSERT_PIN(DOUT48)
		case DOUT48:
			io_clear_output(DOUT48);
			break;
#endif</v>
      </c>
    </row>
    <row r="98" spans="1:9" ht="14.25" customHeight="1" x14ac:dyDescent="0.25">
      <c r="A98" s="4">
        <v>96</v>
      </c>
      <c r="B98" s="4" t="str">
        <f t="shared" si="26"/>
        <v>DIO96</v>
      </c>
      <c r="C98" s="4" t="s">
        <v>544</v>
      </c>
      <c r="D98" s="4" t="str">
        <f t="shared" si="23"/>
        <v>#ifndef DOUT49
#define DOUT49 UNDEF_PIN
#ifdef DIO96
#undef DIO96
#endif
#define DIO96 UNDEF_PIN
#endif</v>
      </c>
      <c r="E98" s="4" t="str">
        <f t="shared" si="20"/>
        <v>#if ASSERT_PIN(DOUT49)
    case DOUT49:
        return (io_get_output(DOUT49) != 0);
#endif</v>
      </c>
      <c r="F98" s="4" t="str">
        <f t="shared" si="24"/>
        <v>| 96 | DIO96 | DOUT49 |</v>
      </c>
      <c r="G98" s="4" t="str">
        <f t="shared" si="25"/>
        <v>#ifndef DOUT49_IO_OFFSET
#define DOUT49_IO_OFFSET -1
#define DIO96_IO_OFFSET -1
#else
#define DIO96_IO_OFFSET DOUT49_IO_OFFSET
#ifdef DOUT49
#undef DOUT49
#endif
#ifdef DIO96
#undef DIO96
#endif
#define DOUT49 96
#define DOUT49 -96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H98" t="str">
        <f>"#if ASSERT_PIN("&amp;C98&amp;")
		case "&amp;C98&amp;":
			io_set_output("&amp;C98&amp;");
			break;
#endif"</f>
        <v>#if ASSERT_PIN(DOUT49)
		case DOUT49:
			io_set_output(DOUT49);
			break;
#endif</v>
      </c>
      <c r="I98" t="str">
        <f t="shared" si="19"/>
        <v>#if ASSERT_PIN(DOUT49)
		case DOUT49:
			io_clear_output(DOUT49);
			break;
#endif</v>
      </c>
    </row>
    <row r="99" spans="1:9" ht="14.25" customHeight="1" x14ac:dyDescent="0.25">
      <c r="A99" s="4">
        <v>100</v>
      </c>
      <c r="B99" s="4" t="str">
        <f t="shared" si="0"/>
        <v>DIO100</v>
      </c>
      <c r="C99" s="4" t="s">
        <v>59</v>
      </c>
      <c r="D99" s="4" t="str">
        <f t="shared" si="21"/>
        <v>#ifndef LIMIT_X
#define LIMIT_X UNDEF_PIN
#ifdef DIO100
#undef DIO100
#endif
#define DIO100 UNDEF_PIN
#endif</v>
      </c>
      <c r="E99" s="4" t="str">
        <f t="shared" ref="E99:E112" si="27">"#if "&amp;C99&amp;" &gt;= 0
    case "&amp;C99&amp;":
        return (mcu_get_input("&amp;C99&amp;") != 0);
#endif"</f>
        <v>#if LIMIT_X &gt;= 0
    case LIMIT_X:
        return (mcu_get_input(LIMIT_X) != 0);
#endif</v>
      </c>
      <c r="F99" s="4" t="str">
        <f t="shared" si="2"/>
        <v>| 100 | DIO100 | LIMIT_X |</v>
      </c>
      <c r="G99" s="4"/>
    </row>
    <row r="100" spans="1:9" ht="14.25" customHeight="1" x14ac:dyDescent="0.25">
      <c r="A100" s="4">
        <v>101</v>
      </c>
      <c r="B100" s="4" t="str">
        <f t="shared" si="0"/>
        <v>DIO101</v>
      </c>
      <c r="C100" s="4" t="s">
        <v>60</v>
      </c>
      <c r="D100" s="4" t="str">
        <f t="shared" si="21"/>
        <v>#ifndef LIMIT_Y
#define LIMIT_Y UNDEF_PIN
#ifdef DIO101
#undef DIO101
#endif
#define DIO101 UNDEF_PIN
#endif</v>
      </c>
      <c r="E100" s="4" t="str">
        <f t="shared" si="27"/>
        <v>#if LIMIT_Y &gt;= 0
    case LIMIT_Y:
        return (mcu_get_input(LIMIT_Y) != 0);
#endif</v>
      </c>
      <c r="F100" s="4" t="str">
        <f t="shared" si="2"/>
        <v>| 101 | DIO101 | LIMIT_Y |</v>
      </c>
      <c r="G100" s="4"/>
    </row>
    <row r="101" spans="1:9" ht="14.25" customHeight="1" x14ac:dyDescent="0.25">
      <c r="A101" s="4">
        <v>102</v>
      </c>
      <c r="B101" s="4" t="str">
        <f t="shared" si="0"/>
        <v>DIO102</v>
      </c>
      <c r="C101" s="4" t="s">
        <v>61</v>
      </c>
      <c r="D101" s="4" t="str">
        <f t="shared" si="21"/>
        <v>#ifndef LIMIT_Z
#define LIMIT_Z UNDEF_PIN
#ifdef DIO102
#undef DIO102
#endif
#define DIO102 UNDEF_PIN
#endif</v>
      </c>
      <c r="E101" s="4" t="str">
        <f t="shared" si="27"/>
        <v>#if LIMIT_Z &gt;= 0
    case LIMIT_Z:
        return (mcu_get_input(LIMIT_Z) != 0);
#endif</v>
      </c>
      <c r="F101" s="4" t="str">
        <f t="shared" si="2"/>
        <v>| 102 | DIO102 | LIMIT_Z |</v>
      </c>
      <c r="G101" s="4"/>
    </row>
    <row r="102" spans="1:9" ht="14.25" customHeight="1" x14ac:dyDescent="0.25">
      <c r="A102" s="4">
        <v>103</v>
      </c>
      <c r="B102" s="4" t="str">
        <f t="shared" si="0"/>
        <v>DIO103</v>
      </c>
      <c r="C102" s="4" t="s">
        <v>62</v>
      </c>
      <c r="D102" s="4" t="str">
        <f t="shared" si="21"/>
        <v>#ifndef LIMIT_X2
#define LIMIT_X2 UNDEF_PIN
#ifdef DIO103
#undef DIO103
#endif
#define DIO103 UNDEF_PIN
#endif</v>
      </c>
      <c r="E102" s="4" t="str">
        <f t="shared" si="27"/>
        <v>#if LIMIT_X2 &gt;= 0
    case LIMIT_X2:
        return (mcu_get_input(LIMIT_X2) != 0);
#endif</v>
      </c>
      <c r="F102" s="4" t="str">
        <f t="shared" si="2"/>
        <v>| 103 | DIO103 | LIMIT_X2 |</v>
      </c>
      <c r="G102" s="4"/>
    </row>
    <row r="103" spans="1:9" ht="14.25" customHeight="1" x14ac:dyDescent="0.25">
      <c r="A103" s="4">
        <v>104</v>
      </c>
      <c r="B103" s="4" t="str">
        <f t="shared" si="0"/>
        <v>DIO104</v>
      </c>
      <c r="C103" s="4" t="s">
        <v>63</v>
      </c>
      <c r="D103" s="4" t="str">
        <f t="shared" si="21"/>
        <v>#ifndef LIMIT_Y2
#define LIMIT_Y2 UNDEF_PIN
#ifdef DIO104
#undef DIO104
#endif
#define DIO104 UNDEF_PIN
#endif</v>
      </c>
      <c r="E103" s="4" t="str">
        <f t="shared" si="27"/>
        <v>#if LIMIT_Y2 &gt;= 0
    case LIMIT_Y2:
        return (mcu_get_input(LIMIT_Y2) != 0);
#endif</v>
      </c>
      <c r="F103" s="4" t="str">
        <f t="shared" si="2"/>
        <v>| 104 | DIO104 | LIMIT_Y2 |</v>
      </c>
      <c r="G103" s="4"/>
    </row>
    <row r="104" spans="1:9" ht="14.25" customHeight="1" x14ac:dyDescent="0.25">
      <c r="A104" s="4">
        <v>105</v>
      </c>
      <c r="B104" s="4" t="str">
        <f t="shared" si="0"/>
        <v>DIO105</v>
      </c>
      <c r="C104" s="4" t="s">
        <v>64</v>
      </c>
      <c r="D104" s="4" t="str">
        <f t="shared" si="21"/>
        <v>#ifndef LIMIT_Z2
#define LIMIT_Z2 UNDEF_PIN
#ifdef DIO105
#undef DIO105
#endif
#define DIO105 UNDEF_PIN
#endif</v>
      </c>
      <c r="E104" s="4" t="str">
        <f t="shared" si="27"/>
        <v>#if LIMIT_Z2 &gt;= 0
    case LIMIT_Z2:
        return (mcu_get_input(LIMIT_Z2) != 0);
#endif</v>
      </c>
      <c r="F104" s="4" t="str">
        <f t="shared" si="2"/>
        <v>| 105 | DIO105 | LIMIT_Z2 |</v>
      </c>
      <c r="G104" s="4"/>
    </row>
    <row r="105" spans="1:9" ht="14.25" customHeight="1" x14ac:dyDescent="0.25">
      <c r="A105" s="4">
        <v>106</v>
      </c>
      <c r="B105" s="4" t="str">
        <f t="shared" si="0"/>
        <v>DIO106</v>
      </c>
      <c r="C105" s="4" t="s">
        <v>65</v>
      </c>
      <c r="D105" s="4" t="str">
        <f t="shared" si="21"/>
        <v>#ifndef LIMIT_A
#define LIMIT_A UNDEF_PIN
#ifdef DIO106
#undef DIO106
#endif
#define DIO106 UNDEF_PIN
#endif</v>
      </c>
      <c r="E105" s="4" t="str">
        <f t="shared" si="27"/>
        <v>#if LIMIT_A &gt;= 0
    case LIMIT_A:
        return (mcu_get_input(LIMIT_A) != 0);
#endif</v>
      </c>
      <c r="F105" s="4" t="str">
        <f t="shared" si="2"/>
        <v>| 106 | DIO106 | LIMIT_A |</v>
      </c>
      <c r="G105" s="4"/>
    </row>
    <row r="106" spans="1:9" ht="14.25" customHeight="1" x14ac:dyDescent="0.25">
      <c r="A106" s="4">
        <v>107</v>
      </c>
      <c r="B106" s="4" t="str">
        <f t="shared" si="0"/>
        <v>DIO107</v>
      </c>
      <c r="C106" s="4" t="s">
        <v>66</v>
      </c>
      <c r="D106" s="4" t="str">
        <f t="shared" si="21"/>
        <v>#ifndef LIMIT_B
#define LIMIT_B UNDEF_PIN
#ifdef DIO107
#undef DIO107
#endif
#define DIO107 UNDEF_PIN
#endif</v>
      </c>
      <c r="E106" s="4" t="str">
        <f t="shared" si="27"/>
        <v>#if LIMIT_B &gt;= 0
    case LIMIT_B:
        return (mcu_get_input(LIMIT_B) != 0);
#endif</v>
      </c>
      <c r="F106" s="4" t="str">
        <f t="shared" si="2"/>
        <v>| 107 | DIO107 | LIMIT_B |</v>
      </c>
      <c r="G106" s="4"/>
    </row>
    <row r="107" spans="1:9" ht="14.25" customHeight="1" x14ac:dyDescent="0.25">
      <c r="A107" s="4">
        <v>108</v>
      </c>
      <c r="B107" s="4" t="str">
        <f t="shared" si="0"/>
        <v>DIO108</v>
      </c>
      <c r="C107" s="4" t="s">
        <v>67</v>
      </c>
      <c r="D107" s="4" t="str">
        <f t="shared" si="21"/>
        <v>#ifndef LIMIT_C
#define LIMIT_C UNDEF_PIN
#ifdef DIO108
#undef DIO108
#endif
#define DIO108 UNDEF_PIN
#endif</v>
      </c>
      <c r="E107" s="4" t="str">
        <f t="shared" si="27"/>
        <v>#if LIMIT_C &gt;= 0
    case LIMIT_C:
        return (mcu_get_input(LIMIT_C) != 0);
#endif</v>
      </c>
      <c r="F107" s="4" t="str">
        <f t="shared" si="2"/>
        <v>| 108 | DIO108 | LIMIT_C |</v>
      </c>
      <c r="G107" s="4"/>
    </row>
    <row r="108" spans="1:9" ht="14.25" customHeight="1" x14ac:dyDescent="0.25">
      <c r="A108" s="4">
        <v>109</v>
      </c>
      <c r="B108" s="4" t="str">
        <f t="shared" si="0"/>
        <v>DIO109</v>
      </c>
      <c r="C108" s="5" t="s">
        <v>68</v>
      </c>
      <c r="D108" s="4" t="str">
        <f t="shared" si="21"/>
        <v>#ifndef PROBE
#define PROBE UNDEF_PIN
#ifdef DIO109
#undef DIO109
#endif
#define DIO109 UNDEF_PIN
#endif</v>
      </c>
      <c r="E108" s="4" t="str">
        <f t="shared" si="27"/>
        <v>#if PROBE &gt;= 0
    case PROBE:
        return (mcu_get_input(PROBE) != 0);
#endif</v>
      </c>
      <c r="F108" s="4" t="str">
        <f t="shared" si="2"/>
        <v>| 109 | DIO109 | PROBE |</v>
      </c>
      <c r="G108" s="4"/>
    </row>
    <row r="109" spans="1:9" ht="14.25" customHeight="1" x14ac:dyDescent="0.25">
      <c r="A109" s="4">
        <v>110</v>
      </c>
      <c r="B109" s="4" t="str">
        <f t="shared" si="0"/>
        <v>DIO110</v>
      </c>
      <c r="C109" s="4" t="s">
        <v>69</v>
      </c>
      <c r="D109" s="4" t="str">
        <f t="shared" si="21"/>
        <v>#ifndef ESTOP
#define ESTOP UNDEF_PIN
#ifdef DIO110
#undef DIO110
#endif
#define DIO110 UNDEF_PIN
#endif</v>
      </c>
      <c r="E109" s="4" t="str">
        <f t="shared" si="27"/>
        <v>#if ESTOP &gt;= 0
    case ESTOP:
        return (mcu_get_input(ESTOP) != 0);
#endif</v>
      </c>
      <c r="F109" s="4" t="str">
        <f t="shared" si="2"/>
        <v>| 110 | DIO110 | ESTOP |</v>
      </c>
      <c r="G109" s="4"/>
    </row>
    <row r="110" spans="1:9" ht="14.25" customHeight="1" x14ac:dyDescent="0.25">
      <c r="A110" s="4">
        <v>111</v>
      </c>
      <c r="B110" s="4" t="str">
        <f t="shared" si="0"/>
        <v>DIO111</v>
      </c>
      <c r="C110" s="4" t="s">
        <v>70</v>
      </c>
      <c r="D110" s="4" t="str">
        <f t="shared" si="21"/>
        <v>#ifndef SAFETY_DOOR
#define SAFETY_DOOR UNDEF_PIN
#ifdef DIO111
#undef DIO111
#endif
#define DIO111 UNDEF_PIN
#endif</v>
      </c>
      <c r="E110" s="4" t="str">
        <f t="shared" si="27"/>
        <v>#if SAFETY_DOOR &gt;= 0
    case SAFETY_DOOR:
        return (mcu_get_input(SAFETY_DOOR) != 0);
#endif</v>
      </c>
      <c r="F110" s="4" t="str">
        <f t="shared" si="2"/>
        <v>| 111 | DIO111 | SAFETY_DOOR |</v>
      </c>
      <c r="G110" s="4"/>
    </row>
    <row r="111" spans="1:9" ht="14.25" customHeight="1" x14ac:dyDescent="0.25">
      <c r="A111" s="4">
        <v>112</v>
      </c>
      <c r="B111" s="4" t="str">
        <f t="shared" si="0"/>
        <v>DIO112</v>
      </c>
      <c r="C111" s="4" t="s">
        <v>71</v>
      </c>
      <c r="D111" s="4" t="str">
        <f t="shared" si="21"/>
        <v>#ifndef FHOLD
#define FHOLD UNDEF_PIN
#ifdef DIO112
#undef DIO112
#endif
#define DIO112 UNDEF_PIN
#endif</v>
      </c>
      <c r="E111" s="4" t="str">
        <f t="shared" si="27"/>
        <v>#if FHOLD &gt;= 0
    case FHOLD:
        return (mcu_get_input(FHOLD) != 0);
#endif</v>
      </c>
      <c r="F111" s="4" t="str">
        <f t="shared" si="2"/>
        <v>| 112 | DIO112 | FHOLD |</v>
      </c>
      <c r="G111" s="4"/>
    </row>
    <row r="112" spans="1:9" ht="14.25" customHeight="1" x14ac:dyDescent="0.25">
      <c r="A112" s="4">
        <v>113</v>
      </c>
      <c r="B112" s="4" t="str">
        <f t="shared" si="0"/>
        <v>DIO113</v>
      </c>
      <c r="C112" s="4" t="s">
        <v>72</v>
      </c>
      <c r="D112" s="4" t="str">
        <f t="shared" si="21"/>
        <v>#ifndef CS_RES
#define CS_RES UNDEF_PIN
#ifdef DIO113
#undef DIO113
#endif
#define DIO113 UNDEF_PIN
#endif</v>
      </c>
      <c r="E112" s="4" t="str">
        <f t="shared" si="27"/>
        <v>#if CS_RES &gt;= 0
    case CS_RES:
        return (mcu_get_input(CS_RES) != 0);
#endif</v>
      </c>
      <c r="F112" s="4" t="str">
        <f t="shared" si="2"/>
        <v>| 113 | DIO113 | CS_RES |</v>
      </c>
      <c r="G112" s="4"/>
    </row>
    <row r="113" spans="1:7" ht="14.25" customHeight="1" x14ac:dyDescent="0.25">
      <c r="A113" s="4">
        <v>114</v>
      </c>
      <c r="B113" s="4" t="str">
        <f t="shared" si="0"/>
        <v>DIO114</v>
      </c>
      <c r="C113" s="4" t="s">
        <v>73</v>
      </c>
      <c r="D113" s="4" t="str">
        <f t="shared" si="21"/>
        <v>#ifndef ANALOG0
#define ANALOG0 UNDEF_PIN
#ifdef DIO114
#undef DIO114
#endif
#define DIO114 UNDEF_PIN
#endif</v>
      </c>
      <c r="E113" s="4" t="str">
        <f t="shared" ref="E113:E128" si="28">"#if "&amp;C113&amp;" &gt;= 0
    case "&amp;C113&amp;":
        return mcu_get_analog("&amp;C113&amp;");
#endif"</f>
        <v>#if ANALOG0 &gt;= 0
    case ANALOG0:
        return mcu_get_analog(ANALOG0);
#endif</v>
      </c>
      <c r="F113" s="4" t="str">
        <f t="shared" si="2"/>
        <v>| 114 | DIO114 | ANALOG0 |</v>
      </c>
      <c r="G113" s="4"/>
    </row>
    <row r="114" spans="1:7" ht="14.25" customHeight="1" x14ac:dyDescent="0.25">
      <c r="A114" s="4">
        <v>115</v>
      </c>
      <c r="B114" s="4" t="str">
        <f t="shared" si="0"/>
        <v>DIO115</v>
      </c>
      <c r="C114" s="4" t="s">
        <v>74</v>
      </c>
      <c r="D114" s="4" t="str">
        <f t="shared" si="21"/>
        <v>#ifndef ANALOG1
#define ANALOG1 UNDEF_PIN
#ifdef DIO115
#undef DIO115
#endif
#define DIO115 UNDEF_PIN
#endif</v>
      </c>
      <c r="E114" s="4" t="str">
        <f t="shared" si="28"/>
        <v>#if ANALOG1 &gt;= 0
    case ANALOG1:
        return mcu_get_analog(ANALOG1);
#endif</v>
      </c>
      <c r="F114" s="4" t="str">
        <f t="shared" si="2"/>
        <v>| 115 | DIO115 | ANALOG1 |</v>
      </c>
      <c r="G114" s="4"/>
    </row>
    <row r="115" spans="1:7" ht="14.25" customHeight="1" x14ac:dyDescent="0.25">
      <c r="A115" s="4">
        <v>116</v>
      </c>
      <c r="B115" s="4" t="str">
        <f t="shared" si="0"/>
        <v>DIO116</v>
      </c>
      <c r="C115" s="4" t="s">
        <v>75</v>
      </c>
      <c r="D115" s="4" t="str">
        <f t="shared" si="21"/>
        <v>#ifndef ANALOG2
#define ANALOG2 UNDEF_PIN
#ifdef DIO116
#undef DIO116
#endif
#define DIO116 UNDEF_PIN
#endif</v>
      </c>
      <c r="E115" s="4" t="str">
        <f t="shared" si="28"/>
        <v>#if ANALOG2 &gt;= 0
    case ANALOG2:
        return mcu_get_analog(ANALOG2);
#endif</v>
      </c>
      <c r="F115" s="4" t="str">
        <f t="shared" si="2"/>
        <v>| 116 | DIO116 | ANALOG2 |</v>
      </c>
      <c r="G115" s="4"/>
    </row>
    <row r="116" spans="1:7" ht="14.25" customHeight="1" x14ac:dyDescent="0.25">
      <c r="A116" s="4">
        <v>117</v>
      </c>
      <c r="B116" s="4" t="str">
        <f t="shared" si="0"/>
        <v>DIO117</v>
      </c>
      <c r="C116" s="4" t="s">
        <v>76</v>
      </c>
      <c r="D116" s="4" t="str">
        <f t="shared" si="21"/>
        <v>#ifndef ANALOG3
#define ANALOG3 UNDEF_PIN
#ifdef DIO117
#undef DIO117
#endif
#define DIO117 UNDEF_PIN
#endif</v>
      </c>
      <c r="E116" s="4" t="str">
        <f t="shared" si="28"/>
        <v>#if ANALOG3 &gt;= 0
    case ANALOG3:
        return mcu_get_analog(ANALOG3);
#endif</v>
      </c>
      <c r="F116" s="4" t="str">
        <f t="shared" si="2"/>
        <v>| 117 | DIO117 | ANALOG3 |</v>
      </c>
      <c r="G116" s="4"/>
    </row>
    <row r="117" spans="1:7" ht="14.25" customHeight="1" x14ac:dyDescent="0.25">
      <c r="A117" s="4">
        <v>118</v>
      </c>
      <c r="B117" s="4" t="str">
        <f t="shared" si="0"/>
        <v>DIO118</v>
      </c>
      <c r="C117" s="4" t="s">
        <v>77</v>
      </c>
      <c r="D117" s="4" t="str">
        <f t="shared" si="21"/>
        <v>#ifndef ANALOG4
#define ANALOG4 UNDEF_PIN
#ifdef DIO118
#undef DIO118
#endif
#define DIO118 UNDEF_PIN
#endif</v>
      </c>
      <c r="E117" s="4" t="str">
        <f t="shared" si="28"/>
        <v>#if ANALOG4 &gt;= 0
    case ANALOG4:
        return mcu_get_analog(ANALOG4);
#endif</v>
      </c>
      <c r="F117" s="4" t="str">
        <f t="shared" si="2"/>
        <v>| 118 | DIO118 | ANALOG4 |</v>
      </c>
      <c r="G117" s="4"/>
    </row>
    <row r="118" spans="1:7" ht="14.25" customHeight="1" x14ac:dyDescent="0.25">
      <c r="A118" s="4">
        <v>119</v>
      </c>
      <c r="B118" s="4" t="str">
        <f t="shared" si="0"/>
        <v>DIO119</v>
      </c>
      <c r="C118" s="4" t="s">
        <v>78</v>
      </c>
      <c r="D118" s="4" t="str">
        <f t="shared" si="21"/>
        <v>#ifndef ANALOG5
#define ANALOG5 UNDEF_PIN
#ifdef DIO119
#undef DIO119
#endif
#define DIO119 UNDEF_PIN
#endif</v>
      </c>
      <c r="E118" s="4" t="str">
        <f t="shared" si="28"/>
        <v>#if ANALOG5 &gt;= 0
    case ANALOG5:
        return mcu_get_analog(ANALOG5);
#endif</v>
      </c>
      <c r="F118" s="4" t="str">
        <f t="shared" si="2"/>
        <v>| 119 | DIO119 | ANALOG5 |</v>
      </c>
      <c r="G118" s="4"/>
    </row>
    <row r="119" spans="1:7" ht="14.25" customHeight="1" x14ac:dyDescent="0.25">
      <c r="A119" s="4">
        <v>120</v>
      </c>
      <c r="B119" s="4" t="str">
        <f t="shared" si="0"/>
        <v>DIO120</v>
      </c>
      <c r="C119" s="4" t="s">
        <v>79</v>
      </c>
      <c r="D119" s="4" t="str">
        <f t="shared" si="21"/>
        <v>#ifndef ANALOG6
#define ANALOG6 UNDEF_PIN
#ifdef DIO120
#undef DIO120
#endif
#define DIO120 UNDEF_PIN
#endif</v>
      </c>
      <c r="E119" s="4" t="str">
        <f t="shared" si="28"/>
        <v>#if ANALOG6 &gt;= 0
    case ANALOG6:
        return mcu_get_analog(ANALOG6);
#endif</v>
      </c>
      <c r="F119" s="4" t="str">
        <f t="shared" si="2"/>
        <v>| 120 | DIO120 | ANALOG6 |</v>
      </c>
      <c r="G119" s="4"/>
    </row>
    <row r="120" spans="1:7" ht="14.25" customHeight="1" x14ac:dyDescent="0.25">
      <c r="A120" s="4">
        <v>121</v>
      </c>
      <c r="B120" s="4" t="str">
        <f t="shared" si="0"/>
        <v>DIO121</v>
      </c>
      <c r="C120" s="4" t="s">
        <v>80</v>
      </c>
      <c r="D120" s="4" t="str">
        <f t="shared" si="21"/>
        <v>#ifndef ANALOG7
#define ANALOG7 UNDEF_PIN
#ifdef DIO121
#undef DIO121
#endif
#define DIO121 UNDEF_PIN
#endif</v>
      </c>
      <c r="E120" s="4" t="str">
        <f t="shared" si="28"/>
        <v>#if ANALOG7 &gt;= 0
    case ANALOG7:
        return mcu_get_analog(ANALOG7);
#endif</v>
      </c>
      <c r="F120" s="4" t="str">
        <f t="shared" si="2"/>
        <v>| 121 | DIO121 | ANALOG7 |</v>
      </c>
      <c r="G120" s="4"/>
    </row>
    <row r="121" spans="1:7" ht="14.25" customHeight="1" x14ac:dyDescent="0.25">
      <c r="A121" s="4">
        <v>122</v>
      </c>
      <c r="B121" s="4" t="str">
        <f t="shared" si="0"/>
        <v>DIO122</v>
      </c>
      <c r="C121" s="4" t="s">
        <v>81</v>
      </c>
      <c r="D121" s="4" t="str">
        <f t="shared" si="21"/>
        <v>#ifndef ANALOG8
#define ANALOG8 UNDEF_PIN
#ifdef DIO122
#undef DIO122
#endif
#define DIO122 UNDEF_PIN
#endif</v>
      </c>
      <c r="E121" s="4" t="str">
        <f t="shared" si="28"/>
        <v>#if ANALOG8 &gt;= 0
    case ANALOG8:
        return mcu_get_analog(ANALOG8);
#endif</v>
      </c>
      <c r="F121" s="4" t="str">
        <f t="shared" si="2"/>
        <v>| 122 | DIO122 | ANALOG8 |</v>
      </c>
      <c r="G121" s="4"/>
    </row>
    <row r="122" spans="1:7" ht="14.25" customHeight="1" x14ac:dyDescent="0.25">
      <c r="A122" s="4">
        <v>123</v>
      </c>
      <c r="B122" s="4" t="str">
        <f t="shared" si="0"/>
        <v>DIO123</v>
      </c>
      <c r="C122" s="4" t="s">
        <v>82</v>
      </c>
      <c r="D122" s="4" t="str">
        <f t="shared" si="21"/>
        <v>#ifndef ANALOG9
#define ANALOG9 UNDEF_PIN
#ifdef DIO123
#undef DIO123
#endif
#define DIO123 UNDEF_PIN
#endif</v>
      </c>
      <c r="E122" s="4" t="str">
        <f t="shared" si="28"/>
        <v>#if ANALOG9 &gt;= 0
    case ANALOG9:
        return mcu_get_analog(ANALOG9);
#endif</v>
      </c>
      <c r="F122" s="4" t="str">
        <f t="shared" si="2"/>
        <v>| 123 | DIO123 | ANALOG9 |</v>
      </c>
      <c r="G122" s="4"/>
    </row>
    <row r="123" spans="1:7" ht="14.25" customHeight="1" x14ac:dyDescent="0.25">
      <c r="A123" s="4">
        <v>124</v>
      </c>
      <c r="B123" s="4" t="str">
        <f t="shared" si="0"/>
        <v>DIO124</v>
      </c>
      <c r="C123" s="4" t="s">
        <v>83</v>
      </c>
      <c r="D123" s="4" t="str">
        <f t="shared" si="21"/>
        <v>#ifndef ANALOG10
#define ANALOG10 UNDEF_PIN
#ifdef DIO124
#undef DIO124
#endif
#define DIO124 UNDEF_PIN
#endif</v>
      </c>
      <c r="E123" s="4" t="str">
        <f t="shared" si="28"/>
        <v>#if ANALOG10 &gt;= 0
    case ANALOG10:
        return mcu_get_analog(ANALOG10);
#endif</v>
      </c>
      <c r="F123" s="4" t="str">
        <f t="shared" si="2"/>
        <v>| 124 | DIO124 | ANALOG10 |</v>
      </c>
      <c r="G123" s="4"/>
    </row>
    <row r="124" spans="1:7" ht="14.25" customHeight="1" x14ac:dyDescent="0.25">
      <c r="A124" s="4">
        <v>125</v>
      </c>
      <c r="B124" s="4" t="str">
        <f t="shared" si="0"/>
        <v>DIO125</v>
      </c>
      <c r="C124" s="4" t="s">
        <v>84</v>
      </c>
      <c r="D124" s="4" t="str">
        <f t="shared" si="21"/>
        <v>#ifndef ANALOG11
#define ANALOG11 UNDEF_PIN
#ifdef DIO125
#undef DIO125
#endif
#define DIO125 UNDEF_PIN
#endif</v>
      </c>
      <c r="E124" s="4" t="str">
        <f t="shared" si="28"/>
        <v>#if ANALOG11 &gt;= 0
    case ANALOG11:
        return mcu_get_analog(ANALOG11);
#endif</v>
      </c>
      <c r="F124" s="4" t="str">
        <f t="shared" si="2"/>
        <v>| 125 | DIO125 | ANALOG11 |</v>
      </c>
      <c r="G124" s="4"/>
    </row>
    <row r="125" spans="1:7" ht="14.25" customHeight="1" x14ac:dyDescent="0.25">
      <c r="A125" s="4">
        <v>126</v>
      </c>
      <c r="B125" s="4" t="str">
        <f t="shared" si="0"/>
        <v>DIO126</v>
      </c>
      <c r="C125" s="4" t="s">
        <v>85</v>
      </c>
      <c r="D125" s="4" t="str">
        <f t="shared" si="21"/>
        <v>#ifndef ANALOG12
#define ANALOG12 UNDEF_PIN
#ifdef DIO126
#undef DIO126
#endif
#define DIO126 UNDEF_PIN
#endif</v>
      </c>
      <c r="E125" s="4" t="str">
        <f t="shared" si="28"/>
        <v>#if ANALOG12 &gt;= 0
    case ANALOG12:
        return mcu_get_analog(ANALOG12);
#endif</v>
      </c>
      <c r="F125" s="4" t="str">
        <f t="shared" si="2"/>
        <v>| 126 | DIO126 | ANALOG12 |</v>
      </c>
      <c r="G125" s="4"/>
    </row>
    <row r="126" spans="1:7" ht="14.25" customHeight="1" x14ac:dyDescent="0.25">
      <c r="A126" s="4">
        <v>127</v>
      </c>
      <c r="B126" s="4" t="str">
        <f t="shared" si="0"/>
        <v>DIO127</v>
      </c>
      <c r="C126" s="4" t="s">
        <v>86</v>
      </c>
      <c r="D126" s="4" t="str">
        <f t="shared" si="21"/>
        <v>#ifndef ANALOG13
#define ANALOG13 UNDEF_PIN
#ifdef DIO127
#undef DIO127
#endif
#define DIO127 UNDEF_PIN
#endif</v>
      </c>
      <c r="E126" s="4" t="str">
        <f t="shared" si="28"/>
        <v>#if ANALOG13 &gt;= 0
    case ANALOG13:
        return mcu_get_analog(ANALOG13);
#endif</v>
      </c>
      <c r="F126" s="4" t="str">
        <f t="shared" si="2"/>
        <v>| 127 | DIO127 | ANALOG13 |</v>
      </c>
      <c r="G126" s="4"/>
    </row>
    <row r="127" spans="1:7" ht="14.25" customHeight="1" x14ac:dyDescent="0.25">
      <c r="A127" s="4">
        <v>128</v>
      </c>
      <c r="B127" s="4" t="str">
        <f t="shared" si="0"/>
        <v>DIO128</v>
      </c>
      <c r="C127" s="4" t="s">
        <v>87</v>
      </c>
      <c r="D127" s="4" t="str">
        <f t="shared" si="21"/>
        <v>#ifndef ANALOG14
#define ANALOG14 UNDEF_PIN
#ifdef DIO128
#undef DIO128
#endif
#define DIO128 UNDEF_PIN
#endif</v>
      </c>
      <c r="E127" s="4" t="str">
        <f t="shared" si="28"/>
        <v>#if ANALOG14 &gt;= 0
    case ANALOG14:
        return mcu_get_analog(ANALOG14);
#endif</v>
      </c>
      <c r="F127" s="4" t="str">
        <f t="shared" si="2"/>
        <v>| 128 | DIO128 | ANALOG14 |</v>
      </c>
      <c r="G127" s="4"/>
    </row>
    <row r="128" spans="1:7" ht="14.25" customHeight="1" x14ac:dyDescent="0.25">
      <c r="A128" s="4">
        <v>129</v>
      </c>
      <c r="B128" s="4" t="str">
        <f t="shared" si="0"/>
        <v>DIO129</v>
      </c>
      <c r="C128" s="4" t="s">
        <v>88</v>
      </c>
      <c r="D128" s="4" t="str">
        <f t="shared" si="21"/>
        <v>#ifndef ANALOG15
#define ANALOG15 UNDEF_PIN
#ifdef DIO129
#undef DIO129
#endif
#define DIO129 UNDEF_PIN
#endif</v>
      </c>
      <c r="E128" s="4" t="str">
        <f t="shared" si="28"/>
        <v>#if ANALOG15 &gt;= 0
    case ANALOG15:
        return mcu_get_analog(ANALOG15);
#endif</v>
      </c>
      <c r="F128" s="4" t="str">
        <f t="shared" si="2"/>
        <v>| 129 | DIO129 | ANALOG15 |</v>
      </c>
      <c r="G128" s="4"/>
    </row>
    <row r="129" spans="1:7" ht="14.25" customHeight="1" x14ac:dyDescent="0.25">
      <c r="A129" s="4">
        <v>130</v>
      </c>
      <c r="B129" s="4" t="str">
        <f t="shared" si="0"/>
        <v>DIO130</v>
      </c>
      <c r="C129" s="5" t="s">
        <v>89</v>
      </c>
      <c r="D129" s="4" t="str">
        <f t="shared" si="21"/>
        <v>#ifndef DIN0
#define DIN0 UNDEF_PIN
#ifdef DIO130
#undef DIO130
#endif
#define DIO130 UNDEF_PIN
#endif</v>
      </c>
      <c r="E129" s="4" t="str">
        <f t="shared" ref="E129:E160" si="29">"#if "&amp;C129&amp;" &gt;= 0
    case "&amp;C129&amp;":
        return (mcu_get_input("&amp;C129&amp;") != 0);
#endif"</f>
        <v>#if DIN0 &gt;= 0
    case DIN0:
        return (mcu_get_input(DIN0) != 0);
#endif</v>
      </c>
      <c r="F129" s="4" t="str">
        <f t="shared" si="2"/>
        <v>| 130 | DIO130 | DIN0 |</v>
      </c>
      <c r="G129" s="4"/>
    </row>
    <row r="130" spans="1:7" ht="14.25" customHeight="1" x14ac:dyDescent="0.25">
      <c r="A130" s="4">
        <v>131</v>
      </c>
      <c r="B130" s="4" t="str">
        <f t="shared" si="0"/>
        <v>DIO131</v>
      </c>
      <c r="C130" s="5" t="s">
        <v>90</v>
      </c>
      <c r="D130" s="4" t="str">
        <f t="shared" si="21"/>
        <v>#ifndef DIN1
#define DIN1 UNDEF_PIN
#ifdef DIO131
#undef DIO131
#endif
#define DIO131 UNDEF_PIN
#endif</v>
      </c>
      <c r="E130" s="4" t="str">
        <f t="shared" si="29"/>
        <v>#if DIN1 &gt;= 0
    case DIN1:
        return (mcu_get_input(DIN1) != 0);
#endif</v>
      </c>
      <c r="F130" s="4" t="str">
        <f t="shared" si="2"/>
        <v>| 131 | DIO131 | DIN1 |</v>
      </c>
      <c r="G130" s="4"/>
    </row>
    <row r="131" spans="1:7" ht="14.25" customHeight="1" x14ac:dyDescent="0.25">
      <c r="A131" s="4">
        <v>132</v>
      </c>
      <c r="B131" s="4" t="str">
        <f t="shared" si="0"/>
        <v>DIO132</v>
      </c>
      <c r="C131" s="5" t="s">
        <v>91</v>
      </c>
      <c r="D131" s="4" t="str">
        <f t="shared" si="21"/>
        <v>#ifndef DIN2
#define DIN2 UNDEF_PIN
#ifdef DIO132
#undef DIO132
#endif
#define DIO132 UNDEF_PIN
#endif</v>
      </c>
      <c r="E131" s="4" t="str">
        <f t="shared" si="29"/>
        <v>#if DIN2 &gt;= 0
    case DIN2:
        return (mcu_get_input(DIN2) != 0);
#endif</v>
      </c>
      <c r="F131" s="4" t="str">
        <f t="shared" si="2"/>
        <v>| 132 | DIO132 | DIN2 |</v>
      </c>
      <c r="G131" s="4"/>
    </row>
    <row r="132" spans="1:7" ht="14.25" customHeight="1" x14ac:dyDescent="0.25">
      <c r="A132" s="4">
        <v>133</v>
      </c>
      <c r="B132" s="4" t="str">
        <f t="shared" si="0"/>
        <v>DIO133</v>
      </c>
      <c r="C132" s="5" t="s">
        <v>92</v>
      </c>
      <c r="D132" s="4" t="str">
        <f t="shared" si="21"/>
        <v>#ifndef DIN3
#define DIN3 UNDEF_PIN
#ifdef DIO133
#undef DIO133
#endif
#define DIO133 UNDEF_PIN
#endif</v>
      </c>
      <c r="E132" s="4" t="str">
        <f t="shared" si="29"/>
        <v>#if DIN3 &gt;= 0
    case DIN3:
        return (mcu_get_input(DIN3) != 0);
#endif</v>
      </c>
      <c r="F132" s="4" t="str">
        <f t="shared" si="2"/>
        <v>| 133 | DIO133 | DIN3 |</v>
      </c>
      <c r="G132" s="4"/>
    </row>
    <row r="133" spans="1:7" ht="14.25" customHeight="1" x14ac:dyDescent="0.25">
      <c r="A133" s="4">
        <v>134</v>
      </c>
      <c r="B133" s="4" t="str">
        <f t="shared" si="0"/>
        <v>DIO134</v>
      </c>
      <c r="C133" s="5" t="s">
        <v>93</v>
      </c>
      <c r="D133" s="4" t="str">
        <f t="shared" si="21"/>
        <v>#ifndef DIN4
#define DIN4 UNDEF_PIN
#ifdef DIO134
#undef DIO134
#endif
#define DIO134 UNDEF_PIN
#endif</v>
      </c>
      <c r="E133" s="4" t="str">
        <f t="shared" si="29"/>
        <v>#if DIN4 &gt;= 0
    case DIN4:
        return (mcu_get_input(DIN4) != 0);
#endif</v>
      </c>
      <c r="F133" s="4" t="str">
        <f t="shared" si="2"/>
        <v>| 134 | DIO134 | DIN4 |</v>
      </c>
      <c r="G133" s="4"/>
    </row>
    <row r="134" spans="1:7" ht="14.25" customHeight="1" x14ac:dyDescent="0.25">
      <c r="A134" s="4">
        <v>135</v>
      </c>
      <c r="B134" s="4" t="str">
        <f t="shared" si="0"/>
        <v>DIO135</v>
      </c>
      <c r="C134" s="5" t="s">
        <v>94</v>
      </c>
      <c r="D134" s="4" t="str">
        <f t="shared" si="21"/>
        <v>#ifndef DIN5
#define DIN5 UNDEF_PIN
#ifdef DIO135
#undef DIO135
#endif
#define DIO135 UNDEF_PIN
#endif</v>
      </c>
      <c r="E134" s="4" t="str">
        <f t="shared" si="29"/>
        <v>#if DIN5 &gt;= 0
    case DIN5:
        return (mcu_get_input(DIN5) != 0);
#endif</v>
      </c>
      <c r="F134" s="4" t="str">
        <f t="shared" si="2"/>
        <v>| 135 | DIO135 | DIN5 |</v>
      </c>
      <c r="G134" s="4"/>
    </row>
    <row r="135" spans="1:7" ht="14.25" customHeight="1" x14ac:dyDescent="0.25">
      <c r="A135" s="4">
        <v>136</v>
      </c>
      <c r="B135" s="4" t="str">
        <f t="shared" si="0"/>
        <v>DIO136</v>
      </c>
      <c r="C135" s="5" t="s">
        <v>95</v>
      </c>
      <c r="D135" s="4" t="str">
        <f t="shared" si="21"/>
        <v>#ifndef DIN6
#define DIN6 UNDEF_PIN
#ifdef DIO136
#undef DIO136
#endif
#define DIO136 UNDEF_PIN
#endif</v>
      </c>
      <c r="E135" s="4" t="str">
        <f t="shared" si="29"/>
        <v>#if DIN6 &gt;= 0
    case DIN6:
        return (mcu_get_input(DIN6) != 0);
#endif</v>
      </c>
      <c r="F135" s="4" t="str">
        <f t="shared" ref="F135:F186" si="30">"| "&amp;A135&amp;" | "&amp;B135&amp;" | "&amp;C135&amp;" |"</f>
        <v>| 136 | DIO136 | DIN6 |</v>
      </c>
      <c r="G135" s="4"/>
    </row>
    <row r="136" spans="1:7" ht="14.25" customHeight="1" x14ac:dyDescent="0.25">
      <c r="A136" s="4">
        <v>137</v>
      </c>
      <c r="B136" s="4" t="str">
        <f t="shared" si="0"/>
        <v>DIO137</v>
      </c>
      <c r="C136" s="5" t="s">
        <v>96</v>
      </c>
      <c r="D136" s="4" t="str">
        <f t="shared" si="21"/>
        <v>#ifndef DIN7
#define DIN7 UNDEF_PIN
#ifdef DIO137
#undef DIO137
#endif
#define DIO137 UNDEF_PIN
#endif</v>
      </c>
      <c r="E136" s="4" t="str">
        <f t="shared" si="29"/>
        <v>#if DIN7 &gt;= 0
    case DIN7:
        return (mcu_get_input(DIN7) != 0);
#endif</v>
      </c>
      <c r="F136" s="4" t="str">
        <f t="shared" si="30"/>
        <v>| 137 | DIO137 | DIN7 |</v>
      </c>
      <c r="G136" s="4"/>
    </row>
    <row r="137" spans="1:7" ht="14.25" customHeight="1" x14ac:dyDescent="0.25">
      <c r="A137" s="4">
        <v>138</v>
      </c>
      <c r="B137" s="4" t="str">
        <f t="shared" si="0"/>
        <v>DIO138</v>
      </c>
      <c r="C137" s="5" t="s">
        <v>97</v>
      </c>
      <c r="D137" s="4" t="str">
        <f t="shared" si="21"/>
        <v>#ifndef DIN8
#define DIN8 UNDEF_PIN
#ifdef DIO138
#undef DIO138
#endif
#define DIO138 UNDEF_PIN
#endif</v>
      </c>
      <c r="E137" s="4" t="str">
        <f t="shared" si="29"/>
        <v>#if DIN8 &gt;= 0
    case DIN8:
        return (mcu_get_input(DIN8) != 0);
#endif</v>
      </c>
      <c r="F137" s="4" t="str">
        <f t="shared" si="30"/>
        <v>| 138 | DIO138 | DIN8 |</v>
      </c>
      <c r="G137" s="4"/>
    </row>
    <row r="138" spans="1:7" ht="14.25" customHeight="1" x14ac:dyDescent="0.25">
      <c r="A138" s="4">
        <v>139</v>
      </c>
      <c r="B138" s="4" t="str">
        <f t="shared" si="0"/>
        <v>DIO139</v>
      </c>
      <c r="C138" s="5" t="s">
        <v>98</v>
      </c>
      <c r="D138" s="4" t="str">
        <f t="shared" si="21"/>
        <v>#ifndef DIN9
#define DIN9 UNDEF_PIN
#ifdef DIO139
#undef DIO139
#endif
#define DIO139 UNDEF_PIN
#endif</v>
      </c>
      <c r="E138" s="4" t="str">
        <f t="shared" si="29"/>
        <v>#if DIN9 &gt;= 0
    case DIN9:
        return (mcu_get_input(DIN9) != 0);
#endif</v>
      </c>
      <c r="F138" s="4" t="str">
        <f t="shared" si="30"/>
        <v>| 139 | DIO139 | DIN9 |</v>
      </c>
      <c r="G138" s="4"/>
    </row>
    <row r="139" spans="1:7" ht="14.25" customHeight="1" x14ac:dyDescent="0.25">
      <c r="A139" s="4">
        <v>140</v>
      </c>
      <c r="B139" s="4" t="str">
        <f t="shared" si="0"/>
        <v>DIO140</v>
      </c>
      <c r="C139" s="5" t="s">
        <v>99</v>
      </c>
      <c r="D139" s="4" t="str">
        <f t="shared" si="21"/>
        <v>#ifndef DIN10
#define DIN10 UNDEF_PIN
#ifdef DIO140
#undef DIO140
#endif
#define DIO140 UNDEF_PIN
#endif</v>
      </c>
      <c r="E139" s="4" t="str">
        <f t="shared" si="29"/>
        <v>#if DIN10 &gt;= 0
    case DIN10:
        return (mcu_get_input(DIN10) != 0);
#endif</v>
      </c>
      <c r="F139" s="4" t="str">
        <f t="shared" si="30"/>
        <v>| 140 | DIO140 | DIN10 |</v>
      </c>
      <c r="G139" s="4"/>
    </row>
    <row r="140" spans="1:7" ht="14.2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 t="str">
        <f t="shared" si="21"/>
        <v>#ifndef DIN11
#define DIN11 UNDEF_PIN
#ifdef DIO141
#undef DIO141
#endif
#define DIO141 UNDEF_PIN
#endif</v>
      </c>
      <c r="E140" s="4" t="str">
        <f t="shared" si="29"/>
        <v>#if DIN11 &gt;= 0
    case DIN11:
        return (mcu_get_input(DIN11) != 0);
#endif</v>
      </c>
      <c r="F140" s="4" t="str">
        <f t="shared" si="30"/>
        <v>| 141 | DIO141 | DIN11 |</v>
      </c>
      <c r="G140" s="4"/>
    </row>
    <row r="141" spans="1:7" ht="14.2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 t="str">
        <f t="shared" si="21"/>
        <v>#ifndef DIN12
#define DIN12 UNDEF_PIN
#ifdef DIO142
#undef DIO142
#endif
#define DIO142 UNDEF_PIN
#endif</v>
      </c>
      <c r="E141" s="4" t="str">
        <f t="shared" si="29"/>
        <v>#if DIN12 &gt;= 0
    case DIN12:
        return (mcu_get_input(DIN12) != 0);
#endif</v>
      </c>
      <c r="F141" s="4" t="str">
        <f t="shared" si="30"/>
        <v>| 142 | DIO142 | DIN12 |</v>
      </c>
      <c r="G141" s="4"/>
    </row>
    <row r="142" spans="1:7" ht="14.2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 t="str">
        <f t="shared" si="21"/>
        <v>#ifndef DIN13
#define DIN13 UNDEF_PIN
#ifdef DIO143
#undef DIO143
#endif
#define DIO143 UNDEF_PIN
#endif</v>
      </c>
      <c r="E142" s="4" t="str">
        <f t="shared" si="29"/>
        <v>#if DIN13 &gt;= 0
    case DIN13:
        return (mcu_get_input(DIN13) != 0);
#endif</v>
      </c>
      <c r="F142" s="4" t="str">
        <f t="shared" si="30"/>
        <v>| 143 | DIO143 | DIN13 |</v>
      </c>
      <c r="G142" s="4"/>
    </row>
    <row r="143" spans="1:7" ht="14.2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 t="str">
        <f t="shared" si="21"/>
        <v>#ifndef DIN14
#define DIN14 UNDEF_PIN
#ifdef DIO144
#undef DIO144
#endif
#define DIO144 UNDEF_PIN
#endif</v>
      </c>
      <c r="E143" s="4" t="str">
        <f t="shared" si="29"/>
        <v>#if DIN14 &gt;= 0
    case DIN14:
        return (mcu_get_input(DIN14) != 0);
#endif</v>
      </c>
      <c r="F143" s="4" t="str">
        <f t="shared" si="30"/>
        <v>| 144 | DIO144 | DIN14 |</v>
      </c>
      <c r="G143" s="4"/>
    </row>
    <row r="144" spans="1:7" ht="14.2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 t="str">
        <f t="shared" si="21"/>
        <v>#ifndef DIN15
#define DIN15 UNDEF_PIN
#ifdef DIO145
#undef DIO145
#endif
#define DIO145 UNDEF_PIN
#endif</v>
      </c>
      <c r="E144" s="4" t="str">
        <f t="shared" si="29"/>
        <v>#if DIN15 &gt;= 0
    case DIN15:
        return (mcu_get_input(DIN15) != 0);
#endif</v>
      </c>
      <c r="F144" s="4" t="str">
        <f t="shared" si="30"/>
        <v>| 145 | DIO145 | DIN15 |</v>
      </c>
      <c r="G144" s="4"/>
    </row>
    <row r="145" spans="1:7" ht="14.2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 t="str">
        <f t="shared" si="21"/>
        <v>#ifndef DIN16
#define DIN16 UNDEF_PIN
#ifdef DIO146
#undef DIO146
#endif
#define DIO146 UNDEF_PIN
#endif</v>
      </c>
      <c r="E145" s="4" t="str">
        <f t="shared" si="29"/>
        <v>#if DIN16 &gt;= 0
    case DIN16:
        return (mcu_get_input(DIN16) != 0);
#endif</v>
      </c>
      <c r="F145" s="4" t="str">
        <f t="shared" si="30"/>
        <v>| 146 | DIO146 | DIN16 |</v>
      </c>
      <c r="G145" s="4"/>
    </row>
    <row r="146" spans="1:7" ht="14.2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 t="str">
        <f t="shared" si="21"/>
        <v>#ifndef DIN17
#define DIN17 UNDEF_PIN
#ifdef DIO147
#undef DIO147
#endif
#define DIO147 UNDEF_PIN
#endif</v>
      </c>
      <c r="E146" s="4" t="str">
        <f t="shared" si="29"/>
        <v>#if DIN17 &gt;= 0
    case DIN17:
        return (mcu_get_input(DIN17) != 0);
#endif</v>
      </c>
      <c r="F146" s="4" t="str">
        <f t="shared" si="30"/>
        <v>| 147 | DIO147 | DIN17 |</v>
      </c>
      <c r="G146" s="4"/>
    </row>
    <row r="147" spans="1:7" ht="14.2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 t="str">
        <f t="shared" si="21"/>
        <v>#ifndef DIN18
#define DIN18 UNDEF_PIN
#ifdef DIO148
#undef DIO148
#endif
#define DIO148 UNDEF_PIN
#endif</v>
      </c>
      <c r="E147" s="4" t="str">
        <f t="shared" si="29"/>
        <v>#if DIN18 &gt;= 0
    case DIN18:
        return (mcu_get_input(DIN18) != 0);
#endif</v>
      </c>
      <c r="F147" s="4" t="str">
        <f t="shared" si="30"/>
        <v>| 148 | DIO148 | DIN18 |</v>
      </c>
      <c r="G147" s="4"/>
    </row>
    <row r="148" spans="1:7" ht="14.2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 t="str">
        <f t="shared" si="21"/>
        <v>#ifndef DIN19
#define DIN19 UNDEF_PIN
#ifdef DIO149
#undef DIO149
#endif
#define DIO149 UNDEF_PIN
#endif</v>
      </c>
      <c r="E148" s="4" t="str">
        <f t="shared" si="29"/>
        <v>#if DIN19 &gt;= 0
    case DIN19:
        return (mcu_get_input(DIN19) != 0);
#endif</v>
      </c>
      <c r="F148" s="4" t="str">
        <f t="shared" si="30"/>
        <v>| 149 | DIO149 | DIN19 |</v>
      </c>
      <c r="G148" s="4"/>
    </row>
    <row r="149" spans="1:7" ht="14.2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 t="str">
        <f t="shared" si="21"/>
        <v>#ifndef DIN20
#define DIN20 UNDEF_PIN
#ifdef DIO150
#undef DIO150
#endif
#define DIO150 UNDEF_PIN
#endif</v>
      </c>
      <c r="E149" s="4" t="str">
        <f t="shared" si="29"/>
        <v>#if DIN20 &gt;= 0
    case DIN20:
        return (mcu_get_input(DIN20) != 0);
#endif</v>
      </c>
      <c r="F149" s="4" t="str">
        <f t="shared" si="30"/>
        <v>| 150 | DIO150 | DIN20 |</v>
      </c>
      <c r="G149" s="4"/>
    </row>
    <row r="150" spans="1:7" ht="14.2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 t="str">
        <f t="shared" ref="D150:D190" si="31">"#ifndef "&amp;C150&amp;"
#define "&amp;C150&amp;" UNDEF_PIN
#ifdef "&amp;B150&amp;"
#undef "&amp;B150&amp;"
#endif
#define "&amp;B150&amp;" UNDEF_PIN
#endif"</f>
        <v>#ifndef DIN21
#define DIN21 UNDEF_PIN
#ifdef DIO151
#undef DIO151
#endif
#define DIO151 UNDEF_PIN
#endif</v>
      </c>
      <c r="E150" s="4" t="str">
        <f t="shared" si="29"/>
        <v>#if DIN21 &gt;= 0
    case DIN21:
        return (mcu_get_input(DIN21) != 0);
#endif</v>
      </c>
      <c r="F150" s="4" t="str">
        <f t="shared" si="30"/>
        <v>| 151 | DIO151 | DIN21 |</v>
      </c>
      <c r="G150" s="4"/>
    </row>
    <row r="151" spans="1:7" ht="14.2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 t="str">
        <f t="shared" si="31"/>
        <v>#ifndef DIN22
#define DIN22 UNDEF_PIN
#ifdef DIO152
#undef DIO152
#endif
#define DIO152 UNDEF_PIN
#endif</v>
      </c>
      <c r="E151" s="4" t="str">
        <f t="shared" si="29"/>
        <v>#if DIN22 &gt;= 0
    case DIN22:
        return (mcu_get_input(DIN22) != 0);
#endif</v>
      </c>
      <c r="F151" s="4" t="str">
        <f t="shared" si="30"/>
        <v>| 152 | DIO152 | DIN22 |</v>
      </c>
      <c r="G151" s="4"/>
    </row>
    <row r="152" spans="1:7" ht="14.2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 t="str">
        <f t="shared" si="31"/>
        <v>#ifndef DIN23
#define DIN23 UNDEF_PIN
#ifdef DIO153
#undef DIO153
#endif
#define DIO153 UNDEF_PIN
#endif</v>
      </c>
      <c r="E152" s="4" t="str">
        <f t="shared" si="29"/>
        <v>#if DIN23 &gt;= 0
    case DIN23:
        return (mcu_get_input(DIN23) != 0);
#endif</v>
      </c>
      <c r="F152" s="4" t="str">
        <f t="shared" si="30"/>
        <v>| 153 | DIO153 | DIN23 |</v>
      </c>
      <c r="G152" s="4"/>
    </row>
    <row r="153" spans="1:7" ht="14.2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 t="str">
        <f t="shared" si="31"/>
        <v>#ifndef DIN24
#define DIN24 UNDEF_PIN
#ifdef DIO154
#undef DIO154
#endif
#define DIO154 UNDEF_PIN
#endif</v>
      </c>
      <c r="E153" s="4" t="str">
        <f t="shared" si="29"/>
        <v>#if DIN24 &gt;= 0
    case DIN24:
        return (mcu_get_input(DIN24) != 0);
#endif</v>
      </c>
      <c r="F153" s="4" t="str">
        <f t="shared" si="30"/>
        <v>| 154 | DIO154 | DIN24 |</v>
      </c>
      <c r="G153" s="4"/>
    </row>
    <row r="154" spans="1:7" ht="14.2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 t="str">
        <f t="shared" si="31"/>
        <v>#ifndef DIN25
#define DIN25 UNDEF_PIN
#ifdef DIO155
#undef DIO155
#endif
#define DIO155 UNDEF_PIN
#endif</v>
      </c>
      <c r="E154" s="4" t="str">
        <f t="shared" si="29"/>
        <v>#if DIN25 &gt;= 0
    case DIN25:
        return (mcu_get_input(DIN25) != 0);
#endif</v>
      </c>
      <c r="F154" s="4" t="str">
        <f t="shared" si="30"/>
        <v>| 155 | DIO155 | DIN25 |</v>
      </c>
      <c r="G154" s="4"/>
    </row>
    <row r="155" spans="1:7" ht="14.2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 t="str">
        <f t="shared" si="31"/>
        <v>#ifndef DIN26
#define DIN26 UNDEF_PIN
#ifdef DIO156
#undef DIO156
#endif
#define DIO156 UNDEF_PIN
#endif</v>
      </c>
      <c r="E155" s="4" t="str">
        <f t="shared" si="29"/>
        <v>#if DIN26 &gt;= 0
    case DIN26:
        return (mcu_get_input(DIN26) != 0);
#endif</v>
      </c>
      <c r="F155" s="4" t="str">
        <f t="shared" si="30"/>
        <v>| 156 | DIO156 | DIN26 |</v>
      </c>
      <c r="G155" s="4"/>
    </row>
    <row r="156" spans="1:7" ht="14.2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 t="str">
        <f t="shared" si="31"/>
        <v>#ifndef DIN27
#define DIN27 UNDEF_PIN
#ifdef DIO157
#undef DIO157
#endif
#define DIO157 UNDEF_PIN
#endif</v>
      </c>
      <c r="E156" s="4" t="str">
        <f t="shared" si="29"/>
        <v>#if DIN27 &gt;= 0
    case DIN27:
        return (mcu_get_input(DIN27) != 0);
#endif</v>
      </c>
      <c r="F156" s="4" t="str">
        <f t="shared" si="30"/>
        <v>| 157 | DIO157 | DIN27 |</v>
      </c>
      <c r="G156" s="4"/>
    </row>
    <row r="157" spans="1:7" ht="14.2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 t="str">
        <f t="shared" si="31"/>
        <v>#ifndef DIN28
#define DIN28 UNDEF_PIN
#ifdef DIO158
#undef DIO158
#endif
#define DIO158 UNDEF_PIN
#endif</v>
      </c>
      <c r="E157" s="4" t="str">
        <f t="shared" si="29"/>
        <v>#if DIN28 &gt;= 0
    case DIN28:
        return (mcu_get_input(DIN28) != 0);
#endif</v>
      </c>
      <c r="F157" s="4" t="str">
        <f t="shared" si="30"/>
        <v>| 158 | DIO158 | DIN28 |</v>
      </c>
      <c r="G157" s="4"/>
    </row>
    <row r="158" spans="1:7" ht="14.2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 t="str">
        <f t="shared" si="31"/>
        <v>#ifndef DIN29
#define DIN29 UNDEF_PIN
#ifdef DIO159
#undef DIO159
#endif
#define DIO159 UNDEF_PIN
#endif</v>
      </c>
      <c r="E158" s="4" t="str">
        <f t="shared" si="29"/>
        <v>#if DIN29 &gt;= 0
    case DIN29:
        return (mcu_get_input(DIN29) != 0);
#endif</v>
      </c>
      <c r="F158" s="4" t="str">
        <f t="shared" si="30"/>
        <v>| 159 | DIO159 | DIN29 |</v>
      </c>
      <c r="G158" s="4"/>
    </row>
    <row r="159" spans="1:7" ht="14.2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 t="str">
        <f t="shared" si="31"/>
        <v>#ifndef DIN30
#define DIN30 UNDEF_PIN
#ifdef DIO160
#undef DIO160
#endif
#define DIO160 UNDEF_PIN
#endif</v>
      </c>
      <c r="E159" s="4" t="str">
        <f t="shared" si="29"/>
        <v>#if DIN30 &gt;= 0
    case DIN30:
        return (mcu_get_input(DIN30) != 0);
#endif</v>
      </c>
      <c r="F159" s="4" t="str">
        <f t="shared" si="30"/>
        <v>| 160 | DIO160 | DIN30 |</v>
      </c>
      <c r="G159" s="4"/>
    </row>
    <row r="160" spans="1:7" ht="14.2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 t="str">
        <f t="shared" si="31"/>
        <v>#ifndef DIN31
#define DIN31 UNDEF_PIN
#ifdef DIO161
#undef DIO161
#endif
#define DIO161 UNDEF_PIN
#endif</v>
      </c>
      <c r="E160" s="4" t="str">
        <f t="shared" si="29"/>
        <v>#if DIN31 &gt;= 0
    case DIN31:
        return (mcu_get_input(DIN31) != 0);
#endif</v>
      </c>
      <c r="F160" s="4" t="str">
        <f t="shared" si="30"/>
        <v>| 161 | DIO161 | DIN31 |</v>
      </c>
      <c r="G160" s="4"/>
    </row>
    <row r="161" spans="1:7" ht="14.25" customHeight="1" x14ac:dyDescent="0.25">
      <c r="A161" s="4">
        <v>162</v>
      </c>
      <c r="B161" s="4" t="str">
        <f t="shared" ref="B161:B178" si="32">"DIO"&amp;A161</f>
        <v>DIO162</v>
      </c>
      <c r="C161" s="5" t="s">
        <v>545</v>
      </c>
      <c r="D161" s="4" t="str">
        <f t="shared" ref="D161:D178" si="33">"#ifndef "&amp;C161&amp;"
#define "&amp;C161&amp;" UNDEF_PIN
#ifdef "&amp;B161&amp;"
#undef "&amp;B161&amp;"
#endif
#define "&amp;B161&amp;" UNDEF_PIN
#endif"</f>
        <v>#ifndef DIN32
#define DIN32 UNDEF_PIN
#ifdef DIO162
#undef DIO162
#endif
#define DIO162 UNDEF_PIN
#endif</v>
      </c>
      <c r="E161" s="4" t="str">
        <f t="shared" ref="E161:E178" si="34">"#if "&amp;C161&amp;" &gt;= 0
    case "&amp;C161&amp;":
        return (mcu_get_input("&amp;C161&amp;") != 0);
#endif"</f>
        <v>#if DIN32 &gt;= 0
    case DIN32:
        return (mcu_get_input(DIN32) != 0);
#endif</v>
      </c>
      <c r="F161" s="4" t="str">
        <f t="shared" ref="F161:F178" si="35">"| "&amp;A161&amp;" | "&amp;B161&amp;" | "&amp;C161&amp;" |"</f>
        <v>| 162 | DIO162 | DIN32 |</v>
      </c>
      <c r="G161" s="4"/>
    </row>
    <row r="162" spans="1:7" ht="14.25" customHeight="1" x14ac:dyDescent="0.25">
      <c r="A162" s="4">
        <v>163</v>
      </c>
      <c r="B162" s="4" t="str">
        <f t="shared" si="32"/>
        <v>DIO163</v>
      </c>
      <c r="C162" s="5" t="s">
        <v>546</v>
      </c>
      <c r="D162" s="4" t="str">
        <f t="shared" si="33"/>
        <v>#ifndef DIN33
#define DIN33 UNDEF_PIN
#ifdef DIO163
#undef DIO163
#endif
#define DIO163 UNDEF_PIN
#endif</v>
      </c>
      <c r="E162" s="4" t="str">
        <f t="shared" si="34"/>
        <v>#if DIN33 &gt;= 0
    case DIN33:
        return (mcu_get_input(DIN33) != 0);
#endif</v>
      </c>
      <c r="F162" s="4" t="str">
        <f t="shared" si="35"/>
        <v>| 163 | DIO163 | DIN33 |</v>
      </c>
      <c r="G162" s="4"/>
    </row>
    <row r="163" spans="1:7" ht="14.25" customHeight="1" x14ac:dyDescent="0.25">
      <c r="A163" s="4">
        <v>164</v>
      </c>
      <c r="B163" s="4" t="str">
        <f t="shared" si="32"/>
        <v>DIO164</v>
      </c>
      <c r="C163" s="5" t="s">
        <v>547</v>
      </c>
      <c r="D163" s="4" t="str">
        <f t="shared" si="33"/>
        <v>#ifndef DIN34
#define DIN34 UNDEF_PIN
#ifdef DIO164
#undef DIO164
#endif
#define DIO164 UNDEF_PIN
#endif</v>
      </c>
      <c r="E163" s="4" t="str">
        <f t="shared" si="34"/>
        <v>#if DIN34 &gt;= 0
    case DIN34:
        return (mcu_get_input(DIN34) != 0);
#endif</v>
      </c>
      <c r="F163" s="4" t="str">
        <f t="shared" si="35"/>
        <v>| 164 | DIO164 | DIN34 |</v>
      </c>
      <c r="G163" s="4"/>
    </row>
    <row r="164" spans="1:7" ht="14.25" customHeight="1" x14ac:dyDescent="0.25">
      <c r="A164" s="4">
        <v>165</v>
      </c>
      <c r="B164" s="4" t="str">
        <f t="shared" si="32"/>
        <v>DIO165</v>
      </c>
      <c r="C164" s="5" t="s">
        <v>548</v>
      </c>
      <c r="D164" s="4" t="str">
        <f t="shared" si="33"/>
        <v>#ifndef DIN35
#define DIN35 UNDEF_PIN
#ifdef DIO165
#undef DIO165
#endif
#define DIO165 UNDEF_PIN
#endif</v>
      </c>
      <c r="E164" s="4" t="str">
        <f t="shared" si="34"/>
        <v>#if DIN35 &gt;= 0
    case DIN35:
        return (mcu_get_input(DIN35) != 0);
#endif</v>
      </c>
      <c r="F164" s="4" t="str">
        <f t="shared" si="35"/>
        <v>| 165 | DIO165 | DIN35 |</v>
      </c>
      <c r="G164" s="4"/>
    </row>
    <row r="165" spans="1:7" ht="14.25" customHeight="1" x14ac:dyDescent="0.25">
      <c r="A165" s="4">
        <v>166</v>
      </c>
      <c r="B165" s="4" t="str">
        <f t="shared" si="32"/>
        <v>DIO166</v>
      </c>
      <c r="C165" s="5" t="s">
        <v>549</v>
      </c>
      <c r="D165" s="4" t="str">
        <f t="shared" si="33"/>
        <v>#ifndef DIN36
#define DIN36 UNDEF_PIN
#ifdef DIO166
#undef DIO166
#endif
#define DIO166 UNDEF_PIN
#endif</v>
      </c>
      <c r="E165" s="4" t="str">
        <f t="shared" si="34"/>
        <v>#if DIN36 &gt;= 0
    case DIN36:
        return (mcu_get_input(DIN36) != 0);
#endif</v>
      </c>
      <c r="F165" s="4" t="str">
        <f t="shared" si="35"/>
        <v>| 166 | DIO166 | DIN36 |</v>
      </c>
      <c r="G165" s="4"/>
    </row>
    <row r="166" spans="1:7" ht="14.25" customHeight="1" x14ac:dyDescent="0.25">
      <c r="A166" s="4">
        <v>167</v>
      </c>
      <c r="B166" s="4" t="str">
        <f t="shared" si="32"/>
        <v>DIO167</v>
      </c>
      <c r="C166" s="5" t="s">
        <v>550</v>
      </c>
      <c r="D166" s="4" t="str">
        <f t="shared" si="33"/>
        <v>#ifndef DIN37
#define DIN37 UNDEF_PIN
#ifdef DIO167
#undef DIO167
#endif
#define DIO167 UNDEF_PIN
#endif</v>
      </c>
      <c r="E166" s="4" t="str">
        <f t="shared" si="34"/>
        <v>#if DIN37 &gt;= 0
    case DIN37:
        return (mcu_get_input(DIN37) != 0);
#endif</v>
      </c>
      <c r="F166" s="4" t="str">
        <f t="shared" si="35"/>
        <v>| 167 | DIO167 | DIN37 |</v>
      </c>
      <c r="G166" s="4"/>
    </row>
    <row r="167" spans="1:7" ht="14.25" customHeight="1" x14ac:dyDescent="0.25">
      <c r="A167" s="4">
        <v>168</v>
      </c>
      <c r="B167" s="4" t="str">
        <f t="shared" si="32"/>
        <v>DIO168</v>
      </c>
      <c r="C167" s="5" t="s">
        <v>551</v>
      </c>
      <c r="D167" s="4" t="str">
        <f t="shared" si="33"/>
        <v>#ifndef DIN38
#define DIN38 UNDEF_PIN
#ifdef DIO168
#undef DIO168
#endif
#define DIO168 UNDEF_PIN
#endif</v>
      </c>
      <c r="E167" s="4" t="str">
        <f t="shared" si="34"/>
        <v>#if DIN38 &gt;= 0
    case DIN38:
        return (mcu_get_input(DIN38) != 0);
#endif</v>
      </c>
      <c r="F167" s="4" t="str">
        <f t="shared" si="35"/>
        <v>| 168 | DIO168 | DIN38 |</v>
      </c>
      <c r="G167" s="4"/>
    </row>
    <row r="168" spans="1:7" ht="14.25" customHeight="1" x14ac:dyDescent="0.25">
      <c r="A168" s="4">
        <v>169</v>
      </c>
      <c r="B168" s="4" t="str">
        <f t="shared" si="32"/>
        <v>DIO169</v>
      </c>
      <c r="C168" s="5" t="s">
        <v>552</v>
      </c>
      <c r="D168" s="4" t="str">
        <f t="shared" si="33"/>
        <v>#ifndef DIN39
#define DIN39 UNDEF_PIN
#ifdef DIO169
#undef DIO169
#endif
#define DIO169 UNDEF_PIN
#endif</v>
      </c>
      <c r="E168" s="4" t="str">
        <f t="shared" si="34"/>
        <v>#if DIN39 &gt;= 0
    case DIN39:
        return (mcu_get_input(DIN39) != 0);
#endif</v>
      </c>
      <c r="F168" s="4" t="str">
        <f t="shared" si="35"/>
        <v>| 169 | DIO169 | DIN39 |</v>
      </c>
      <c r="G168" s="4"/>
    </row>
    <row r="169" spans="1:7" ht="14.25" customHeight="1" x14ac:dyDescent="0.25">
      <c r="A169" s="4">
        <v>170</v>
      </c>
      <c r="B169" s="4" t="str">
        <f t="shared" si="32"/>
        <v>DIO170</v>
      </c>
      <c r="C169" s="5" t="s">
        <v>553</v>
      </c>
      <c r="D169" s="4" t="str">
        <f t="shared" si="33"/>
        <v>#ifndef DIN40
#define DIN40 UNDEF_PIN
#ifdef DIO170
#undef DIO170
#endif
#define DIO170 UNDEF_PIN
#endif</v>
      </c>
      <c r="E169" s="4" t="str">
        <f t="shared" si="34"/>
        <v>#if DIN40 &gt;= 0
    case DIN40:
        return (mcu_get_input(DIN40) != 0);
#endif</v>
      </c>
      <c r="F169" s="4" t="str">
        <f t="shared" si="35"/>
        <v>| 170 | DIO170 | DIN40 |</v>
      </c>
      <c r="G169" s="4"/>
    </row>
    <row r="170" spans="1:7" ht="14.25" customHeight="1" x14ac:dyDescent="0.25">
      <c r="A170" s="4">
        <v>171</v>
      </c>
      <c r="B170" s="4" t="str">
        <f t="shared" si="32"/>
        <v>DIO171</v>
      </c>
      <c r="C170" s="5" t="s">
        <v>554</v>
      </c>
      <c r="D170" s="4" t="str">
        <f t="shared" si="33"/>
        <v>#ifndef DIN41
#define DIN41 UNDEF_PIN
#ifdef DIO171
#undef DIO171
#endif
#define DIO171 UNDEF_PIN
#endif</v>
      </c>
      <c r="E170" s="4" t="str">
        <f t="shared" si="34"/>
        <v>#if DIN41 &gt;= 0
    case DIN41:
        return (mcu_get_input(DIN41) != 0);
#endif</v>
      </c>
      <c r="F170" s="4" t="str">
        <f t="shared" si="35"/>
        <v>| 171 | DIO171 | DIN41 |</v>
      </c>
      <c r="G170" s="4"/>
    </row>
    <row r="171" spans="1:7" ht="14.25" customHeight="1" x14ac:dyDescent="0.25">
      <c r="A171" s="4">
        <v>172</v>
      </c>
      <c r="B171" s="4" t="str">
        <f t="shared" si="32"/>
        <v>DIO172</v>
      </c>
      <c r="C171" s="5" t="s">
        <v>555</v>
      </c>
      <c r="D171" s="4" t="str">
        <f t="shared" si="33"/>
        <v>#ifndef DIN42
#define DIN42 UNDEF_PIN
#ifdef DIO172
#undef DIO172
#endif
#define DIO172 UNDEF_PIN
#endif</v>
      </c>
      <c r="E171" s="4" t="str">
        <f t="shared" si="34"/>
        <v>#if DIN42 &gt;= 0
    case DIN42:
        return (mcu_get_input(DIN42) != 0);
#endif</v>
      </c>
      <c r="F171" s="4" t="str">
        <f t="shared" si="35"/>
        <v>| 172 | DIO172 | DIN42 |</v>
      </c>
      <c r="G171" s="4"/>
    </row>
    <row r="172" spans="1:7" ht="14.25" customHeight="1" x14ac:dyDescent="0.25">
      <c r="A172" s="4">
        <v>173</v>
      </c>
      <c r="B172" s="4" t="str">
        <f t="shared" si="32"/>
        <v>DIO173</v>
      </c>
      <c r="C172" s="5" t="s">
        <v>556</v>
      </c>
      <c r="D172" s="4" t="str">
        <f t="shared" si="33"/>
        <v>#ifndef DIN43
#define DIN43 UNDEF_PIN
#ifdef DIO173
#undef DIO173
#endif
#define DIO173 UNDEF_PIN
#endif</v>
      </c>
      <c r="E172" s="4" t="str">
        <f t="shared" si="34"/>
        <v>#if DIN43 &gt;= 0
    case DIN43:
        return (mcu_get_input(DIN43) != 0);
#endif</v>
      </c>
      <c r="F172" s="4" t="str">
        <f t="shared" si="35"/>
        <v>| 173 | DIO173 | DIN43 |</v>
      </c>
      <c r="G172" s="4"/>
    </row>
    <row r="173" spans="1:7" ht="14.25" customHeight="1" x14ac:dyDescent="0.25">
      <c r="A173" s="4">
        <v>174</v>
      </c>
      <c r="B173" s="4" t="str">
        <f t="shared" si="32"/>
        <v>DIO174</v>
      </c>
      <c r="C173" s="5" t="s">
        <v>557</v>
      </c>
      <c r="D173" s="4" t="str">
        <f t="shared" si="33"/>
        <v>#ifndef DIN44
#define DIN44 UNDEF_PIN
#ifdef DIO174
#undef DIO174
#endif
#define DIO174 UNDEF_PIN
#endif</v>
      </c>
      <c r="E173" s="4" t="str">
        <f t="shared" si="34"/>
        <v>#if DIN44 &gt;= 0
    case DIN44:
        return (mcu_get_input(DIN44) != 0);
#endif</v>
      </c>
      <c r="F173" s="4" t="str">
        <f t="shared" si="35"/>
        <v>| 174 | DIO174 | DIN44 |</v>
      </c>
      <c r="G173" s="4"/>
    </row>
    <row r="174" spans="1:7" ht="14.25" customHeight="1" x14ac:dyDescent="0.25">
      <c r="A174" s="4">
        <v>175</v>
      </c>
      <c r="B174" s="4" t="str">
        <f t="shared" si="32"/>
        <v>DIO175</v>
      </c>
      <c r="C174" s="5" t="s">
        <v>558</v>
      </c>
      <c r="D174" s="4" t="str">
        <f t="shared" si="33"/>
        <v>#ifndef DIN45
#define DIN45 UNDEF_PIN
#ifdef DIO175
#undef DIO175
#endif
#define DIO175 UNDEF_PIN
#endif</v>
      </c>
      <c r="E174" s="4" t="str">
        <f t="shared" si="34"/>
        <v>#if DIN45 &gt;= 0
    case DIN45:
        return (mcu_get_input(DIN45) != 0);
#endif</v>
      </c>
      <c r="F174" s="4" t="str">
        <f t="shared" si="35"/>
        <v>| 175 | DIO175 | DIN45 |</v>
      </c>
      <c r="G174" s="4"/>
    </row>
    <row r="175" spans="1:7" ht="14.25" customHeight="1" x14ac:dyDescent="0.25">
      <c r="A175" s="4">
        <v>176</v>
      </c>
      <c r="B175" s="4" t="str">
        <f t="shared" si="32"/>
        <v>DIO176</v>
      </c>
      <c r="C175" s="5" t="s">
        <v>559</v>
      </c>
      <c r="D175" s="4" t="str">
        <f t="shared" si="33"/>
        <v>#ifndef DIN46
#define DIN46 UNDEF_PIN
#ifdef DIO176
#undef DIO176
#endif
#define DIO176 UNDEF_PIN
#endif</v>
      </c>
      <c r="E175" s="4" t="str">
        <f t="shared" si="34"/>
        <v>#if DIN46 &gt;= 0
    case DIN46:
        return (mcu_get_input(DIN46) != 0);
#endif</v>
      </c>
      <c r="F175" s="4" t="str">
        <f t="shared" si="35"/>
        <v>| 176 | DIO176 | DIN46 |</v>
      </c>
      <c r="G175" s="4"/>
    </row>
    <row r="176" spans="1:7" ht="14.25" customHeight="1" x14ac:dyDescent="0.25">
      <c r="A176" s="4">
        <v>177</v>
      </c>
      <c r="B176" s="4" t="str">
        <f t="shared" si="32"/>
        <v>DIO177</v>
      </c>
      <c r="C176" s="5" t="s">
        <v>560</v>
      </c>
      <c r="D176" s="4" t="str">
        <f t="shared" si="33"/>
        <v>#ifndef DIN47
#define DIN47 UNDEF_PIN
#ifdef DIO177
#undef DIO177
#endif
#define DIO177 UNDEF_PIN
#endif</v>
      </c>
      <c r="E176" s="4" t="str">
        <f t="shared" si="34"/>
        <v>#if DIN47 &gt;= 0
    case DIN47:
        return (mcu_get_input(DIN47) != 0);
#endif</v>
      </c>
      <c r="F176" s="4" t="str">
        <f t="shared" si="35"/>
        <v>| 177 | DIO177 | DIN47 |</v>
      </c>
      <c r="G176" s="4"/>
    </row>
    <row r="177" spans="1:7" ht="14.25" customHeight="1" x14ac:dyDescent="0.25">
      <c r="A177" s="4">
        <v>178</v>
      </c>
      <c r="B177" s="4" t="str">
        <f t="shared" si="32"/>
        <v>DIO178</v>
      </c>
      <c r="C177" s="5" t="s">
        <v>561</v>
      </c>
      <c r="D177" s="4" t="str">
        <f t="shared" si="33"/>
        <v>#ifndef DIN48
#define DIN48 UNDEF_PIN
#ifdef DIO178
#undef DIO178
#endif
#define DIO178 UNDEF_PIN
#endif</v>
      </c>
      <c r="E177" s="4" t="str">
        <f t="shared" si="34"/>
        <v>#if DIN48 &gt;= 0
    case DIN48:
        return (mcu_get_input(DIN48) != 0);
#endif</v>
      </c>
      <c r="F177" s="4" t="str">
        <f t="shared" si="35"/>
        <v>| 178 | DIO178 | DIN48 |</v>
      </c>
      <c r="G177" s="4"/>
    </row>
    <row r="178" spans="1:7" ht="14.25" customHeight="1" x14ac:dyDescent="0.25">
      <c r="A178" s="4">
        <v>179</v>
      </c>
      <c r="B178" s="4" t="str">
        <f t="shared" si="32"/>
        <v>DIO179</v>
      </c>
      <c r="C178" s="5" t="s">
        <v>562</v>
      </c>
      <c r="D178" s="4" t="str">
        <f t="shared" si="33"/>
        <v>#ifndef DIN49
#define DIN49 UNDEF_PIN
#ifdef DIO179
#undef DIO179
#endif
#define DIO179 UNDEF_PIN
#endif</v>
      </c>
      <c r="E178" s="4" t="str">
        <f t="shared" si="34"/>
        <v>#if DIN49 &gt;= 0
    case DIN49:
        return (mcu_get_input(DIN49) != 0);
#endif</v>
      </c>
      <c r="F178" s="4" t="str">
        <f t="shared" si="35"/>
        <v>| 179 | DIO179 | DIN49 |</v>
      </c>
      <c r="G178" s="4"/>
    </row>
    <row r="179" spans="1:7" ht="14.2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 t="str">
        <f t="shared" si="31"/>
        <v>#ifndef TX
#define TX UNDEF_PIN
#ifdef DIO200
#undef DIO200
#endif
#define DIO200 UNDEF_PIN
#endif</v>
      </c>
      <c r="E179" s="4"/>
      <c r="F179" s="4" t="str">
        <f t="shared" si="30"/>
        <v>| 200 | DIO200 | TX |</v>
      </c>
      <c r="G179" s="4"/>
    </row>
    <row r="180" spans="1:7" ht="14.2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 t="str">
        <f t="shared" si="31"/>
        <v>#ifndef RX
#define RX UNDEF_PIN
#ifdef DIO201
#undef DIO201
#endif
#define DIO201 UNDEF_PIN
#endif</v>
      </c>
      <c r="E180" s="4"/>
      <c r="F180" s="4" t="str">
        <f t="shared" si="30"/>
        <v>| 201 | DIO201 | RX |</v>
      </c>
      <c r="G180" s="4"/>
    </row>
    <row r="181" spans="1:7" ht="14.2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 t="str">
        <f t="shared" si="31"/>
        <v>#ifndef USB_DM
#define USB_DM UNDEF_PIN
#ifdef DIO202
#undef DIO202
#endif
#define DIO202 UNDEF_PIN
#endif</v>
      </c>
      <c r="E181" s="4"/>
      <c r="F181" s="4" t="str">
        <f t="shared" si="30"/>
        <v>| 202 | DIO202 | USB_DM |</v>
      </c>
      <c r="G181" s="4"/>
    </row>
    <row r="182" spans="1:7" ht="14.25" customHeight="1" x14ac:dyDescent="0.25">
      <c r="A182" s="4">
        <v>203</v>
      </c>
      <c r="B182" s="4" t="str">
        <f t="shared" si="0"/>
        <v>DIO203</v>
      </c>
      <c r="C182" s="4" t="s">
        <v>108</v>
      </c>
      <c r="D182" s="4" t="str">
        <f t="shared" si="31"/>
        <v>#ifndef USB_DP
#define USB_DP UNDEF_PIN
#ifdef DIO203
#undef DIO203
#endif
#define DIO203 UNDEF_PIN
#endif</v>
      </c>
      <c r="E182" s="4"/>
      <c r="F182" s="4" t="str">
        <f t="shared" si="30"/>
        <v>| 203 | DIO203 | USB_DP |</v>
      </c>
      <c r="G182" s="4"/>
    </row>
    <row r="183" spans="1:7" ht="14.2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 t="str">
        <f t="shared" si="31"/>
        <v>#ifndef SPI_CLK
#define SPI_CLK UNDEF_PIN
#ifdef DIO204
#undef DIO204
#endif
#define DIO204 UNDEF_PIN
#endif</v>
      </c>
      <c r="E183" s="4"/>
      <c r="F183" s="4" t="str">
        <f t="shared" si="30"/>
        <v>| 204 | DIO204 | SPI_CLK |</v>
      </c>
      <c r="G183" s="4"/>
    </row>
    <row r="184" spans="1:7" ht="14.25" customHeight="1" x14ac:dyDescent="0.25">
      <c r="A184" s="4">
        <v>205</v>
      </c>
      <c r="B184" s="4" t="str">
        <f t="shared" ref="B184:B190" si="36">"DIO"&amp;A184</f>
        <v>DIO205</v>
      </c>
      <c r="C184" s="4" t="s">
        <v>224</v>
      </c>
      <c r="D184" s="4" t="str">
        <f t="shared" si="31"/>
        <v>#ifndef SPI_SDI
#define SPI_SDI UNDEF_PIN
#ifdef DIO205
#undef DIO205
#endif
#define DIO205 UNDEF_PIN
#endif</v>
      </c>
      <c r="E184" s="4"/>
      <c r="F184" s="4" t="str">
        <f t="shared" si="30"/>
        <v>| 205 | DIO205 | SPI_SDI |</v>
      </c>
      <c r="G184" s="4"/>
    </row>
    <row r="185" spans="1:7" ht="14.25" customHeight="1" x14ac:dyDescent="0.25">
      <c r="A185" s="4">
        <v>206</v>
      </c>
      <c r="B185" s="4" t="str">
        <f t="shared" si="36"/>
        <v>DIO206</v>
      </c>
      <c r="C185" s="4" t="s">
        <v>225</v>
      </c>
      <c r="D185" s="4" t="str">
        <f t="shared" si="31"/>
        <v>#ifndef SPI_SDO
#define SPI_SDO UNDEF_PIN
#ifdef DIO206
#undef DIO206
#endif
#define DIO206 UNDEF_PIN
#endif</v>
      </c>
      <c r="E185" s="4"/>
      <c r="F185" s="4" t="str">
        <f t="shared" si="30"/>
        <v>| 206 | DIO206 | SPI_SDO |</v>
      </c>
      <c r="G185" s="4"/>
    </row>
    <row r="186" spans="1:7" ht="14.25" customHeight="1" x14ac:dyDescent="0.25">
      <c r="A186" s="4">
        <v>207</v>
      </c>
      <c r="B186" s="4" t="str">
        <f t="shared" si="36"/>
        <v>DIO207</v>
      </c>
      <c r="C186" s="4" t="s">
        <v>459</v>
      </c>
      <c r="D186" s="4" t="str">
        <f t="shared" si="31"/>
        <v>#ifndef SPI_CS
#define SPI_CS UNDEF_PIN
#ifdef DIO207
#undef DIO207
#endif
#define DIO207 UNDEF_PIN
#endif</v>
      </c>
      <c r="E186" s="4" t="str">
        <f t="shared" ref="E186" si="37">"#if "&amp;C186&amp;" &gt;= 0
    case "&amp;C186&amp;":
        return (mcu_get_output("&amp;C186&amp;") != 0);
#endif"</f>
        <v>#if SPI_CS &gt;= 0
    case SPI_CS:
        return (mcu_get_output(SPI_CS) != 0);
#endif</v>
      </c>
      <c r="F186" s="4" t="str">
        <f t="shared" si="30"/>
        <v>| 207 | DIO207 | SPI_CS |</v>
      </c>
      <c r="G186" s="4" t="str">
        <f t="shared" ref="G186:G194" si="38">"#ifndef "&amp;C186&amp;"_IO_OFFSET
#define "&amp;C186&amp;"_IO_OFFSET -1
#define "&amp;B186&amp;"_IO_OFFSET -1
#else
#define "&amp;B186&amp;"_IO_OFFSET "&amp;C186&amp;"_IO_OFFSET
#ifdef "&amp;C186&amp;"
#undef "&amp;C186&amp;"
#endif
#ifdef "&amp;B186&amp;"
#undef "&amp;B186&amp;"
#endif
#define "&amp;C186&amp;" "&amp;A186&amp;"
#define "&amp;C186&amp;" -"&amp;A186&amp;"
#define "&amp;C186&amp;"_IO_BYTEOFFSET ("&amp;C186&amp;"_IO_OFFSET &gt;&gt; 3)
#define "&amp;C186&amp;"_IO_BITMASK (1 &lt;&lt; ("&amp;C186&amp;"_IO_OFFSET &amp; 0x7))
#define "&amp;B186&amp;"_IO_BYTEOFFSET "&amp;C186&amp;"_IO_BYTEOFFSET
#define "&amp;B186&amp;"_IO_BITMASK "&amp;C186&amp;"_IO_BITMASK
#ifndef IC74HC595_HAS_DOUTS
#define IC74HC595_HAS_DOUTS
#endif
#endif"</f>
        <v>#ifndef SPI_CS_IO_OFFSET
#define SPI_CS_IO_OFFSET -1
#define DIO207_IO_OFFSET -1
#else
#define DIO207_IO_OFFSET SPI_CS_IO_OFFSET
#ifdef SPI_CS
#undef SPI_CS
#endif
#ifdef DIO207
#undef DIO207
#endif
#define SPI_CS 207
#define SPI_CS -207
#define SPI_CS_IO_BYTEOFFSET (SPI_CS_IO_OFFSET &gt;&gt; 3)
#define SPI_CS_IO_BITMASK (1 &lt;&lt; (SPI_CS_IO_OFFSET &amp; 0x7))
#define DIO207_IO_BYTEOFFSET SPI_CS_IO_BYTEOFFSET
#define DIO207_IO_BITMASK SPI_CS_IO_BITMASK
#ifndef IC74HC595_HAS_DOUTS
#define IC74HC595_HAS_DOUTS
#endif
#endif</v>
      </c>
    </row>
    <row r="187" spans="1:7" ht="14.25" customHeight="1" x14ac:dyDescent="0.25">
      <c r="A187" s="4">
        <v>208</v>
      </c>
      <c r="B187" s="4" t="str">
        <f t="shared" si="36"/>
        <v>DIO208</v>
      </c>
      <c r="C187" s="4" t="s">
        <v>237</v>
      </c>
      <c r="D187" s="4" t="str">
        <f t="shared" si="31"/>
        <v>#ifndef I2C_SCL
#define I2C_SCL UNDEF_PIN
#ifdef DIO208
#undef DIO208
#endif
#define DIO208 UNDEF_PIN
#endif</v>
      </c>
      <c r="E187" s="4"/>
      <c r="F187" s="4" t="str">
        <f t="shared" ref="F187:F194" si="39">"| "&amp;A187&amp;" | "&amp;B187&amp;" | "&amp;C187&amp;" |"</f>
        <v>| 208 | DIO208 | I2C_SCL |</v>
      </c>
      <c r="G187" s="4"/>
    </row>
    <row r="188" spans="1:7" ht="14.25" customHeight="1" x14ac:dyDescent="0.25">
      <c r="A188" s="4">
        <v>209</v>
      </c>
      <c r="B188" s="4" t="str">
        <f t="shared" si="36"/>
        <v>DIO209</v>
      </c>
      <c r="C188" s="4" t="s">
        <v>238</v>
      </c>
      <c r="D188" s="4" t="str">
        <f>"#ifndef "&amp;C188&amp;"
#define "&amp;C188&amp;" UNDEF_PIN
#ifdef "&amp;B188&amp;"
#undef "&amp;B188&amp;"
#endif
#define "&amp;B188&amp;" UNDEF_PIN
#endif"</f>
        <v>#ifndef I2C_SDA
#define I2C_SDA UNDEF_PIN
#ifdef DIO209
#undef DIO209
#endif
#define DIO209 UNDEF_PIN
#endif</v>
      </c>
      <c r="E188" s="4"/>
      <c r="F188" s="4" t="str">
        <f t="shared" si="39"/>
        <v>| 209 | DIO209 | I2C_SDA |</v>
      </c>
      <c r="G188" s="4"/>
    </row>
    <row r="189" spans="1:7" ht="14.25" customHeight="1" x14ac:dyDescent="0.25">
      <c r="A189" s="4">
        <v>210</v>
      </c>
      <c r="B189" s="4" t="str">
        <f t="shared" si="36"/>
        <v>DIO210</v>
      </c>
      <c r="C189" s="4" t="s">
        <v>467</v>
      </c>
      <c r="D189" s="4" t="str">
        <f t="shared" si="31"/>
        <v>#ifndef TX2
#define TX2 UNDEF_PIN
#ifdef DIO210
#undef DIO210
#endif
#define DIO210 UNDEF_PIN
#endif</v>
      </c>
      <c r="E189" s="4"/>
      <c r="F189" s="4" t="str">
        <f t="shared" si="39"/>
        <v>| 210 | DIO210 | TX2 |</v>
      </c>
      <c r="G189" s="4"/>
    </row>
    <row r="190" spans="1:7" ht="14.25" customHeight="1" x14ac:dyDescent="0.25">
      <c r="A190" s="4">
        <v>211</v>
      </c>
      <c r="B190" s="4" t="str">
        <f t="shared" si="36"/>
        <v>DIO211</v>
      </c>
      <c r="C190" s="4" t="s">
        <v>468</v>
      </c>
      <c r="D190" s="4" t="str">
        <f t="shared" si="31"/>
        <v>#ifndef RX2
#define RX2 UNDEF_PIN
#ifdef DIO211
#undef DIO211
#endif
#define DIO211 UNDEF_PIN
#endif</v>
      </c>
      <c r="E190" s="4"/>
      <c r="F190" s="4" t="str">
        <f t="shared" si="39"/>
        <v>| 211 | DIO211 | RX2 |</v>
      </c>
      <c r="G190" s="4"/>
    </row>
    <row r="191" spans="1:7" ht="14.25" customHeight="1" x14ac:dyDescent="0.25">
      <c r="A191" s="4">
        <v>212</v>
      </c>
      <c r="B191" s="4" t="s">
        <v>519</v>
      </c>
      <c r="C191" s="29" t="s">
        <v>520</v>
      </c>
      <c r="D191" s="4" t="str">
        <f t="shared" ref="D191:D194" si="40">"#ifndef "&amp;C191&amp;"
#define "&amp;C191&amp;" UNDEF_PIN
#ifdef "&amp;B191&amp;"
#undef "&amp;B191&amp;"
#endif
#define "&amp;B191&amp;" UNDEF_PIN
#endif"</f>
        <v>#ifndef SPI2_CLK
#define SPI2_CLK UNDEF_PIN
#ifdef DIO212
#undef DIO212
#endif
#define DIO212 UNDEF_PIN
#endif</v>
      </c>
      <c r="E191" s="4"/>
      <c r="F191" s="4" t="str">
        <f t="shared" si="39"/>
        <v>| 212 | DIO212 | SPI2_CLK |</v>
      </c>
      <c r="G191" s="4"/>
    </row>
    <row r="192" spans="1:7" ht="14.25" customHeight="1" x14ac:dyDescent="0.25">
      <c r="A192" s="4">
        <v>213</v>
      </c>
      <c r="B192" s="4" t="s">
        <v>521</v>
      </c>
      <c r="C192" s="29" t="s">
        <v>522</v>
      </c>
      <c r="D192" s="4" t="str">
        <f t="shared" si="40"/>
        <v>#ifndef SPI2_SDI
#define SPI2_SDI UNDEF_PIN
#ifdef DIO213
#undef DIO213
#endif
#define DIO213 UNDEF_PIN
#endif</v>
      </c>
      <c r="E192" s="4"/>
      <c r="F192" s="4" t="str">
        <f t="shared" si="39"/>
        <v>| 213 | DIO213 | SPI2_SDI |</v>
      </c>
      <c r="G192" s="4"/>
    </row>
    <row r="193" spans="1:7" ht="14.25" customHeight="1" x14ac:dyDescent="0.25">
      <c r="A193" s="4">
        <v>214</v>
      </c>
      <c r="B193" s="4" t="s">
        <v>523</v>
      </c>
      <c r="C193" s="29" t="s">
        <v>524</v>
      </c>
      <c r="D193" s="4" t="str">
        <f t="shared" si="40"/>
        <v>#ifndef SPI2_SDO
#define SPI2_SDO UNDEF_PIN
#ifdef DIO214
#undef DIO214
#endif
#define DIO214 UNDEF_PIN
#endif</v>
      </c>
      <c r="E193" s="4"/>
      <c r="F193" s="4" t="str">
        <f t="shared" si="39"/>
        <v>| 214 | DIO214 | SPI2_SDO |</v>
      </c>
      <c r="G193" s="4"/>
    </row>
    <row r="194" spans="1:7" ht="14.25" customHeight="1" x14ac:dyDescent="0.25">
      <c r="A194" s="4">
        <v>215</v>
      </c>
      <c r="B194" s="4" t="s">
        <v>525</v>
      </c>
      <c r="C194" s="29" t="s">
        <v>526</v>
      </c>
      <c r="D194" s="4" t="str">
        <f t="shared" si="40"/>
        <v>#ifndef SPI2_CS
#define SPI2_CS UNDEF_PIN
#ifdef DIO215
#undef DIO215
#endif
#define DIO215 UNDEF_PIN
#endif</v>
      </c>
      <c r="E194" s="4" t="str">
        <f t="shared" ref="E194" si="41">"#if "&amp;C194&amp;" &gt;= 0
    case "&amp;C194&amp;":
        return (mcu_get_output("&amp;C194&amp;") != 0);
#endif"</f>
        <v>#if SPI2_CS &gt;= 0
    case SPI2_CS:
        return (mcu_get_output(SPI2_CS) != 0);
#endif</v>
      </c>
      <c r="F194" s="4" t="str">
        <f t="shared" si="39"/>
        <v>| 215 | DIO215 | SPI2_CS |</v>
      </c>
      <c r="G194" s="4" t="str">
        <f t="shared" si="38"/>
        <v>#ifndef SPI2_CS_IO_OFFSET
#define SPI2_CS_IO_OFFSET -1
#define DIO215_IO_OFFSET -1
#else
#define DIO215_IO_OFFSET SPI2_CS_IO_OFFSET
#ifdef SPI2_CS
#undef SPI2_CS
#endif
#ifdef DIO215
#undef DIO215
#endif
#define SPI2_CS 215
#define SPI2_CS -215
#define SPI2_CS_IO_BYTEOFFSET (SPI2_CS_IO_OFFSET &gt;&gt; 3)
#define SPI2_CS_IO_BITMASK (1 &lt;&lt; (SPI2_CS_IO_OFFSET &amp; 0x7))
#define DIO215_IO_BYTEOFFSET SPI2_CS_IO_BYTEOFFSET
#define DIO215_IO_BITMASK SPI2_CS_IO_BITMASK
#ifndef IC74HC595_HAS_DOUTS
#define IC74HC595_HAS_DOUTS
#endif
#endif</v>
      </c>
    </row>
    <row r="195" spans="1:7" ht="14.25" customHeight="1" x14ac:dyDescent="0.25">
      <c r="A195" s="6"/>
      <c r="B195" s="6"/>
      <c r="C195" s="6"/>
    </row>
    <row r="196" spans="1:7" ht="14.25" customHeight="1" x14ac:dyDescent="0.25">
      <c r="A196" s="6"/>
      <c r="B196" s="6"/>
      <c r="C196" s="6"/>
    </row>
    <row r="197" spans="1:7" ht="14.25" customHeight="1" x14ac:dyDescent="0.25">
      <c r="A197" s="6"/>
      <c r="B197" s="6"/>
      <c r="C197" s="6"/>
    </row>
    <row r="198" spans="1:7" ht="14.25" customHeight="1" x14ac:dyDescent="0.25">
      <c r="A198" s="6"/>
      <c r="B198" s="6"/>
      <c r="C198" s="6"/>
    </row>
    <row r="199" spans="1:7" ht="14.25" customHeight="1" x14ac:dyDescent="0.25">
      <c r="A199" s="6"/>
      <c r="B199" s="6"/>
      <c r="C199" s="6"/>
    </row>
    <row r="200" spans="1:7" ht="14.25" customHeight="1" x14ac:dyDescent="0.25">
      <c r="A200" s="6"/>
      <c r="B200" s="6"/>
      <c r="C200" s="6"/>
    </row>
    <row r="201" spans="1:7" ht="14.25" customHeight="1" x14ac:dyDescent="0.25">
      <c r="A201" s="6"/>
      <c r="B201" s="6"/>
      <c r="C201" s="6"/>
    </row>
    <row r="202" spans="1:7" ht="14.25" customHeight="1" x14ac:dyDescent="0.25">
      <c r="A202" s="6"/>
      <c r="B202" s="6"/>
      <c r="C202" s="6"/>
    </row>
    <row r="203" spans="1:7" ht="14.25" customHeight="1" x14ac:dyDescent="0.25">
      <c r="A203" s="6"/>
      <c r="B203" s="6"/>
      <c r="C203" s="6"/>
    </row>
    <row r="204" spans="1:7" ht="14.25" customHeight="1" x14ac:dyDescent="0.25">
      <c r="A204" s="6"/>
      <c r="B204" s="6"/>
      <c r="C204" s="6"/>
    </row>
    <row r="205" spans="1:7" ht="14.25" customHeight="1" x14ac:dyDescent="0.25">
      <c r="A205" s="6"/>
      <c r="B205" s="6"/>
      <c r="C205" s="6"/>
    </row>
    <row r="206" spans="1:7" ht="14.25" customHeight="1" x14ac:dyDescent="0.25">
      <c r="A206" s="6"/>
      <c r="B206" s="6"/>
      <c r="C206" s="6"/>
    </row>
    <row r="207" spans="1:7" ht="14.25" customHeight="1" x14ac:dyDescent="0.25">
      <c r="A207" s="6"/>
      <c r="B207" s="6"/>
      <c r="C207" s="6"/>
    </row>
    <row r="208" spans="1:7" ht="14.25" customHeight="1" x14ac:dyDescent="0.25">
      <c r="A208" s="6"/>
      <c r="B208" s="6"/>
      <c r="C208" s="6"/>
    </row>
    <row r="209" spans="1:3" ht="14.25" customHeight="1" x14ac:dyDescent="0.25">
      <c r="A209" s="6"/>
      <c r="B209" s="6"/>
      <c r="C209" s="6"/>
    </row>
    <row r="210" spans="1:3" ht="14.25" customHeight="1" x14ac:dyDescent="0.25">
      <c r="A210" s="6"/>
      <c r="B210" s="6"/>
      <c r="C210" s="6"/>
    </row>
    <row r="211" spans="1:3" ht="14.25" customHeight="1" x14ac:dyDescent="0.25">
      <c r="A211" s="6"/>
      <c r="B211" s="6"/>
      <c r="C211" s="6"/>
    </row>
    <row r="212" spans="1:3" ht="14.25" customHeight="1" x14ac:dyDescent="0.25">
      <c r="A212" s="6"/>
      <c r="B212" s="6"/>
      <c r="C212" s="6"/>
    </row>
    <row r="213" spans="1:3" ht="14.25" customHeight="1" x14ac:dyDescent="0.25">
      <c r="A213" s="6"/>
      <c r="B213" s="6"/>
      <c r="C213" s="6"/>
    </row>
    <row r="214" spans="1:3" ht="14.25" customHeight="1" x14ac:dyDescent="0.25">
      <c r="A214" s="6"/>
      <c r="B214" s="6"/>
      <c r="C214" s="6"/>
    </row>
    <row r="215" spans="1:3" ht="14.25" customHeight="1" x14ac:dyDescent="0.25">
      <c r="A215" s="6"/>
      <c r="B215" s="6"/>
      <c r="C215" s="6"/>
    </row>
    <row r="216" spans="1:3" ht="14.25" customHeight="1" x14ac:dyDescent="0.25">
      <c r="A216" s="6"/>
      <c r="B216" s="6"/>
      <c r="C216" s="6"/>
    </row>
    <row r="217" spans="1:3" ht="14.25" customHeight="1" x14ac:dyDescent="0.25">
      <c r="A217" s="6"/>
      <c r="B217" s="6"/>
      <c r="C217" s="6"/>
    </row>
    <row r="218" spans="1:3" ht="14.25" customHeight="1" x14ac:dyDescent="0.25">
      <c r="A218" s="6"/>
      <c r="B218" s="6"/>
      <c r="C218" s="6"/>
    </row>
    <row r="219" spans="1:3" ht="14.25" customHeight="1" x14ac:dyDescent="0.25">
      <c r="A219" s="6"/>
      <c r="B219" s="6"/>
      <c r="C219" s="6"/>
    </row>
    <row r="220" spans="1:3" ht="14.25" customHeight="1" x14ac:dyDescent="0.25">
      <c r="A220" s="6"/>
      <c r="B220" s="6"/>
      <c r="C220" s="6"/>
    </row>
    <row r="221" spans="1:3" ht="14.25" customHeight="1" x14ac:dyDescent="0.25">
      <c r="A221" s="6"/>
      <c r="B221" s="6"/>
      <c r="C221" s="6"/>
    </row>
    <row r="222" spans="1:3" ht="14.25" customHeight="1" x14ac:dyDescent="0.25">
      <c r="A222" s="6"/>
      <c r="B222" s="6"/>
      <c r="C222" s="6"/>
    </row>
    <row r="223" spans="1:3" ht="14.25" customHeight="1" x14ac:dyDescent="0.25">
      <c r="A223" s="6"/>
      <c r="B223" s="6"/>
      <c r="C223" s="6"/>
    </row>
    <row r="224" spans="1:3" ht="14.25" customHeight="1" x14ac:dyDescent="0.25">
      <c r="A224" s="6"/>
      <c r="B224" s="6"/>
      <c r="C224" s="6"/>
    </row>
    <row r="225" spans="1:3" ht="14.25" customHeight="1" x14ac:dyDescent="0.25">
      <c r="A225" s="6"/>
      <c r="B225" s="6"/>
      <c r="C225" s="6"/>
    </row>
    <row r="226" spans="1:3" ht="14.25" customHeight="1" x14ac:dyDescent="0.25">
      <c r="A226" s="6"/>
      <c r="B226" s="6"/>
      <c r="C226" s="6"/>
    </row>
    <row r="227" spans="1:3" ht="14.25" customHeight="1" x14ac:dyDescent="0.25">
      <c r="A227" s="6"/>
      <c r="B227" s="6"/>
      <c r="C227" s="6"/>
    </row>
    <row r="228" spans="1:3" ht="14.25" customHeight="1" x14ac:dyDescent="0.25">
      <c r="A228" s="6"/>
      <c r="B228" s="6"/>
      <c r="C228" s="6"/>
    </row>
    <row r="229" spans="1:3" ht="14.25" customHeight="1" x14ac:dyDescent="0.25">
      <c r="A229" s="6"/>
      <c r="B229" s="6"/>
      <c r="C229" s="6"/>
    </row>
    <row r="230" spans="1:3" ht="14.25" customHeight="1" x14ac:dyDescent="0.25">
      <c r="A230" s="6"/>
      <c r="B230" s="6"/>
      <c r="C230" s="6"/>
    </row>
    <row r="231" spans="1:3" ht="14.25" customHeight="1" x14ac:dyDescent="0.25">
      <c r="A231" s="6"/>
      <c r="B231" s="6"/>
      <c r="C231" s="6"/>
    </row>
    <row r="232" spans="1:3" ht="14.25" customHeight="1" x14ac:dyDescent="0.25">
      <c r="A232" s="6"/>
      <c r="B232" s="6"/>
      <c r="C232" s="6"/>
    </row>
    <row r="233" spans="1:3" ht="14.25" customHeight="1" x14ac:dyDescent="0.25">
      <c r="A233" s="6"/>
      <c r="B233" s="6"/>
      <c r="C233" s="6"/>
    </row>
    <row r="234" spans="1:3" ht="14.25" customHeight="1" x14ac:dyDescent="0.25">
      <c r="A234" s="6"/>
      <c r="B234" s="6"/>
      <c r="C234" s="6"/>
    </row>
    <row r="235" spans="1:3" ht="14.25" customHeight="1" x14ac:dyDescent="0.25">
      <c r="A235" s="6"/>
      <c r="B235" s="6"/>
      <c r="C235" s="6"/>
    </row>
    <row r="236" spans="1:3" ht="14.25" customHeight="1" x14ac:dyDescent="0.25">
      <c r="A236" s="6"/>
      <c r="B236" s="6"/>
      <c r="C236" s="6"/>
    </row>
    <row r="237" spans="1:3" ht="14.25" customHeight="1" x14ac:dyDescent="0.25">
      <c r="A237" s="6"/>
      <c r="B237" s="6"/>
      <c r="C237" s="6"/>
    </row>
    <row r="238" spans="1:3" ht="14.25" customHeight="1" x14ac:dyDescent="0.25">
      <c r="A238" s="6"/>
      <c r="B238" s="6"/>
      <c r="C238" s="6"/>
    </row>
    <row r="239" spans="1:3" ht="14.25" customHeight="1" x14ac:dyDescent="0.25">
      <c r="A239" s="6"/>
      <c r="B239" s="6"/>
      <c r="C239" s="6"/>
    </row>
    <row r="240" spans="1:3" ht="14.25" customHeight="1" x14ac:dyDescent="0.25">
      <c r="A240" s="6"/>
      <c r="B240" s="6"/>
      <c r="C240" s="6"/>
    </row>
    <row r="241" spans="1:3" ht="14.25" customHeight="1" x14ac:dyDescent="0.25">
      <c r="A241" s="6"/>
      <c r="B241" s="6"/>
      <c r="C241" s="6"/>
    </row>
    <row r="242" spans="1:3" ht="14.25" customHeight="1" x14ac:dyDescent="0.25">
      <c r="A242" s="6"/>
      <c r="B242" s="6"/>
      <c r="C242" s="6"/>
    </row>
    <row r="243" spans="1:3" ht="14.25" customHeight="1" x14ac:dyDescent="0.25">
      <c r="A243" s="6"/>
      <c r="B243" s="6"/>
      <c r="C243" s="6"/>
    </row>
    <row r="244" spans="1:3" ht="14.25" customHeight="1" x14ac:dyDescent="0.25">
      <c r="A244" s="6"/>
      <c r="B244" s="6"/>
      <c r="C244" s="6"/>
    </row>
    <row r="245" spans="1:3" ht="14.25" customHeight="1" x14ac:dyDescent="0.25">
      <c r="A245" s="6"/>
      <c r="B245" s="6"/>
      <c r="C245" s="6"/>
    </row>
    <row r="246" spans="1:3" ht="14.25" customHeight="1" x14ac:dyDescent="0.25">
      <c r="A246" s="6"/>
      <c r="B246" s="6"/>
      <c r="C246" s="6"/>
    </row>
    <row r="247" spans="1:3" ht="14.25" customHeight="1" x14ac:dyDescent="0.25">
      <c r="A247" s="6"/>
      <c r="B247" s="6"/>
      <c r="C247" s="6"/>
    </row>
    <row r="248" spans="1:3" ht="14.25" customHeight="1" x14ac:dyDescent="0.25">
      <c r="A248" s="6"/>
      <c r="B248" s="6"/>
      <c r="C248" s="6"/>
    </row>
    <row r="249" spans="1:3" ht="14.25" customHeight="1" x14ac:dyDescent="0.25">
      <c r="A249" s="6"/>
      <c r="B249" s="6"/>
      <c r="C249" s="6"/>
    </row>
    <row r="250" spans="1:3" ht="14.25" customHeight="1" x14ac:dyDescent="0.25">
      <c r="A250" s="6"/>
      <c r="B250" s="6"/>
      <c r="C250" s="6"/>
    </row>
    <row r="251" spans="1:3" ht="14.25" customHeight="1" x14ac:dyDescent="0.25">
      <c r="A251" s="6"/>
      <c r="B251" s="6"/>
      <c r="C251" s="6"/>
    </row>
    <row r="252" spans="1:3" ht="14.25" customHeight="1" x14ac:dyDescent="0.25">
      <c r="A252" s="6"/>
      <c r="B252" s="6"/>
      <c r="C252" s="6"/>
    </row>
    <row r="253" spans="1:3" ht="14.25" customHeight="1" x14ac:dyDescent="0.25">
      <c r="A253" s="6"/>
      <c r="B253" s="6"/>
      <c r="C253" s="6"/>
    </row>
    <row r="254" spans="1:3" ht="14.25" customHeight="1" x14ac:dyDescent="0.25">
      <c r="A254" s="6"/>
      <c r="B254" s="6"/>
      <c r="C254" s="6"/>
    </row>
    <row r="255" spans="1:3" ht="14.25" customHeight="1" x14ac:dyDescent="0.25">
      <c r="A255" s="6"/>
      <c r="B255" s="6"/>
      <c r="C255" s="6"/>
    </row>
    <row r="256" spans="1:3" ht="14.25" customHeight="1" x14ac:dyDescent="0.25">
      <c r="A256" s="6"/>
      <c r="B256" s="6"/>
      <c r="C256" s="6"/>
    </row>
    <row r="257" spans="1:3" ht="14.25" customHeight="1" x14ac:dyDescent="0.25">
      <c r="A257" s="6"/>
      <c r="B257" s="6"/>
      <c r="C257" s="6"/>
    </row>
    <row r="258" spans="1:3" ht="14.25" customHeight="1" x14ac:dyDescent="0.25">
      <c r="A258" s="6"/>
      <c r="B258" s="6"/>
      <c r="C258" s="6"/>
    </row>
    <row r="259" spans="1:3" ht="14.25" customHeight="1" x14ac:dyDescent="0.25">
      <c r="A259" s="6"/>
      <c r="B259" s="6"/>
      <c r="C259" s="6"/>
    </row>
    <row r="260" spans="1:3" ht="14.25" customHeight="1" x14ac:dyDescent="0.25">
      <c r="A260" s="6"/>
      <c r="B260" s="6"/>
      <c r="C260" s="6"/>
    </row>
    <row r="261" spans="1:3" ht="14.25" customHeight="1" x14ac:dyDescent="0.25">
      <c r="A261" s="6"/>
      <c r="B261" s="6"/>
      <c r="C261" s="6"/>
    </row>
    <row r="262" spans="1:3" ht="14.25" customHeight="1" x14ac:dyDescent="0.25">
      <c r="A262" s="6"/>
      <c r="B262" s="6"/>
      <c r="C262" s="6"/>
    </row>
    <row r="263" spans="1:3" ht="14.25" customHeight="1" x14ac:dyDescent="0.25">
      <c r="A263" s="6"/>
      <c r="B263" s="6"/>
      <c r="C263" s="6"/>
    </row>
    <row r="264" spans="1:3" ht="14.25" customHeight="1" x14ac:dyDescent="0.25">
      <c r="A264" s="6"/>
      <c r="B264" s="6"/>
      <c r="C264" s="6"/>
    </row>
    <row r="265" spans="1:3" ht="14.25" customHeight="1" x14ac:dyDescent="0.25">
      <c r="A265" s="6"/>
      <c r="B265" s="6"/>
      <c r="C265" s="6"/>
    </row>
    <row r="266" spans="1:3" ht="14.25" customHeight="1" x14ac:dyDescent="0.25">
      <c r="A266" s="6"/>
      <c r="B266" s="6"/>
      <c r="C266" s="6"/>
    </row>
    <row r="267" spans="1:3" ht="14.25" customHeight="1" x14ac:dyDescent="0.25">
      <c r="A267" s="6"/>
      <c r="B267" s="6"/>
      <c r="C267" s="6"/>
    </row>
    <row r="268" spans="1:3" ht="14.25" customHeight="1" x14ac:dyDescent="0.25">
      <c r="A268" s="6"/>
      <c r="B268" s="6"/>
      <c r="C268" s="6"/>
    </row>
    <row r="269" spans="1:3" ht="14.25" customHeight="1" x14ac:dyDescent="0.25">
      <c r="A269" s="6"/>
      <c r="B269" s="6"/>
      <c r="C269" s="6"/>
    </row>
    <row r="270" spans="1:3" ht="14.25" customHeight="1" x14ac:dyDescent="0.25">
      <c r="A270" s="6"/>
      <c r="B270" s="6"/>
      <c r="C270" s="6"/>
    </row>
    <row r="271" spans="1:3" ht="14.25" customHeight="1" x14ac:dyDescent="0.25">
      <c r="A271" s="6"/>
      <c r="B271" s="6"/>
      <c r="C271" s="6"/>
    </row>
    <row r="272" spans="1:3" ht="14.25" customHeight="1" x14ac:dyDescent="0.25">
      <c r="A272" s="6"/>
      <c r="B272" s="6"/>
      <c r="C272" s="6"/>
    </row>
    <row r="273" spans="1:3" ht="14.25" customHeight="1" x14ac:dyDescent="0.25">
      <c r="A273" s="6"/>
      <c r="B273" s="6"/>
      <c r="C273" s="6"/>
    </row>
    <row r="274" spans="1:3" ht="14.25" customHeight="1" x14ac:dyDescent="0.25">
      <c r="A274" s="6"/>
      <c r="B274" s="6"/>
      <c r="C274" s="6"/>
    </row>
    <row r="275" spans="1:3" ht="14.25" customHeight="1" x14ac:dyDescent="0.25">
      <c r="A275" s="6"/>
      <c r="B275" s="6"/>
      <c r="C275" s="6"/>
    </row>
    <row r="276" spans="1:3" ht="14.25" customHeight="1" x14ac:dyDescent="0.25">
      <c r="A276" s="6"/>
      <c r="B276" s="6"/>
      <c r="C276" s="6"/>
    </row>
    <row r="277" spans="1:3" ht="14.25" customHeight="1" x14ac:dyDescent="0.25">
      <c r="A277" s="6"/>
      <c r="B277" s="6"/>
      <c r="C277" s="6"/>
    </row>
    <row r="278" spans="1:3" ht="14.25" customHeight="1" x14ac:dyDescent="0.25">
      <c r="A278" s="6"/>
      <c r="B278" s="6"/>
      <c r="C278" s="6"/>
    </row>
    <row r="279" spans="1:3" ht="14.25" customHeight="1" x14ac:dyDescent="0.25">
      <c r="A279" s="6"/>
      <c r="B279" s="6"/>
      <c r="C279" s="6"/>
    </row>
    <row r="280" spans="1:3" ht="14.25" customHeight="1" x14ac:dyDescent="0.25">
      <c r="A280" s="6"/>
      <c r="B280" s="6"/>
      <c r="C280" s="6"/>
    </row>
    <row r="281" spans="1:3" ht="14.25" customHeight="1" x14ac:dyDescent="0.25">
      <c r="A281" s="6"/>
      <c r="B281" s="6"/>
      <c r="C281" s="6"/>
    </row>
    <row r="282" spans="1:3" ht="14.25" customHeight="1" x14ac:dyDescent="0.25">
      <c r="A282" s="6"/>
      <c r="B282" s="6"/>
      <c r="C282" s="6"/>
    </row>
    <row r="283" spans="1:3" ht="14.25" customHeight="1" x14ac:dyDescent="0.25">
      <c r="A283" s="6"/>
      <c r="B283" s="6"/>
      <c r="C283" s="6"/>
    </row>
    <row r="284" spans="1:3" ht="14.25" customHeight="1" x14ac:dyDescent="0.25">
      <c r="A284" s="6"/>
      <c r="B284" s="6"/>
      <c r="C284" s="6"/>
    </row>
    <row r="285" spans="1:3" ht="14.25" customHeight="1" x14ac:dyDescent="0.25">
      <c r="A285" s="6"/>
      <c r="B285" s="6"/>
      <c r="C285" s="6"/>
    </row>
    <row r="286" spans="1:3" ht="14.25" customHeight="1" x14ac:dyDescent="0.25">
      <c r="A286" s="6"/>
      <c r="B286" s="6"/>
      <c r="C286" s="6"/>
    </row>
    <row r="287" spans="1:3" ht="14.25" customHeight="1" x14ac:dyDescent="0.25">
      <c r="A287" s="6"/>
      <c r="B287" s="6"/>
      <c r="C287" s="6"/>
    </row>
    <row r="288" spans="1:3" ht="14.25" customHeight="1" x14ac:dyDescent="0.25">
      <c r="A288" s="6"/>
      <c r="B288" s="6"/>
      <c r="C288" s="6"/>
    </row>
    <row r="289" spans="1:3" ht="14.25" customHeight="1" x14ac:dyDescent="0.25">
      <c r="A289" s="6"/>
      <c r="B289" s="6"/>
      <c r="C289" s="6"/>
    </row>
    <row r="290" spans="1:3" ht="14.25" customHeight="1" x14ac:dyDescent="0.25">
      <c r="A290" s="6"/>
      <c r="B290" s="6"/>
      <c r="C290" s="6"/>
    </row>
    <row r="291" spans="1:3" ht="14.25" customHeight="1" x14ac:dyDescent="0.25">
      <c r="A291" s="6"/>
      <c r="B291" s="6"/>
      <c r="C291" s="6"/>
    </row>
    <row r="292" spans="1:3" ht="14.25" customHeight="1" x14ac:dyDescent="0.25">
      <c r="A292" s="6"/>
      <c r="B292" s="6"/>
      <c r="C292" s="6"/>
    </row>
    <row r="293" spans="1:3" ht="14.25" customHeight="1" x14ac:dyDescent="0.25">
      <c r="A293" s="6"/>
      <c r="B293" s="6"/>
      <c r="C293" s="6"/>
    </row>
    <row r="294" spans="1:3" ht="14.25" customHeight="1" x14ac:dyDescent="0.25">
      <c r="A294" s="6"/>
      <c r="B294" s="6"/>
      <c r="C294" s="6"/>
    </row>
    <row r="295" spans="1:3" ht="14.25" customHeight="1" x14ac:dyDescent="0.25">
      <c r="A295" s="6"/>
      <c r="B295" s="6"/>
      <c r="C295" s="6"/>
    </row>
    <row r="296" spans="1:3" ht="14.25" customHeight="1" x14ac:dyDescent="0.25">
      <c r="A296" s="6"/>
      <c r="B296" s="6"/>
      <c r="C296" s="6"/>
    </row>
    <row r="297" spans="1:3" ht="14.25" customHeight="1" x14ac:dyDescent="0.25">
      <c r="A297" s="6"/>
      <c r="B297" s="6"/>
      <c r="C297" s="6"/>
    </row>
    <row r="298" spans="1:3" ht="14.25" customHeight="1" x14ac:dyDescent="0.25">
      <c r="A298" s="6"/>
      <c r="B298" s="6"/>
      <c r="C298" s="6"/>
    </row>
    <row r="299" spans="1:3" ht="14.25" customHeight="1" x14ac:dyDescent="0.25">
      <c r="A299" s="6"/>
      <c r="B299" s="6"/>
      <c r="C299" s="6"/>
    </row>
    <row r="300" spans="1:3" ht="14.25" customHeight="1" x14ac:dyDescent="0.25">
      <c r="A300" s="6"/>
      <c r="B300" s="6"/>
      <c r="C300" s="6"/>
    </row>
    <row r="301" spans="1:3" ht="14.25" customHeight="1" x14ac:dyDescent="0.25">
      <c r="A301" s="6"/>
      <c r="B301" s="6"/>
      <c r="C301" s="6"/>
    </row>
    <row r="302" spans="1:3" ht="14.25" customHeight="1" x14ac:dyDescent="0.25">
      <c r="A302" s="6"/>
      <c r="B302" s="6"/>
      <c r="C302" s="6"/>
    </row>
    <row r="303" spans="1:3" ht="14.25" customHeight="1" x14ac:dyDescent="0.25">
      <c r="A303" s="6"/>
      <c r="B303" s="6"/>
      <c r="C303" s="6"/>
    </row>
    <row r="304" spans="1:3" ht="14.25" customHeight="1" x14ac:dyDescent="0.25">
      <c r="A304" s="6"/>
      <c r="B304" s="6"/>
      <c r="C304" s="6"/>
    </row>
    <row r="305" spans="1:3" ht="14.25" customHeight="1" x14ac:dyDescent="0.25">
      <c r="A305" s="6"/>
      <c r="B305" s="6"/>
      <c r="C305" s="6"/>
    </row>
    <row r="306" spans="1:3" ht="14.25" customHeight="1" x14ac:dyDescent="0.25">
      <c r="A306" s="6"/>
      <c r="B306" s="6"/>
      <c r="C306" s="6"/>
    </row>
    <row r="307" spans="1:3" ht="14.25" customHeight="1" x14ac:dyDescent="0.25">
      <c r="A307" s="6"/>
      <c r="B307" s="6"/>
      <c r="C307" s="6"/>
    </row>
    <row r="308" spans="1:3" ht="14.25" customHeight="1" x14ac:dyDescent="0.25">
      <c r="A308" s="6"/>
      <c r="B308" s="6"/>
      <c r="C308" s="6"/>
    </row>
    <row r="309" spans="1:3" ht="14.25" customHeight="1" x14ac:dyDescent="0.25">
      <c r="A309" s="6"/>
      <c r="B309" s="6"/>
      <c r="C309" s="6"/>
    </row>
    <row r="310" spans="1:3" ht="14.25" customHeight="1" x14ac:dyDescent="0.25">
      <c r="A310" s="6"/>
      <c r="B310" s="6"/>
      <c r="C310" s="6"/>
    </row>
    <row r="311" spans="1:3" ht="14.25" customHeight="1" x14ac:dyDescent="0.25">
      <c r="A311" s="6"/>
      <c r="B311" s="6"/>
      <c r="C311" s="6"/>
    </row>
    <row r="312" spans="1:3" ht="14.25" customHeight="1" x14ac:dyDescent="0.25">
      <c r="A312" s="6"/>
      <c r="B312" s="6"/>
      <c r="C312" s="6"/>
    </row>
    <row r="313" spans="1:3" ht="14.25" customHeight="1" x14ac:dyDescent="0.25">
      <c r="A313" s="6"/>
      <c r="B313" s="6"/>
      <c r="C313" s="6"/>
    </row>
    <row r="314" spans="1:3" ht="14.25" customHeight="1" x14ac:dyDescent="0.25">
      <c r="A314" s="6"/>
      <c r="B314" s="6"/>
      <c r="C314" s="6"/>
    </row>
    <row r="315" spans="1:3" ht="14.25" customHeight="1" x14ac:dyDescent="0.25">
      <c r="A315" s="6"/>
      <c r="B315" s="6"/>
      <c r="C315" s="6"/>
    </row>
    <row r="316" spans="1:3" ht="14.25" customHeight="1" x14ac:dyDescent="0.25">
      <c r="A316" s="6"/>
      <c r="B316" s="6"/>
      <c r="C316" s="6"/>
    </row>
    <row r="317" spans="1:3" ht="14.25" customHeight="1" x14ac:dyDescent="0.25">
      <c r="A317" s="6"/>
      <c r="B317" s="6"/>
      <c r="C317" s="6"/>
    </row>
    <row r="318" spans="1:3" ht="14.25" customHeight="1" x14ac:dyDescent="0.25">
      <c r="A318" s="6"/>
      <c r="B318" s="6"/>
      <c r="C318" s="6"/>
    </row>
    <row r="319" spans="1:3" ht="14.25" customHeight="1" x14ac:dyDescent="0.25">
      <c r="A319" s="6"/>
      <c r="B319" s="6"/>
      <c r="C319" s="6"/>
    </row>
    <row r="320" spans="1:3" ht="14.25" customHeight="1" x14ac:dyDescent="0.25">
      <c r="A320" s="6"/>
      <c r="B320" s="6"/>
      <c r="C320" s="6"/>
    </row>
    <row r="321" spans="1:3" ht="14.25" customHeight="1" x14ac:dyDescent="0.25">
      <c r="A321" s="6"/>
      <c r="B321" s="6"/>
      <c r="C321" s="6"/>
    </row>
    <row r="322" spans="1:3" ht="14.25" customHeight="1" x14ac:dyDescent="0.25">
      <c r="A322" s="6"/>
      <c r="B322" s="6"/>
      <c r="C322" s="6"/>
    </row>
    <row r="323" spans="1:3" ht="14.25" customHeight="1" x14ac:dyDescent="0.25">
      <c r="A323" s="6"/>
      <c r="B323" s="6"/>
      <c r="C323" s="6"/>
    </row>
    <row r="324" spans="1:3" ht="14.25" customHeight="1" x14ac:dyDescent="0.25">
      <c r="A324" s="6"/>
      <c r="B324" s="6"/>
      <c r="C324" s="6"/>
    </row>
    <row r="325" spans="1:3" ht="14.25" customHeight="1" x14ac:dyDescent="0.25">
      <c r="A325" s="6"/>
      <c r="B325" s="6"/>
      <c r="C325" s="6"/>
    </row>
    <row r="326" spans="1:3" ht="14.25" customHeight="1" x14ac:dyDescent="0.25">
      <c r="A326" s="6"/>
      <c r="B326" s="6"/>
      <c r="C326" s="6"/>
    </row>
    <row r="327" spans="1:3" ht="14.25" customHeight="1" x14ac:dyDescent="0.25">
      <c r="A327" s="6"/>
      <c r="B327" s="6"/>
      <c r="C327" s="6"/>
    </row>
    <row r="328" spans="1:3" ht="14.25" customHeight="1" x14ac:dyDescent="0.25">
      <c r="A328" s="6"/>
      <c r="B328" s="6"/>
      <c r="C328" s="6"/>
    </row>
    <row r="329" spans="1:3" ht="14.25" customHeight="1" x14ac:dyDescent="0.25">
      <c r="A329" s="6"/>
      <c r="B329" s="6"/>
      <c r="C329" s="6"/>
    </row>
    <row r="330" spans="1:3" ht="14.25" customHeight="1" x14ac:dyDescent="0.25">
      <c r="A330" s="6"/>
      <c r="B330" s="6"/>
      <c r="C330" s="6"/>
    </row>
    <row r="331" spans="1:3" ht="14.25" customHeight="1" x14ac:dyDescent="0.25">
      <c r="A331" s="6"/>
      <c r="B331" s="6"/>
      <c r="C331" s="6"/>
    </row>
    <row r="332" spans="1:3" ht="14.25" customHeight="1" x14ac:dyDescent="0.25">
      <c r="A332" s="6"/>
      <c r="B332" s="6"/>
      <c r="C332" s="6"/>
    </row>
    <row r="333" spans="1:3" ht="14.25" customHeight="1" x14ac:dyDescent="0.25">
      <c r="A333" s="6"/>
      <c r="B333" s="6"/>
      <c r="C333" s="6"/>
    </row>
    <row r="334" spans="1:3" ht="14.25" customHeight="1" x14ac:dyDescent="0.25">
      <c r="A334" s="6"/>
      <c r="B334" s="6"/>
      <c r="C334" s="6"/>
    </row>
    <row r="335" spans="1:3" ht="14.25" customHeight="1" x14ac:dyDescent="0.25">
      <c r="A335" s="6"/>
      <c r="B335" s="6"/>
      <c r="C335" s="6"/>
    </row>
    <row r="336" spans="1:3" ht="14.25" customHeight="1" x14ac:dyDescent="0.25">
      <c r="A336" s="6"/>
      <c r="B336" s="6"/>
      <c r="C336" s="6"/>
    </row>
    <row r="337" spans="1:3" ht="14.25" customHeight="1" x14ac:dyDescent="0.25">
      <c r="A337" s="6"/>
      <c r="B337" s="6"/>
      <c r="C337" s="6"/>
    </row>
    <row r="338" spans="1:3" ht="14.25" customHeight="1" x14ac:dyDescent="0.25">
      <c r="A338" s="6"/>
      <c r="B338" s="6"/>
      <c r="C338" s="6"/>
    </row>
    <row r="339" spans="1:3" ht="14.25" customHeight="1" x14ac:dyDescent="0.25">
      <c r="A339" s="6"/>
      <c r="B339" s="6"/>
      <c r="C339" s="6"/>
    </row>
    <row r="340" spans="1:3" ht="14.25" customHeight="1" x14ac:dyDescent="0.25">
      <c r="A340" s="6"/>
      <c r="B340" s="6"/>
      <c r="C340" s="6"/>
    </row>
    <row r="341" spans="1:3" ht="14.25" customHeight="1" x14ac:dyDescent="0.25">
      <c r="A341" s="6"/>
      <c r="B341" s="6"/>
      <c r="C341" s="6"/>
    </row>
    <row r="342" spans="1:3" ht="14.25" customHeight="1" x14ac:dyDescent="0.25">
      <c r="A342" s="6"/>
      <c r="B342" s="6"/>
      <c r="C342" s="6"/>
    </row>
    <row r="343" spans="1:3" ht="14.25" customHeight="1" x14ac:dyDescent="0.25"/>
    <row r="344" spans="1:3" ht="14.25" customHeight="1" x14ac:dyDescent="0.25"/>
    <row r="345" spans="1:3" ht="14.25" customHeight="1" x14ac:dyDescent="0.25"/>
    <row r="346" spans="1:3" ht="14.25" customHeight="1" x14ac:dyDescent="0.25"/>
    <row r="347" spans="1:3" ht="14.25" customHeight="1" x14ac:dyDescent="0.25"/>
    <row r="348" spans="1:3" ht="14.25" customHeight="1" x14ac:dyDescent="0.25"/>
    <row r="349" spans="1:3" ht="14.25" customHeight="1" x14ac:dyDescent="0.25"/>
    <row r="350" spans="1:3" ht="14.25" customHeight="1" x14ac:dyDescent="0.25"/>
    <row r="351" spans="1:3" ht="14.25" customHeight="1" x14ac:dyDescent="0.25"/>
    <row r="352" spans="1:3" ht="14.25" customHeight="1" x14ac:dyDescent="0.25"/>
    <row r="353" ht="14.25" customHeight="1" x14ac:dyDescent="0.25"/>
    <row r="354" ht="14.25" customHeight="1" x14ac:dyDescent="0.25"/>
    <row r="355" ht="14.25" customHeight="1" x14ac:dyDescent="0.25"/>
    <row r="356" ht="14.25" customHeight="1" x14ac:dyDescent="0.25"/>
    <row r="357" ht="14.25" customHeight="1" x14ac:dyDescent="0.25"/>
    <row r="358" ht="14.25" customHeight="1" x14ac:dyDescent="0.25"/>
    <row r="359" ht="14.25" customHeight="1" x14ac:dyDescent="0.25"/>
    <row r="360" ht="14.25" customHeight="1" x14ac:dyDescent="0.25"/>
    <row r="361" ht="14.25" customHeight="1" x14ac:dyDescent="0.25"/>
    <row r="362" ht="14.25" customHeight="1" x14ac:dyDescent="0.25"/>
    <row r="363" ht="14.25" customHeight="1" x14ac:dyDescent="0.25"/>
    <row r="364" ht="14.25" customHeight="1" x14ac:dyDescent="0.25"/>
    <row r="365" ht="14.25" customHeight="1" x14ac:dyDescent="0.25"/>
    <row r="366" ht="14.25" customHeight="1" x14ac:dyDescent="0.25"/>
    <row r="367" ht="14.25" customHeight="1" x14ac:dyDescent="0.25"/>
    <row r="368" ht="14.25" customHeight="1" x14ac:dyDescent="0.25"/>
    <row r="369" ht="14.25" customHeight="1" x14ac:dyDescent="0.25"/>
    <row r="370" ht="14.25" customHeight="1" x14ac:dyDescent="0.25"/>
    <row r="371" ht="14.25" customHeight="1" x14ac:dyDescent="0.25"/>
    <row r="372" ht="14.25" customHeight="1" x14ac:dyDescent="0.25"/>
    <row r="373" ht="14.25" customHeight="1" x14ac:dyDescent="0.25"/>
    <row r="374" ht="14.25" customHeight="1" x14ac:dyDescent="0.25"/>
    <row r="375" ht="14.25" customHeight="1" x14ac:dyDescent="0.25"/>
    <row r="376" ht="14.25" customHeight="1" x14ac:dyDescent="0.25"/>
    <row r="377" ht="14.25" customHeight="1" x14ac:dyDescent="0.25"/>
    <row r="378" ht="14.25" customHeight="1" x14ac:dyDescent="0.25"/>
    <row r="379" ht="14.25" customHeight="1" x14ac:dyDescent="0.25"/>
    <row r="380" ht="14.25" customHeight="1" x14ac:dyDescent="0.25"/>
    <row r="381" ht="14.25" customHeight="1" x14ac:dyDescent="0.25"/>
    <row r="382" ht="14.25" customHeight="1" x14ac:dyDescent="0.25"/>
    <row r="383" ht="14.25" customHeight="1" x14ac:dyDescent="0.25"/>
    <row r="384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</sheetData>
  <mergeCells count="1">
    <mergeCell ref="A1:C1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A24A0-E318-495B-8015-C9C5C1F32C4C}">
  <dimension ref="A1:G194"/>
  <sheetViews>
    <sheetView topLeftCell="A182" workbookViewId="0">
      <selection activeCell="D194" sqref="D194"/>
    </sheetView>
  </sheetViews>
  <sheetFormatPr defaultRowHeight="15" x14ac:dyDescent="0.25"/>
  <sheetData>
    <row r="1" spans="1:7" x14ac:dyDescent="0.25">
      <c r="A1" s="40" t="s">
        <v>0</v>
      </c>
      <c r="B1" s="41"/>
      <c r="C1" s="42"/>
    </row>
    <row r="2" spans="1:7" x14ac:dyDescent="0.25">
      <c r="A2" s="1" t="s">
        <v>1</v>
      </c>
      <c r="B2" s="1" t="s">
        <v>2</v>
      </c>
      <c r="C2" s="28" t="s">
        <v>3</v>
      </c>
      <c r="D2" s="31" t="s">
        <v>470</v>
      </c>
      <c r="E2" s="31" t="s">
        <v>471</v>
      </c>
      <c r="F2" s="31" t="s">
        <v>472</v>
      </c>
      <c r="G2" s="31" t="s">
        <v>473</v>
      </c>
    </row>
    <row r="3" spans="1:7" x14ac:dyDescent="0.25">
      <c r="A3" s="4">
        <v>1</v>
      </c>
      <c r="B3" s="4" t="str">
        <f t="shared" ref="B3:B183" si="0">"DIO"&amp;A3</f>
        <v>DIO1</v>
      </c>
      <c r="C3" s="29" t="s">
        <v>7</v>
      </c>
      <c r="D3" s="18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#if !defined("&amp;C3&amp;"_PULLUP) &amp;&amp; !defined(FORCE_IO_HAL_DIRECTION_ONREQUEST)
#define io"&amp;A3&amp;"_config_input mcu_config_input("&amp;C3&amp;")
#else
#define io"&amp;A3&amp;"_config_input mcu_config_input("&amp;C3&amp;");mcu_config_pullup("&amp;C3&amp;")
#endif
#define io"&amp;A3&amp;"_config_pullup mcu_config_pullup("&amp;C3&amp;")
#define io"&amp;A3&amp;"_get_input mcu_get_input("&amp;C3&amp;")
#elif ASSERT_PIN_EXTENDED("&amp;C3&amp;")
#define io"&amp;A3&amp;"_config_output
#define io"&amp;A3&amp;"_set_output ic74hc595_set_pin("&amp;C3&amp;");ic74hc595_shift_io_pins()
#define io"&amp;A3&amp;"_clear_output ic74hc595_clear_pin("&amp;C3&amp;");ic74hc595_shift_io_pins()
#define io"&amp;A3&amp;"_toggle_output ic74hc595_toggle_pin("&amp;C3&amp;");ic74hc595_shift_io_pins()
#define io"&amp;A3&amp;"_get_output ic74hc595_get_pin("&amp;C3&amp;")
#define io"&amp;A3&amp;"_config_input
#define io"&amp;A3&amp;"_config_pullup
#define io"&amp;A3&amp;"_get_input 0
#else
#define io"&amp;A3&amp;"_config_output
#define io"&amp;A3&amp;"_set_output
#define io"&amp;A3&amp;"_clear_output
#define io"&amp;A3&amp;"_toggle_output
#define io"&amp;A3&amp;"_get_output 0
#define io"&amp;A3&amp;"_config_input
#define io"&amp;A3&amp;"_config_pullup
#define io"&amp;A3&amp;"_get_input 0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#if !defined(STEP0_PULLUP) &amp;&amp; !defined(FORCE_IO_HAL_DIRECTION_ONREQUEST)
#define io1_config_input mcu_config_input(STEP0)
#else
#define io1_config_input mcu_config_input(STEP0);mcu_config_pullup(STEP0)
#endif
#define io1_config_pullup mcu_config_pullup(STEP0)
#define io1_get_input mcu_get_input(STEP0)
#elif ASSERT_PIN_EXTENDED(STEP0)
#define io1_config_output
#define io1_set_output ic74hc595_set_pin(STEP0);ic74hc595_shift_io_pins()
#define io1_clear_output ic74hc595_clear_pin(STEP0);ic74hc595_shift_io_pins()
#define io1_toggle_output ic74hc595_toggle_pin(STEP0);ic74hc595_shift_io_pins()
#define io1_get_output ic74hc595_get_pin(STEP0)
#define io1_config_input
#define io1_config_pullup
#define io1_get_input 0
#else
#define io1_config_output
#define io1_set_output
#define io1_clear_output
#define io1_toggle_output
#define io1_get_output 0
#define io1_config_input
#define io1_config_pullup
#define io1_get_input 0
#endif</v>
      </c>
      <c r="E3" s="32"/>
      <c r="F3" s="32"/>
      <c r="G3" s="32"/>
    </row>
    <row r="4" spans="1:7" x14ac:dyDescent="0.25">
      <c r="A4" s="4">
        <v>2</v>
      </c>
      <c r="B4" s="4" t="str">
        <f t="shared" si="0"/>
        <v>DIO2</v>
      </c>
      <c r="C4" s="29" t="s">
        <v>8</v>
      </c>
      <c r="D4" s="18" t="str">
        <f t="shared" ref="D4:D67" si="1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#if !defined("&amp;C4&amp;"_PULLUP) &amp;&amp; !defined(FORCE_IO_HAL_DIRECTION_ONREQUEST)
#define io"&amp;A4&amp;"_config_input mcu_config_input("&amp;C4&amp;")
#else
#define io"&amp;A4&amp;"_config_input mcu_config_input("&amp;C4&amp;");mcu_config_pullup("&amp;C4&amp;")
#endif
#define io"&amp;A4&amp;"_config_pullup mcu_config_pullup("&amp;C4&amp;")
#define io"&amp;A4&amp;"_get_input mcu_get_input("&amp;C4&amp;")
#elif ASSERT_PIN_EXTENDED("&amp;C4&amp;")
#define io"&amp;A4&amp;"_config_output
#define io"&amp;A4&amp;"_set_output ic74hc595_set_pin("&amp;C4&amp;");ic74hc595_shift_io_pins()
#define io"&amp;A4&amp;"_clear_output ic74hc595_clear_pin("&amp;C4&amp;");ic74hc595_shift_io_pins()
#define io"&amp;A4&amp;"_toggle_output ic74hc595_toggle_pin("&amp;C4&amp;");ic74hc595_shift_io_pins()
#define io"&amp;A4&amp;"_get_output ic74hc595_get_pin("&amp;C4&amp;")
#define io"&amp;A4&amp;"_config_input
#define io"&amp;A4&amp;"_config_pullup
#define io"&amp;A4&amp;"_get_input 0
#else
#define io"&amp;A4&amp;"_config_output
#define io"&amp;A4&amp;"_set_output
#define io"&amp;A4&amp;"_clear_output
#define io"&amp;A4&amp;"_toggle_output
#define io"&amp;A4&amp;"_get_output 0
#define io"&amp;A4&amp;"_config_input
#define io"&amp;A4&amp;"_config_pullup
#define io"&amp;A4&amp;"_get_input 0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#if !defined(STEP1_PULLUP) &amp;&amp; !defined(FORCE_IO_HAL_DIRECTION_ONREQUEST)
#define io2_config_input mcu_config_input(STEP1)
#else
#define io2_config_input mcu_config_input(STEP1);mcu_config_pullup(STEP1)
#endif
#define io2_config_pullup mcu_config_pullup(STEP1)
#define io2_get_input mcu_get_input(STEP1)
#elif ASSERT_PIN_EXTENDED(STEP1)
#define io2_config_output
#define io2_set_output ic74hc595_set_pin(STEP1);ic74hc595_shift_io_pins()
#define io2_clear_output ic74hc595_clear_pin(STEP1);ic74hc595_shift_io_pins()
#define io2_toggle_output ic74hc595_toggle_pin(STEP1);ic74hc595_shift_io_pins()
#define io2_get_output ic74hc595_get_pin(STEP1)
#define io2_config_input
#define io2_config_pullup
#define io2_get_input 0
#else
#define io2_config_output
#define io2_set_output
#define io2_clear_output
#define io2_toggle_output
#define io2_get_output 0
#define io2_config_input
#define io2_config_pullup
#define io2_get_input 0
#endif</v>
      </c>
      <c r="E4" s="32"/>
      <c r="F4" s="32"/>
      <c r="G4" s="32"/>
    </row>
    <row r="5" spans="1:7" x14ac:dyDescent="0.25">
      <c r="A5" s="4">
        <v>3</v>
      </c>
      <c r="B5" s="4" t="str">
        <f t="shared" si="0"/>
        <v>DIO3</v>
      </c>
      <c r="C5" s="29" t="s">
        <v>9</v>
      </c>
      <c r="D5" s="18" t="str">
        <f t="shared" si="1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#if !defined(STEP2_PULLUP) &amp;&amp; !defined(FORCE_IO_HAL_DIRECTION_ONREQUEST)
#define io3_config_input mcu_config_input(STEP2)
#else
#define io3_config_input mcu_config_input(STEP2);mcu_config_pullup(STEP2)
#endif
#define io3_config_pullup mcu_config_pullup(STEP2)
#define io3_get_input mcu_get_input(STEP2)
#elif ASSERT_PIN_EXTENDED(STEP2)
#define io3_config_output
#define io3_set_output ic74hc595_set_pin(STEP2);ic74hc595_shift_io_pins()
#define io3_clear_output ic74hc595_clear_pin(STEP2);ic74hc595_shift_io_pins()
#define io3_toggle_output ic74hc595_toggle_pin(STEP2);ic74hc595_shift_io_pins()
#define io3_get_output ic74hc595_get_pin(STEP2)
#define io3_config_input
#define io3_config_pullup
#define io3_get_input 0
#else
#define io3_config_output
#define io3_set_output
#define io3_clear_output
#define io3_toggle_output
#define io3_get_output 0
#define io3_config_input
#define io3_config_pullup
#define io3_get_input 0
#endif</v>
      </c>
      <c r="E5" s="32"/>
      <c r="F5" s="32"/>
      <c r="G5" s="32"/>
    </row>
    <row r="6" spans="1:7" x14ac:dyDescent="0.25">
      <c r="A6" s="4">
        <v>4</v>
      </c>
      <c r="B6" s="4" t="str">
        <f t="shared" si="0"/>
        <v>DIO4</v>
      </c>
      <c r="C6" s="29" t="s">
        <v>10</v>
      </c>
      <c r="D6" s="18" t="str">
        <f t="shared" si="1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#if !defined(STEP3_PULLUP) &amp;&amp; !defined(FORCE_IO_HAL_DIRECTION_ONREQUEST)
#define io4_config_input mcu_config_input(STEP3)
#else
#define io4_config_input mcu_config_input(STEP3);mcu_config_pullup(STEP3)
#endif
#define io4_config_pullup mcu_config_pullup(STEP3)
#define io4_get_input mcu_get_input(STEP3)
#elif ASSERT_PIN_EXTENDED(STEP3)
#define io4_config_output
#define io4_set_output ic74hc595_set_pin(STEP3);ic74hc595_shift_io_pins()
#define io4_clear_output ic74hc595_clear_pin(STEP3);ic74hc595_shift_io_pins()
#define io4_toggle_output ic74hc595_toggle_pin(STEP3);ic74hc595_shift_io_pins()
#define io4_get_output ic74hc595_get_pin(STEP3)
#define io4_config_input
#define io4_config_pullup
#define io4_get_input 0
#else
#define io4_config_output
#define io4_set_output
#define io4_clear_output
#define io4_toggle_output
#define io4_get_output 0
#define io4_config_input
#define io4_config_pullup
#define io4_get_input 0
#endif</v>
      </c>
      <c r="E6" s="32"/>
      <c r="F6" s="32"/>
      <c r="G6" s="32"/>
    </row>
    <row r="7" spans="1:7" x14ac:dyDescent="0.25">
      <c r="A7" s="4">
        <v>5</v>
      </c>
      <c r="B7" s="4" t="str">
        <f t="shared" si="0"/>
        <v>DIO5</v>
      </c>
      <c r="C7" s="29" t="s">
        <v>11</v>
      </c>
      <c r="D7" s="18" t="str">
        <f t="shared" si="1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#if !defined(STEP4_PULLUP) &amp;&amp; !defined(FORCE_IO_HAL_DIRECTION_ONREQUEST)
#define io5_config_input mcu_config_input(STEP4)
#else
#define io5_config_input mcu_config_input(STEP4);mcu_config_pullup(STEP4)
#endif
#define io5_config_pullup mcu_config_pullup(STEP4)
#define io5_get_input mcu_get_input(STEP4)
#elif ASSERT_PIN_EXTENDED(STEP4)
#define io5_config_output
#define io5_set_output ic74hc595_set_pin(STEP4);ic74hc595_shift_io_pins()
#define io5_clear_output ic74hc595_clear_pin(STEP4);ic74hc595_shift_io_pins()
#define io5_toggle_output ic74hc595_toggle_pin(STEP4);ic74hc595_shift_io_pins()
#define io5_get_output ic74hc595_get_pin(STEP4)
#define io5_config_input
#define io5_config_pullup
#define io5_get_input 0
#else
#define io5_config_output
#define io5_set_output
#define io5_clear_output
#define io5_toggle_output
#define io5_get_output 0
#define io5_config_input
#define io5_config_pullup
#define io5_get_input 0
#endif</v>
      </c>
      <c r="E7" s="32"/>
      <c r="F7" s="32"/>
      <c r="G7" s="32"/>
    </row>
    <row r="8" spans="1:7" x14ac:dyDescent="0.25">
      <c r="A8" s="4">
        <v>6</v>
      </c>
      <c r="B8" s="4" t="str">
        <f t="shared" si="0"/>
        <v>DIO6</v>
      </c>
      <c r="C8" s="29" t="s">
        <v>12</v>
      </c>
      <c r="D8" s="18" t="str">
        <f t="shared" si="1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#if !defined(STEP5_PULLUP) &amp;&amp; !defined(FORCE_IO_HAL_DIRECTION_ONREQUEST)
#define io6_config_input mcu_config_input(STEP5)
#else
#define io6_config_input mcu_config_input(STEP5);mcu_config_pullup(STEP5)
#endif
#define io6_config_pullup mcu_config_pullup(STEP5)
#define io6_get_input mcu_get_input(STEP5)
#elif ASSERT_PIN_EXTENDED(STEP5)
#define io6_config_output
#define io6_set_output ic74hc595_set_pin(STEP5);ic74hc595_shift_io_pins()
#define io6_clear_output ic74hc595_clear_pin(STEP5);ic74hc595_shift_io_pins()
#define io6_toggle_output ic74hc595_toggle_pin(STEP5);ic74hc595_shift_io_pins()
#define io6_get_output ic74hc595_get_pin(STEP5)
#define io6_config_input
#define io6_config_pullup
#define io6_get_input 0
#else
#define io6_config_output
#define io6_set_output
#define io6_clear_output
#define io6_toggle_output
#define io6_get_output 0
#define io6_config_input
#define io6_config_pullup
#define io6_get_input 0
#endif</v>
      </c>
      <c r="E8" s="32"/>
      <c r="F8" s="32"/>
      <c r="G8" s="32"/>
    </row>
    <row r="9" spans="1:7" x14ac:dyDescent="0.25">
      <c r="A9" s="4">
        <v>7</v>
      </c>
      <c r="B9" s="4" t="str">
        <f t="shared" si="0"/>
        <v>DIO7</v>
      </c>
      <c r="C9" s="29" t="s">
        <v>13</v>
      </c>
      <c r="D9" s="18" t="str">
        <f t="shared" si="1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#if !defined(STEP6_PULLUP) &amp;&amp; !defined(FORCE_IO_HAL_DIRECTION_ONREQUEST)
#define io7_config_input mcu_config_input(STEP6)
#else
#define io7_config_input mcu_config_input(STEP6);mcu_config_pullup(STEP6)
#endif
#define io7_config_pullup mcu_config_pullup(STEP6)
#define io7_get_input mcu_get_input(STEP6)
#elif ASSERT_PIN_EXTENDED(STEP6)
#define io7_config_output
#define io7_set_output ic74hc595_set_pin(STEP6);ic74hc595_shift_io_pins()
#define io7_clear_output ic74hc595_clear_pin(STEP6);ic74hc595_shift_io_pins()
#define io7_toggle_output ic74hc595_toggle_pin(STEP6);ic74hc595_shift_io_pins()
#define io7_get_output ic74hc595_get_pin(STEP6)
#define io7_config_input
#define io7_config_pullup
#define io7_get_input 0
#else
#define io7_config_output
#define io7_set_output
#define io7_clear_output
#define io7_toggle_output
#define io7_get_output 0
#define io7_config_input
#define io7_config_pullup
#define io7_get_input 0
#endif</v>
      </c>
      <c r="E9" s="32"/>
      <c r="F9" s="32"/>
      <c r="G9" s="32"/>
    </row>
    <row r="10" spans="1:7" x14ac:dyDescent="0.25">
      <c r="A10" s="4">
        <v>8</v>
      </c>
      <c r="B10" s="4" t="str">
        <f t="shared" si="0"/>
        <v>DIO8</v>
      </c>
      <c r="C10" s="29" t="s">
        <v>14</v>
      </c>
      <c r="D10" s="18" t="str">
        <f t="shared" si="1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#if !defined(STEP7_PULLUP) &amp;&amp; !defined(FORCE_IO_HAL_DIRECTION_ONREQUEST)
#define io8_config_input mcu_config_input(STEP7)
#else
#define io8_config_input mcu_config_input(STEP7);mcu_config_pullup(STEP7)
#endif
#define io8_config_pullup mcu_config_pullup(STEP7)
#define io8_get_input mcu_get_input(STEP7)
#elif ASSERT_PIN_EXTENDED(STEP7)
#define io8_config_output
#define io8_set_output ic74hc595_set_pin(STEP7);ic74hc595_shift_io_pins()
#define io8_clear_output ic74hc595_clear_pin(STEP7);ic74hc595_shift_io_pins()
#define io8_toggle_output ic74hc595_toggle_pin(STEP7);ic74hc595_shift_io_pins()
#define io8_get_output ic74hc595_get_pin(STEP7)
#define io8_config_input
#define io8_config_pullup
#define io8_get_input 0
#else
#define io8_config_output
#define io8_set_output
#define io8_clear_output
#define io8_toggle_output
#define io8_get_output 0
#define io8_config_input
#define io8_config_pullup
#define io8_get_input 0
#endif</v>
      </c>
      <c r="E10" s="32"/>
      <c r="F10" s="32"/>
      <c r="G10" s="32"/>
    </row>
    <row r="11" spans="1:7" x14ac:dyDescent="0.25">
      <c r="A11" s="4">
        <v>9</v>
      </c>
      <c r="B11" s="4" t="str">
        <f t="shared" si="0"/>
        <v>DIO9</v>
      </c>
      <c r="C11" s="29" t="s">
        <v>15</v>
      </c>
      <c r="D11" s="18" t="str">
        <f t="shared" si="1"/>
        <v>#if ASSERT_PIN_IO(DIR0)
#define io9_config_output mcu_config_output(DIR0)
#define io9_set_output mcu_set_output(DIR0)
#define io9_clear_output mcu_clear_output(DIR0)
#define io9_toggle_output mcu_toggle_output(DIR0)
#define io9_get_output mcu_get_output(DIR0)
#if !defined(DIR0_PULLUP) &amp;&amp; !defined(FORCE_IO_HAL_DIRECTION_ONREQUEST)
#define io9_config_input mcu_config_input(DIR0)
#else
#define io9_config_input mcu_config_input(DIR0);mcu_config_pullup(DIR0)
#endif
#define io9_config_pullup mcu_config_pullup(DIR0)
#define io9_get_input mcu_get_input(DIR0)
#elif ASSERT_PIN_EXTENDED(DIR0)
#define io9_config_output
#define io9_set_output ic74hc595_set_pin(DIR0);ic74hc595_shift_io_pins()
#define io9_clear_output ic74hc595_clear_pin(DIR0);ic74hc595_shift_io_pins()
#define io9_toggle_output ic74hc595_toggle_pin(DIR0);ic74hc595_shift_io_pins()
#define io9_get_output ic74hc595_get_pin(DIR0)
#define io9_config_input
#define io9_config_pullup
#define io9_get_input 0
#else
#define io9_config_output
#define io9_set_output
#define io9_clear_output
#define io9_toggle_output
#define io9_get_output 0
#define io9_config_input
#define io9_config_pullup
#define io9_get_input 0
#endif</v>
      </c>
      <c r="E11" s="32"/>
      <c r="F11" s="32"/>
      <c r="G11" s="32"/>
    </row>
    <row r="12" spans="1:7" x14ac:dyDescent="0.25">
      <c r="A12" s="4">
        <v>10</v>
      </c>
      <c r="B12" s="4" t="str">
        <f t="shared" si="0"/>
        <v>DIO10</v>
      </c>
      <c r="C12" s="29" t="s">
        <v>16</v>
      </c>
      <c r="D12" s="18" t="str">
        <f t="shared" si="1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#if !defined(DIR1_PULLUP) &amp;&amp; !defined(FORCE_IO_HAL_DIRECTION_ONREQUEST)
#define io10_config_input mcu_config_input(DIR1)
#else
#define io10_config_input mcu_config_input(DIR1);mcu_config_pullup(DIR1)
#endif
#define io10_config_pullup mcu_config_pullup(DIR1)
#define io10_get_input mcu_get_input(DIR1)
#elif ASSERT_PIN_EXTENDED(DIR1)
#define io10_config_output
#define io10_set_output ic74hc595_set_pin(DIR1);ic74hc595_shift_io_pins()
#define io10_clear_output ic74hc595_clear_pin(DIR1);ic74hc595_shift_io_pins()
#define io10_toggle_output ic74hc595_toggle_pin(DIR1);ic74hc595_shift_io_pins()
#define io10_get_output ic74hc595_get_pin(DIR1)
#define io10_config_input
#define io10_config_pullup
#define io10_get_input 0
#else
#define io10_config_output
#define io10_set_output
#define io10_clear_output
#define io10_toggle_output
#define io10_get_output 0
#define io10_config_input
#define io10_config_pullup
#define io10_get_input 0
#endif</v>
      </c>
      <c r="E12" s="32"/>
      <c r="F12" s="32"/>
      <c r="G12" s="32"/>
    </row>
    <row r="13" spans="1:7" x14ac:dyDescent="0.25">
      <c r="A13" s="4">
        <v>11</v>
      </c>
      <c r="B13" s="4" t="str">
        <f t="shared" si="0"/>
        <v>DIO11</v>
      </c>
      <c r="C13" s="29" t="s">
        <v>17</v>
      </c>
      <c r="D13" s="18" t="str">
        <f t="shared" si="1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#if !defined(DIR2_PULLUP) &amp;&amp; !defined(FORCE_IO_HAL_DIRECTION_ONREQUEST)
#define io11_config_input mcu_config_input(DIR2)
#else
#define io11_config_input mcu_config_input(DIR2);mcu_config_pullup(DIR2)
#endif
#define io11_config_pullup mcu_config_pullup(DIR2)
#define io11_get_input mcu_get_input(DIR2)
#elif ASSERT_PIN_EXTENDED(DIR2)
#define io11_config_output
#define io11_set_output ic74hc595_set_pin(DIR2);ic74hc595_shift_io_pins()
#define io11_clear_output ic74hc595_clear_pin(DIR2);ic74hc595_shift_io_pins()
#define io11_toggle_output ic74hc595_toggle_pin(DIR2);ic74hc595_shift_io_pins()
#define io11_get_output ic74hc595_get_pin(DIR2)
#define io11_config_input
#define io11_config_pullup
#define io11_get_input 0
#else
#define io11_config_output
#define io11_set_output
#define io11_clear_output
#define io11_toggle_output
#define io11_get_output 0
#define io11_config_input
#define io11_config_pullup
#define io11_get_input 0
#endif</v>
      </c>
      <c r="E13" s="32"/>
      <c r="F13" s="32"/>
      <c r="G13" s="32"/>
    </row>
    <row r="14" spans="1:7" x14ac:dyDescent="0.25">
      <c r="A14" s="4">
        <v>12</v>
      </c>
      <c r="B14" s="4" t="str">
        <f t="shared" si="0"/>
        <v>DIO12</v>
      </c>
      <c r="C14" s="29" t="s">
        <v>18</v>
      </c>
      <c r="D14" s="18" t="str">
        <f t="shared" si="1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#if !defined(DIR3_PULLUP) &amp;&amp; !defined(FORCE_IO_HAL_DIRECTION_ONREQUEST)
#define io12_config_input mcu_config_input(DIR3)
#else
#define io12_config_input mcu_config_input(DIR3);mcu_config_pullup(DIR3)
#endif
#define io12_config_pullup mcu_config_pullup(DIR3)
#define io12_get_input mcu_get_input(DIR3)
#elif ASSERT_PIN_EXTENDED(DIR3)
#define io12_config_output
#define io12_set_output ic74hc595_set_pin(DIR3);ic74hc595_shift_io_pins()
#define io12_clear_output ic74hc595_clear_pin(DIR3);ic74hc595_shift_io_pins()
#define io12_toggle_output ic74hc595_toggle_pin(DIR3);ic74hc595_shift_io_pins()
#define io12_get_output ic74hc595_get_pin(DIR3)
#define io12_config_input
#define io12_config_pullup
#define io12_get_input 0
#else
#define io12_config_output
#define io12_set_output
#define io12_clear_output
#define io12_toggle_output
#define io12_get_output 0
#define io12_config_input
#define io12_config_pullup
#define io12_get_input 0
#endif</v>
      </c>
      <c r="E14" s="32"/>
      <c r="F14" s="32"/>
      <c r="G14" s="32"/>
    </row>
    <row r="15" spans="1:7" x14ac:dyDescent="0.25">
      <c r="A15" s="4">
        <v>13</v>
      </c>
      <c r="B15" s="4" t="str">
        <f t="shared" si="0"/>
        <v>DIO13</v>
      </c>
      <c r="C15" s="29" t="s">
        <v>19</v>
      </c>
      <c r="D15" s="18" t="str">
        <f t="shared" si="1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#if !defined(DIR4_PULLUP) &amp;&amp; !defined(FORCE_IO_HAL_DIRECTION_ONREQUEST)
#define io13_config_input mcu_config_input(DIR4)
#else
#define io13_config_input mcu_config_input(DIR4);mcu_config_pullup(DIR4)
#endif
#define io13_config_pullup mcu_config_pullup(DIR4)
#define io13_get_input mcu_get_input(DIR4)
#elif ASSERT_PIN_EXTENDED(DIR4)
#define io13_config_output
#define io13_set_output ic74hc595_set_pin(DIR4);ic74hc595_shift_io_pins()
#define io13_clear_output ic74hc595_clear_pin(DIR4);ic74hc595_shift_io_pins()
#define io13_toggle_output ic74hc595_toggle_pin(DIR4);ic74hc595_shift_io_pins()
#define io13_get_output ic74hc595_get_pin(DIR4)
#define io13_config_input
#define io13_config_pullup
#define io13_get_input 0
#else
#define io13_config_output
#define io13_set_output
#define io13_clear_output
#define io13_toggle_output
#define io13_get_output 0
#define io13_config_input
#define io13_config_pullup
#define io13_get_input 0
#endif</v>
      </c>
      <c r="E15" s="32"/>
      <c r="F15" s="32"/>
      <c r="G15" s="32"/>
    </row>
    <row r="16" spans="1:7" x14ac:dyDescent="0.25">
      <c r="A16" s="4">
        <v>14</v>
      </c>
      <c r="B16" s="4" t="str">
        <f t="shared" si="0"/>
        <v>DIO14</v>
      </c>
      <c r="C16" s="29" t="s">
        <v>20</v>
      </c>
      <c r="D16" s="18" t="str">
        <f t="shared" si="1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#if !defined(DIR5_PULLUP) &amp;&amp; !defined(FORCE_IO_HAL_DIRECTION_ONREQUEST)
#define io14_config_input mcu_config_input(DIR5)
#else
#define io14_config_input mcu_config_input(DIR5);mcu_config_pullup(DIR5)
#endif
#define io14_config_pullup mcu_config_pullup(DIR5)
#define io14_get_input mcu_get_input(DIR5)
#elif ASSERT_PIN_EXTENDED(DIR5)
#define io14_config_output
#define io14_set_output ic74hc595_set_pin(DIR5);ic74hc595_shift_io_pins()
#define io14_clear_output ic74hc595_clear_pin(DIR5);ic74hc595_shift_io_pins()
#define io14_toggle_output ic74hc595_toggle_pin(DIR5);ic74hc595_shift_io_pins()
#define io14_get_output ic74hc595_get_pin(DIR5)
#define io14_config_input
#define io14_config_pullup
#define io14_get_input 0
#else
#define io14_config_output
#define io14_set_output
#define io14_clear_output
#define io14_toggle_output
#define io14_get_output 0
#define io14_config_input
#define io14_config_pullup
#define io14_get_input 0
#endif</v>
      </c>
      <c r="E16" s="32"/>
      <c r="F16" s="32"/>
      <c r="G16" s="32"/>
    </row>
    <row r="17" spans="1:7" x14ac:dyDescent="0.25">
      <c r="A17" s="4">
        <v>15</v>
      </c>
      <c r="B17" s="4" t="str">
        <f t="shared" si="0"/>
        <v>DIO15</v>
      </c>
      <c r="C17" s="29" t="s">
        <v>228</v>
      </c>
      <c r="D17" s="18" t="str">
        <f t="shared" si="1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#if !defined(DIR6_PULLUP) &amp;&amp; !defined(FORCE_IO_HAL_DIRECTION_ONREQUEST)
#define io15_config_input mcu_config_input(DIR6)
#else
#define io15_config_input mcu_config_input(DIR6);mcu_config_pullup(DIR6)
#endif
#define io15_config_pullup mcu_config_pullup(DIR6)
#define io15_get_input mcu_get_input(DIR6)
#elif ASSERT_PIN_EXTENDED(DIR6)
#define io15_config_output
#define io15_set_output ic74hc595_set_pin(DIR6);ic74hc595_shift_io_pins()
#define io15_clear_output ic74hc595_clear_pin(DIR6);ic74hc595_shift_io_pins()
#define io15_toggle_output ic74hc595_toggle_pin(DIR6);ic74hc595_shift_io_pins()
#define io15_get_output ic74hc595_get_pin(DIR6)
#define io15_config_input
#define io15_config_pullup
#define io15_get_input 0
#else
#define io15_config_output
#define io15_set_output
#define io15_clear_output
#define io15_toggle_output
#define io15_get_output 0
#define io15_config_input
#define io15_config_pullup
#define io15_get_input 0
#endif</v>
      </c>
      <c r="E17" s="32"/>
      <c r="F17" s="32"/>
      <c r="G17" s="32"/>
    </row>
    <row r="18" spans="1:7" x14ac:dyDescent="0.25">
      <c r="A18" s="4">
        <v>16</v>
      </c>
      <c r="B18" s="4" t="str">
        <f t="shared" si="0"/>
        <v>DIO16</v>
      </c>
      <c r="C18" s="29" t="s">
        <v>229</v>
      </c>
      <c r="D18" s="18" t="str">
        <f t="shared" si="1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#if !defined(DIR7_PULLUP) &amp;&amp; !defined(FORCE_IO_HAL_DIRECTION_ONREQUEST)
#define io16_config_input mcu_config_input(DIR7)
#else
#define io16_config_input mcu_config_input(DIR7);mcu_config_pullup(DIR7)
#endif
#define io16_config_pullup mcu_config_pullup(DIR7)
#define io16_get_input mcu_get_input(DIR7)
#elif ASSERT_PIN_EXTENDED(DIR7)
#define io16_config_output
#define io16_set_output ic74hc595_set_pin(DIR7);ic74hc595_shift_io_pins()
#define io16_clear_output ic74hc595_clear_pin(DIR7);ic74hc595_shift_io_pins()
#define io16_toggle_output ic74hc595_toggle_pin(DIR7);ic74hc595_shift_io_pins()
#define io16_get_output ic74hc595_get_pin(DIR7)
#define io16_config_input
#define io16_config_pullup
#define io16_get_input 0
#else
#define io16_config_output
#define io16_set_output
#define io16_clear_output
#define io16_toggle_output
#define io16_get_output 0
#define io16_config_input
#define io16_config_pullup
#define io16_get_input 0
#endif</v>
      </c>
      <c r="E18" s="32"/>
      <c r="F18" s="32"/>
      <c r="G18" s="32"/>
    </row>
    <row r="19" spans="1:7" x14ac:dyDescent="0.25">
      <c r="A19" s="4">
        <v>17</v>
      </c>
      <c r="B19" s="4" t="str">
        <f t="shared" si="0"/>
        <v>DIO17</v>
      </c>
      <c r="C19" s="29" t="s">
        <v>21</v>
      </c>
      <c r="D19" s="18" t="str">
        <f t="shared" si="1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#if !defined(STEP0_EN_PULLUP) &amp;&amp; !defined(FORCE_IO_HAL_DIRECTION_ONREQUEST)
#define io17_config_input mcu_config_input(STEP0_EN)
#else
#define io17_config_input mcu_config_input(STEP0_EN);mcu_config_pullup(STEP0_EN)
#endif
#define io17_config_pullup mcu_config_pullup(STEP0_EN)
#define io17_get_input mcu_get_input(STEP0_EN)
#elif ASSERT_PIN_EXTENDED(STEP0_EN)
#define io17_config_output
#define io17_set_output ic74hc595_set_pin(STEP0_EN);ic74hc595_shift_io_pins()
#define io17_clear_output ic74hc595_clear_pin(STEP0_EN);ic74hc595_shift_io_pins()
#define io17_toggle_output ic74hc595_toggle_pin(STEP0_EN);ic74hc595_shift_io_pins()
#define io17_get_output ic74hc595_get_pin(STEP0_EN)
#define io17_config_input
#define io17_config_pullup
#define io17_get_input 0
#else
#define io17_config_output
#define io17_set_output
#define io17_clear_output
#define io17_toggle_output
#define io17_get_output 0
#define io17_config_input
#define io17_config_pullup
#define io17_get_input 0
#endif</v>
      </c>
      <c r="E19" s="32"/>
      <c r="F19" s="32"/>
      <c r="G19" s="32"/>
    </row>
    <row r="20" spans="1:7" x14ac:dyDescent="0.25">
      <c r="A20" s="4">
        <v>18</v>
      </c>
      <c r="B20" s="4" t="str">
        <f t="shared" si="0"/>
        <v>DIO18</v>
      </c>
      <c r="C20" s="29" t="s">
        <v>22</v>
      </c>
      <c r="D20" s="18" t="str">
        <f t="shared" si="1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#if !defined(STEP1_EN_PULLUP) &amp;&amp; !defined(FORCE_IO_HAL_DIRECTION_ONREQUEST)
#define io18_config_input mcu_config_input(STEP1_EN)
#else
#define io18_config_input mcu_config_input(STEP1_EN);mcu_config_pullup(STEP1_EN)
#endif
#define io18_config_pullup mcu_config_pullup(STEP1_EN)
#define io18_get_input mcu_get_input(STEP1_EN)
#elif ASSERT_PIN_EXTENDED(STEP1_EN)
#define io18_config_output
#define io18_set_output ic74hc595_set_pin(STEP1_EN);ic74hc595_shift_io_pins()
#define io18_clear_output ic74hc595_clear_pin(STEP1_EN);ic74hc595_shift_io_pins()
#define io18_toggle_output ic74hc595_toggle_pin(STEP1_EN);ic74hc595_shift_io_pins()
#define io18_get_output ic74hc595_get_pin(STEP1_EN)
#define io18_config_input
#define io18_config_pullup
#define io18_get_input 0
#else
#define io18_config_output
#define io18_set_output
#define io18_clear_output
#define io18_toggle_output
#define io18_get_output 0
#define io18_config_input
#define io18_config_pullup
#define io18_get_input 0
#endif</v>
      </c>
      <c r="E20" s="32"/>
      <c r="F20" s="32"/>
      <c r="G20" s="32"/>
    </row>
    <row r="21" spans="1:7" x14ac:dyDescent="0.25">
      <c r="A21" s="4">
        <v>19</v>
      </c>
      <c r="B21" s="4" t="str">
        <f t="shared" si="0"/>
        <v>DIO19</v>
      </c>
      <c r="C21" s="29" t="s">
        <v>23</v>
      </c>
      <c r="D21" s="18" t="str">
        <f t="shared" si="1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#if !defined(STEP2_EN_PULLUP) &amp;&amp; !defined(FORCE_IO_HAL_DIRECTION_ONREQUEST)
#define io19_config_input mcu_config_input(STEP2_EN)
#else
#define io19_config_input mcu_config_input(STEP2_EN);mcu_config_pullup(STEP2_EN)
#endif
#define io19_config_pullup mcu_config_pullup(STEP2_EN)
#define io19_get_input mcu_get_input(STEP2_EN)
#elif ASSERT_PIN_EXTENDED(STEP2_EN)
#define io19_config_output
#define io19_set_output ic74hc595_set_pin(STEP2_EN);ic74hc595_shift_io_pins()
#define io19_clear_output ic74hc595_clear_pin(STEP2_EN);ic74hc595_shift_io_pins()
#define io19_toggle_output ic74hc595_toggle_pin(STEP2_EN);ic74hc595_shift_io_pins()
#define io19_get_output ic74hc595_get_pin(STEP2_EN)
#define io19_config_input
#define io19_config_pullup
#define io19_get_input 0
#else
#define io19_config_output
#define io19_set_output
#define io19_clear_output
#define io19_toggle_output
#define io19_get_output 0
#define io19_config_input
#define io19_config_pullup
#define io19_get_input 0
#endif</v>
      </c>
      <c r="E21" s="32"/>
      <c r="F21" s="32"/>
      <c r="G21" s="32"/>
    </row>
    <row r="22" spans="1:7" x14ac:dyDescent="0.25">
      <c r="A22" s="4">
        <v>20</v>
      </c>
      <c r="B22" s="4" t="str">
        <f t="shared" si="0"/>
        <v>DIO20</v>
      </c>
      <c r="C22" s="29" t="s">
        <v>24</v>
      </c>
      <c r="D22" s="18" t="str">
        <f t="shared" si="1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#if !defined(STEP3_EN_PULLUP) &amp;&amp; !defined(FORCE_IO_HAL_DIRECTION_ONREQUEST)
#define io20_config_input mcu_config_input(STEP3_EN)
#else
#define io20_config_input mcu_config_input(STEP3_EN);mcu_config_pullup(STEP3_EN)
#endif
#define io20_config_pullup mcu_config_pullup(STEP3_EN)
#define io20_get_input mcu_get_input(STEP3_EN)
#elif ASSERT_PIN_EXTENDED(STEP3_EN)
#define io20_config_output
#define io20_set_output ic74hc595_set_pin(STEP3_EN);ic74hc595_shift_io_pins()
#define io20_clear_output ic74hc595_clear_pin(STEP3_EN);ic74hc595_shift_io_pins()
#define io20_toggle_output ic74hc595_toggle_pin(STEP3_EN);ic74hc595_shift_io_pins()
#define io20_get_output ic74hc595_get_pin(STEP3_EN)
#define io20_config_input
#define io20_config_pullup
#define io20_get_input 0
#else
#define io20_config_output
#define io20_set_output
#define io20_clear_output
#define io20_toggle_output
#define io20_get_output 0
#define io20_config_input
#define io20_config_pullup
#define io20_get_input 0
#endif</v>
      </c>
      <c r="E22" s="32"/>
      <c r="F22" s="32"/>
      <c r="G22" s="32"/>
    </row>
    <row r="23" spans="1:7" x14ac:dyDescent="0.25">
      <c r="A23" s="4">
        <v>21</v>
      </c>
      <c r="B23" s="4" t="str">
        <f t="shared" si="0"/>
        <v>DIO21</v>
      </c>
      <c r="C23" s="29" t="s">
        <v>25</v>
      </c>
      <c r="D23" s="18" t="str">
        <f t="shared" si="1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#if !defined(STEP4_EN_PULLUP) &amp;&amp; !defined(FORCE_IO_HAL_DIRECTION_ONREQUEST)
#define io21_config_input mcu_config_input(STEP4_EN)
#else
#define io21_config_input mcu_config_input(STEP4_EN);mcu_config_pullup(STEP4_EN)
#endif
#define io21_config_pullup mcu_config_pullup(STEP4_EN)
#define io21_get_input mcu_get_input(STEP4_EN)
#elif ASSERT_PIN_EXTENDED(STEP4_EN)
#define io21_config_output
#define io21_set_output ic74hc595_set_pin(STEP4_EN);ic74hc595_shift_io_pins()
#define io21_clear_output ic74hc595_clear_pin(STEP4_EN);ic74hc595_shift_io_pins()
#define io21_toggle_output ic74hc595_toggle_pin(STEP4_EN);ic74hc595_shift_io_pins()
#define io21_get_output ic74hc595_get_pin(STEP4_EN)
#define io21_config_input
#define io21_config_pullup
#define io21_get_input 0
#else
#define io21_config_output
#define io21_set_output
#define io21_clear_output
#define io21_toggle_output
#define io21_get_output 0
#define io21_config_input
#define io21_config_pullup
#define io21_get_input 0
#endif</v>
      </c>
      <c r="E23" s="32"/>
      <c r="F23" s="32"/>
      <c r="G23" s="32"/>
    </row>
    <row r="24" spans="1:7" x14ac:dyDescent="0.25">
      <c r="A24" s="4">
        <v>22</v>
      </c>
      <c r="B24" s="4" t="str">
        <f t="shared" si="0"/>
        <v>DIO22</v>
      </c>
      <c r="C24" s="29" t="s">
        <v>26</v>
      </c>
      <c r="D24" s="18" t="str">
        <f t="shared" si="1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#if !defined(STEP5_EN_PULLUP) &amp;&amp; !defined(FORCE_IO_HAL_DIRECTION_ONREQUEST)
#define io22_config_input mcu_config_input(STEP5_EN)
#else
#define io22_config_input mcu_config_input(STEP5_EN);mcu_config_pullup(STEP5_EN)
#endif
#define io22_config_pullup mcu_config_pullup(STEP5_EN)
#define io22_get_input mcu_get_input(STEP5_EN)
#elif ASSERT_PIN_EXTENDED(STEP5_EN)
#define io22_config_output
#define io22_set_output ic74hc595_set_pin(STEP5_EN);ic74hc595_shift_io_pins()
#define io22_clear_output ic74hc595_clear_pin(STEP5_EN);ic74hc595_shift_io_pins()
#define io22_toggle_output ic74hc595_toggle_pin(STEP5_EN);ic74hc595_shift_io_pins()
#define io22_get_output ic74hc595_get_pin(STEP5_EN)
#define io22_config_input
#define io22_config_pullup
#define io22_get_input 0
#else
#define io22_config_output
#define io22_set_output
#define io22_clear_output
#define io22_toggle_output
#define io22_get_output 0
#define io22_config_input
#define io22_config_pullup
#define io22_get_input 0
#endif</v>
      </c>
      <c r="E24" s="32"/>
      <c r="F24" s="32"/>
      <c r="G24" s="32"/>
    </row>
    <row r="25" spans="1:7" x14ac:dyDescent="0.25">
      <c r="A25" s="4">
        <v>23</v>
      </c>
      <c r="B25" s="4" t="str">
        <f t="shared" si="0"/>
        <v>DIO23</v>
      </c>
      <c r="C25" s="29" t="s">
        <v>226</v>
      </c>
      <c r="D25" s="18" t="str">
        <f t="shared" si="1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#if !defined(STEP6_EN_PULLUP) &amp;&amp; !defined(FORCE_IO_HAL_DIRECTION_ONREQUEST)
#define io23_config_input mcu_config_input(STEP6_EN)
#else
#define io23_config_input mcu_config_input(STEP6_EN);mcu_config_pullup(STEP6_EN)
#endif
#define io23_config_pullup mcu_config_pullup(STEP6_EN)
#define io23_get_input mcu_get_input(STEP6_EN)
#elif ASSERT_PIN_EXTENDED(STEP6_EN)
#define io23_config_output
#define io23_set_output ic74hc595_set_pin(STEP6_EN);ic74hc595_shift_io_pins()
#define io23_clear_output ic74hc595_clear_pin(STEP6_EN);ic74hc595_shift_io_pins()
#define io23_toggle_output ic74hc595_toggle_pin(STEP6_EN);ic74hc595_shift_io_pins()
#define io23_get_output ic74hc595_get_pin(STEP6_EN)
#define io23_config_input
#define io23_config_pullup
#define io23_get_input 0
#else
#define io23_config_output
#define io23_set_output
#define io23_clear_output
#define io23_toggle_output
#define io23_get_output 0
#define io23_config_input
#define io23_config_pullup
#define io23_get_input 0
#endif</v>
      </c>
      <c r="E25" s="32"/>
      <c r="F25" s="32"/>
      <c r="G25" s="32"/>
    </row>
    <row r="26" spans="1:7" x14ac:dyDescent="0.25">
      <c r="A26" s="4">
        <v>24</v>
      </c>
      <c r="B26" s="4" t="str">
        <f t="shared" si="0"/>
        <v>DIO24</v>
      </c>
      <c r="C26" s="29" t="s">
        <v>227</v>
      </c>
      <c r="D26" s="18" t="str">
        <f t="shared" si="1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#if !defined(STEP7_EN_PULLUP) &amp;&amp; !defined(FORCE_IO_HAL_DIRECTION_ONREQUEST)
#define io24_config_input mcu_config_input(STEP7_EN)
#else
#define io24_config_input mcu_config_input(STEP7_EN);mcu_config_pullup(STEP7_EN)
#endif
#define io24_config_pullup mcu_config_pullup(STEP7_EN)
#define io24_get_input mcu_get_input(STEP7_EN)
#elif ASSERT_PIN_EXTENDED(STEP7_EN)
#define io24_config_output
#define io24_set_output ic74hc595_set_pin(STEP7_EN);ic74hc595_shift_io_pins()
#define io24_clear_output ic74hc595_clear_pin(STEP7_EN);ic74hc595_shift_io_pins()
#define io24_toggle_output ic74hc595_toggle_pin(STEP7_EN);ic74hc595_shift_io_pins()
#define io24_get_output ic74hc595_get_pin(STEP7_EN)
#define io24_config_input
#define io24_config_pullup
#define io24_get_input 0
#else
#define io24_config_output
#define io24_set_output
#define io24_clear_output
#define io24_toggle_output
#define io24_get_output 0
#define io24_config_input
#define io24_config_pullup
#define io24_get_input 0
#endif</v>
      </c>
      <c r="E26" s="32"/>
      <c r="F26" s="32"/>
      <c r="G26" s="32"/>
    </row>
    <row r="27" spans="1:7" x14ac:dyDescent="0.25">
      <c r="A27" s="4">
        <v>25</v>
      </c>
      <c r="B27" s="4" t="str">
        <f t="shared" si="0"/>
        <v>DIO25</v>
      </c>
      <c r="C27" s="29" t="s">
        <v>27</v>
      </c>
      <c r="D27" s="18" t="str">
        <f t="shared" si="1"/>
        <v>#if ASSERT_PIN_IO(PWM0)
#define io25_config_output mcu_config_output(PWM0)
#define io25_set_output mcu_set_output(PWM0)
#define io25_clear_output mcu_clear_output(PWM0)
#define io25_toggle_output mcu_toggle_output(PWM0)
#define io25_get_output mcu_get_output(PWM0)
#if !defined(PWM0_PULLUP) &amp;&amp; !defined(FORCE_IO_HAL_DIRECTION_ONREQUEST)
#define io25_config_input mcu_config_input(PWM0)
#else
#define io25_config_input mcu_config_input(PWM0);mcu_config_pullup(PWM0)
#endif
#define io25_config_pullup mcu_config_pullup(PWM0)
#define io25_get_input mcu_get_input(PWM0)
#elif ASSERT_PIN_EXTENDED(PWM0)
#define io25_config_output
#define io25_set_output ic74hc595_set_pin(PWM0);ic74hc595_shift_io_pins()
#define io25_clear_output ic74hc595_clear_pin(PWM0);ic74hc595_shift_io_pins()
#define io25_toggle_output ic74hc595_toggle_pin(PWM0);ic74hc595_shift_io_pins()
#define io25_get_output ic74hc595_get_pin(PWM0)
#define io25_config_input
#define io25_config_pullup
#define io25_get_input 0
#else
#define io25_config_output
#define io25_set_output
#define io25_clear_output
#define io25_toggle_output
#define io25_get_output 0
#define io25_config_input
#define io25_config_pullup
#define io25_get_input 0
#endif</v>
      </c>
      <c r="E27" s="18" t="str">
        <f>"#if ASSERT_PIN_IO("&amp;C27&amp;")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io"&amp;A27&amp;"_config_pwm(freq) {g_soft_pwm_res = mcu_softpwm_freq_config(freq);}
#define io"&amp;A27&amp;"_set_pwm(value) { g_io_soft_pwm["&amp;C27&amp;" - PWM_PINS_OFFSET] = (0xFF &amp; value); }
#define io"&amp;A27&amp;"_get_pwm g_io_soft_pwm["&amp;C27&amp;" - PWM_PINS_OFFSET]
#else
#define io"&amp;A27&amp;"_config_pwm(freq)
#define io"&amp;A27&amp;"_set_pwm(value)
#define io"&amp;A27&amp;"_get_pwm 0
#endif"</f>
        <v>#if ASSERT_PIN_IO(PWM0)
#define io25_config_pwm(freq) mcu_config_pwm(PWM0, freq)
#define io25_set_pwm(value) mcu_set_pwm(PWM0, value)
#define io25_get_pwm mcu_get_pwm(PWM0)
#elif ASSERT_PIN_EXTENDED(PWM0)
#define io25_config_pwm(freq) {g_soft_pwm_res = mcu_softpwm_freq_config(freq);}
#define io25_set_pwm(value) { g_io_soft_pwm[PWM0 - PWM_PINS_OFFSET] = (0xFF &amp; value); }
#define io25_get_pwm g_io_soft_pwm[PWM0 - PWM_PINS_OFFSET]
#else
#define io25_config_pwm(freq)
#define io25_set_pwm(value)
#define io25_get_pwm 0
#endif</v>
      </c>
      <c r="F27" s="32"/>
      <c r="G27" s="32"/>
    </row>
    <row r="28" spans="1:7" x14ac:dyDescent="0.25">
      <c r="A28" s="4">
        <v>26</v>
      </c>
      <c r="B28" s="4" t="str">
        <f t="shared" si="0"/>
        <v>DIO26</v>
      </c>
      <c r="C28" s="29" t="s">
        <v>28</v>
      </c>
      <c r="D28" s="18" t="str">
        <f t="shared" si="1"/>
        <v>#if ASSERT_PIN_IO(PWM1)
#define io26_config_output mcu_config_output(PWM1)
#define io26_set_output mcu_set_output(PWM1)
#define io26_clear_output mcu_clear_output(PWM1)
#define io26_toggle_output mcu_toggle_output(PWM1)
#define io26_get_output mcu_get_output(PWM1)
#if !defined(PWM1_PULLUP) &amp;&amp; !defined(FORCE_IO_HAL_DIRECTION_ONREQUEST)
#define io26_config_input mcu_config_input(PWM1)
#else
#define io26_config_input mcu_config_input(PWM1);mcu_config_pullup(PWM1)
#endif
#define io26_config_pullup mcu_config_pullup(PWM1)
#define io26_get_input mcu_get_input(PWM1)
#elif ASSERT_PIN_EXTENDED(PWM1)
#define io26_config_output
#define io26_set_output ic74hc595_set_pin(PWM1);ic74hc595_shift_io_pins()
#define io26_clear_output ic74hc595_clear_pin(PWM1);ic74hc595_shift_io_pins()
#define io26_toggle_output ic74hc595_toggle_pin(PWM1);ic74hc595_shift_io_pins()
#define io26_get_output ic74hc595_get_pin(PWM1)
#define io26_config_input
#define io26_config_pullup
#define io26_get_input 0
#else
#define io26_config_output
#define io26_set_output
#define io26_clear_output
#define io26_toggle_output
#define io26_get_output 0
#define io26_config_input
#define io26_config_pullup
#define io26_get_input 0
#endif</v>
      </c>
      <c r="E28" s="18" t="str">
        <f t="shared" ref="E28:E42" si="2">"#if ASSERT_PIN_IO("&amp;C28&amp;")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io"&amp;A28&amp;"_config_pwm(freq) {g_soft_pwm_res = mcu_softpwm_freq_config(freq);}
#define io"&amp;A28&amp;"_set_pwm(value) { g_io_soft_pwm["&amp;C28&amp;" - PWM_PINS_OFFSET] = (0xFF &amp; value); }
#define io"&amp;A28&amp;"_get_pwm g_io_soft_pwm["&amp;C28&amp;" - PWM_PINS_OFFSET]
#else
#define io"&amp;A28&amp;"_config_pwm(freq)
#define io"&amp;A28&amp;"_set_pwm(value)
#define io"&amp;A28&amp;"_get_pwm 0
#endif"</f>
        <v>#if ASSERT_PIN_IO(PWM1)
#define io26_config_pwm(freq) mcu_config_pwm(PWM1, freq)
#define io26_set_pwm(value) mcu_set_pwm(PWM1, value)
#define io26_get_pwm mcu_get_pwm(PWM1)
#elif ASSERT_PIN_EXTENDED(PWM1)
#define io26_config_pwm(freq) {g_soft_pwm_res = mcu_softpwm_freq_config(freq);}
#define io26_set_pwm(value) { g_io_soft_pwm[PWM1 - PWM_PINS_OFFSET] = (0xFF &amp; value); }
#define io26_get_pwm g_io_soft_pwm[PWM1 - PWM_PINS_OFFSET]
#else
#define io26_config_pwm(freq)
#define io26_set_pwm(value)
#define io26_get_pwm 0
#endif</v>
      </c>
      <c r="F28" s="32"/>
      <c r="G28" s="32"/>
    </row>
    <row r="29" spans="1:7" x14ac:dyDescent="0.25">
      <c r="A29" s="4">
        <v>27</v>
      </c>
      <c r="B29" s="4" t="str">
        <f t="shared" si="0"/>
        <v>DIO27</v>
      </c>
      <c r="C29" s="29" t="s">
        <v>29</v>
      </c>
      <c r="D29" s="18" t="str">
        <f t="shared" si="1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#if !defined(PWM2_PULLUP) &amp;&amp; !defined(FORCE_IO_HAL_DIRECTION_ONREQUEST)
#define io27_config_input mcu_config_input(PWM2)
#else
#define io27_config_input mcu_config_input(PWM2);mcu_config_pullup(PWM2)
#endif
#define io27_config_pullup mcu_config_pullup(PWM2)
#define io27_get_input mcu_get_input(PWM2)
#elif ASSERT_PIN_EXTENDED(PWM2)
#define io27_config_output
#define io27_set_output ic74hc595_set_pin(PWM2);ic74hc595_shift_io_pins()
#define io27_clear_output ic74hc595_clear_pin(PWM2);ic74hc595_shift_io_pins()
#define io27_toggle_output ic74hc595_toggle_pin(PWM2);ic74hc595_shift_io_pins()
#define io27_get_output ic74hc595_get_pin(PWM2)
#define io27_config_input
#define io27_config_pullup
#define io27_get_input 0
#else
#define io27_config_output
#define io27_set_output
#define io27_clear_output
#define io27_toggle_output
#define io27_get_output 0
#define io27_config_input
#define io27_config_pullup
#define io27_get_input 0
#endif</v>
      </c>
      <c r="E29" s="18" t="str">
        <f t="shared" si="2"/>
        <v>#if ASSERT_PIN_IO(PWM2)
#define io27_config_pwm(freq) mcu_config_pwm(PWM2, freq)
#define io27_set_pwm(value) mcu_set_pwm(PWM2, value)
#define io27_get_pwm mcu_get_pwm(PWM2)
#elif ASSERT_PIN_EXTENDED(PWM2)
#define io27_config_pwm(freq) {g_soft_pwm_res = mcu_softpwm_freq_config(freq);}
#define io27_set_pwm(value) { g_io_soft_pwm[PWM2 - PWM_PINS_OFFSET] = (0xFF &amp; value); }
#define io27_get_pwm g_io_soft_pwm[PWM2 - PWM_PINS_OFFSET]
#else
#define io27_config_pwm(freq)
#define io27_set_pwm(value)
#define io27_get_pwm 0
#endif</v>
      </c>
      <c r="F29" s="32"/>
      <c r="G29" s="32"/>
    </row>
    <row r="30" spans="1:7" x14ac:dyDescent="0.25">
      <c r="A30" s="4">
        <v>28</v>
      </c>
      <c r="B30" s="4" t="str">
        <f t="shared" si="0"/>
        <v>DIO28</v>
      </c>
      <c r="C30" s="29" t="s">
        <v>30</v>
      </c>
      <c r="D30" s="18" t="str">
        <f t="shared" si="1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#if !defined(PWM3_PULLUP) &amp;&amp; !defined(FORCE_IO_HAL_DIRECTION_ONREQUEST)
#define io28_config_input mcu_config_input(PWM3)
#else
#define io28_config_input mcu_config_input(PWM3);mcu_config_pullup(PWM3)
#endif
#define io28_config_pullup mcu_config_pullup(PWM3)
#define io28_get_input mcu_get_input(PWM3)
#elif ASSERT_PIN_EXTENDED(PWM3)
#define io28_config_output
#define io28_set_output ic74hc595_set_pin(PWM3);ic74hc595_shift_io_pins()
#define io28_clear_output ic74hc595_clear_pin(PWM3);ic74hc595_shift_io_pins()
#define io28_toggle_output ic74hc595_toggle_pin(PWM3);ic74hc595_shift_io_pins()
#define io28_get_output ic74hc595_get_pin(PWM3)
#define io28_config_input
#define io28_config_pullup
#define io28_get_input 0
#else
#define io28_config_output
#define io28_set_output
#define io28_clear_output
#define io28_toggle_output
#define io28_get_output 0
#define io28_config_input
#define io28_config_pullup
#define io28_get_input 0
#endif</v>
      </c>
      <c r="E30" s="18" t="str">
        <f t="shared" si="2"/>
        <v>#if ASSERT_PIN_IO(PWM3)
#define io28_config_pwm(freq) mcu_config_pwm(PWM3, freq)
#define io28_set_pwm(value) mcu_set_pwm(PWM3, value)
#define io28_get_pwm mcu_get_pwm(PWM3)
#elif ASSERT_PIN_EXTENDED(PWM3)
#define io28_config_pwm(freq) {g_soft_pwm_res = mcu_softpwm_freq_config(freq);}
#define io28_set_pwm(value) { g_io_soft_pwm[PWM3 - PWM_PINS_OFFSET] = (0xFF &amp; value); }
#define io28_get_pwm g_io_soft_pwm[PWM3 - PWM_PINS_OFFSET]
#else
#define io28_config_pwm(freq)
#define io28_set_pwm(value)
#define io28_get_pwm 0
#endif</v>
      </c>
      <c r="F30" s="32"/>
      <c r="G30" s="32"/>
    </row>
    <row r="31" spans="1:7" x14ac:dyDescent="0.25">
      <c r="A31" s="4">
        <v>29</v>
      </c>
      <c r="B31" s="4" t="str">
        <f t="shared" si="0"/>
        <v>DIO29</v>
      </c>
      <c r="C31" s="29" t="s">
        <v>31</v>
      </c>
      <c r="D31" s="18" t="str">
        <f t="shared" si="1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#if !defined(PWM4_PULLUP) &amp;&amp; !defined(FORCE_IO_HAL_DIRECTION_ONREQUEST)
#define io29_config_input mcu_config_input(PWM4)
#else
#define io29_config_input mcu_config_input(PWM4);mcu_config_pullup(PWM4)
#endif
#define io29_config_pullup mcu_config_pullup(PWM4)
#define io29_get_input mcu_get_input(PWM4)
#elif ASSERT_PIN_EXTENDED(PWM4)
#define io29_config_output
#define io29_set_output ic74hc595_set_pin(PWM4);ic74hc595_shift_io_pins()
#define io29_clear_output ic74hc595_clear_pin(PWM4);ic74hc595_shift_io_pins()
#define io29_toggle_output ic74hc595_toggle_pin(PWM4);ic74hc595_shift_io_pins()
#define io29_get_output ic74hc595_get_pin(PWM4)
#define io29_config_input
#define io29_config_pullup
#define io29_get_input 0
#else
#define io29_config_output
#define io29_set_output
#define io29_clear_output
#define io29_toggle_output
#define io29_get_output 0
#define io29_config_input
#define io29_config_pullup
#define io29_get_input 0
#endif</v>
      </c>
      <c r="E31" s="18" t="str">
        <f t="shared" si="2"/>
        <v>#if ASSERT_PIN_IO(PWM4)
#define io29_config_pwm(freq) mcu_config_pwm(PWM4, freq)
#define io29_set_pwm(value) mcu_set_pwm(PWM4, value)
#define io29_get_pwm mcu_get_pwm(PWM4)
#elif ASSERT_PIN_EXTENDED(PWM4)
#define io29_config_pwm(freq) {g_soft_pwm_res = mcu_softpwm_freq_config(freq);}
#define io29_set_pwm(value) { g_io_soft_pwm[PWM4 - PWM_PINS_OFFSET] = (0xFF &amp; value); }
#define io29_get_pwm g_io_soft_pwm[PWM4 - PWM_PINS_OFFSET]
#else
#define io29_config_pwm(freq)
#define io29_set_pwm(value)
#define io29_get_pwm 0
#endif</v>
      </c>
      <c r="F31" s="32"/>
      <c r="G31" s="32"/>
    </row>
    <row r="32" spans="1:7" x14ac:dyDescent="0.25">
      <c r="A32" s="4">
        <v>30</v>
      </c>
      <c r="B32" s="4" t="str">
        <f t="shared" si="0"/>
        <v>DIO30</v>
      </c>
      <c r="C32" s="29" t="s">
        <v>32</v>
      </c>
      <c r="D32" s="18" t="str">
        <f t="shared" si="1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#if !defined(PWM5_PULLUP) &amp;&amp; !defined(FORCE_IO_HAL_DIRECTION_ONREQUEST)
#define io30_config_input mcu_config_input(PWM5)
#else
#define io30_config_input mcu_config_input(PWM5);mcu_config_pullup(PWM5)
#endif
#define io30_config_pullup mcu_config_pullup(PWM5)
#define io30_get_input mcu_get_input(PWM5)
#elif ASSERT_PIN_EXTENDED(PWM5)
#define io30_config_output
#define io30_set_output ic74hc595_set_pin(PWM5);ic74hc595_shift_io_pins()
#define io30_clear_output ic74hc595_clear_pin(PWM5);ic74hc595_shift_io_pins()
#define io30_toggle_output ic74hc595_toggle_pin(PWM5);ic74hc595_shift_io_pins()
#define io30_get_output ic74hc595_get_pin(PWM5)
#define io30_config_input
#define io30_config_pullup
#define io30_get_input 0
#else
#define io30_config_output
#define io30_set_output
#define io30_clear_output
#define io30_toggle_output
#define io30_get_output 0
#define io30_config_input
#define io30_config_pullup
#define io30_get_input 0
#endif</v>
      </c>
      <c r="E32" s="18" t="str">
        <f t="shared" si="2"/>
        <v>#if ASSERT_PIN_IO(PWM5)
#define io30_config_pwm(freq) mcu_config_pwm(PWM5, freq)
#define io30_set_pwm(value) mcu_set_pwm(PWM5, value)
#define io30_get_pwm mcu_get_pwm(PWM5)
#elif ASSERT_PIN_EXTENDED(PWM5)
#define io30_config_pwm(freq) {g_soft_pwm_res = mcu_softpwm_freq_config(freq);}
#define io30_set_pwm(value) { g_io_soft_pwm[PWM5 - PWM_PINS_OFFSET] = (0xFF &amp; value); }
#define io30_get_pwm g_io_soft_pwm[PWM5 - PWM_PINS_OFFSET]
#else
#define io30_config_pwm(freq)
#define io30_set_pwm(value)
#define io30_get_pwm 0
#endif</v>
      </c>
      <c r="F32" s="32"/>
      <c r="G32" s="32"/>
    </row>
    <row r="33" spans="1:7" x14ac:dyDescent="0.25">
      <c r="A33" s="4">
        <v>31</v>
      </c>
      <c r="B33" s="4" t="str">
        <f t="shared" si="0"/>
        <v>DIO31</v>
      </c>
      <c r="C33" s="29" t="s">
        <v>33</v>
      </c>
      <c r="D33" s="18" t="str">
        <f t="shared" si="1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#if !defined(PWM6_PULLUP) &amp;&amp; !defined(FORCE_IO_HAL_DIRECTION_ONREQUEST)
#define io31_config_input mcu_config_input(PWM6)
#else
#define io31_config_input mcu_config_input(PWM6);mcu_config_pullup(PWM6)
#endif
#define io31_config_pullup mcu_config_pullup(PWM6)
#define io31_get_input mcu_get_input(PWM6)
#elif ASSERT_PIN_EXTENDED(PWM6)
#define io31_config_output
#define io31_set_output ic74hc595_set_pin(PWM6);ic74hc595_shift_io_pins()
#define io31_clear_output ic74hc595_clear_pin(PWM6);ic74hc595_shift_io_pins()
#define io31_toggle_output ic74hc595_toggle_pin(PWM6);ic74hc595_shift_io_pins()
#define io31_get_output ic74hc595_get_pin(PWM6)
#define io31_config_input
#define io31_config_pullup
#define io31_get_input 0
#else
#define io31_config_output
#define io31_set_output
#define io31_clear_output
#define io31_toggle_output
#define io31_get_output 0
#define io31_config_input
#define io31_config_pullup
#define io31_get_input 0
#endif</v>
      </c>
      <c r="E33" s="18" t="str">
        <f t="shared" si="2"/>
        <v>#if ASSERT_PIN_IO(PWM6)
#define io31_config_pwm(freq) mcu_config_pwm(PWM6, freq)
#define io31_set_pwm(value) mcu_set_pwm(PWM6, value)
#define io31_get_pwm mcu_get_pwm(PWM6)
#elif ASSERT_PIN_EXTENDED(PWM6)
#define io31_config_pwm(freq) {g_soft_pwm_res = mcu_softpwm_freq_config(freq);}
#define io31_set_pwm(value) { g_io_soft_pwm[PWM6 - PWM_PINS_OFFSET] = (0xFF &amp; value); }
#define io31_get_pwm g_io_soft_pwm[PWM6 - PWM_PINS_OFFSET]
#else
#define io31_config_pwm(freq)
#define io31_set_pwm(value)
#define io31_get_pwm 0
#endif</v>
      </c>
      <c r="F33" s="32"/>
      <c r="G33" s="32"/>
    </row>
    <row r="34" spans="1:7" x14ac:dyDescent="0.25">
      <c r="A34" s="4">
        <v>32</v>
      </c>
      <c r="B34" s="4" t="str">
        <f t="shared" si="0"/>
        <v>DIO32</v>
      </c>
      <c r="C34" s="29" t="s">
        <v>34</v>
      </c>
      <c r="D34" s="18" t="str">
        <f t="shared" si="1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#if !defined(PWM7_PULLUP) &amp;&amp; !defined(FORCE_IO_HAL_DIRECTION_ONREQUEST)
#define io32_config_input mcu_config_input(PWM7)
#else
#define io32_config_input mcu_config_input(PWM7);mcu_config_pullup(PWM7)
#endif
#define io32_config_pullup mcu_config_pullup(PWM7)
#define io32_get_input mcu_get_input(PWM7)
#elif ASSERT_PIN_EXTENDED(PWM7)
#define io32_config_output
#define io32_set_output ic74hc595_set_pin(PWM7);ic74hc595_shift_io_pins()
#define io32_clear_output ic74hc595_clear_pin(PWM7);ic74hc595_shift_io_pins()
#define io32_toggle_output ic74hc595_toggle_pin(PWM7);ic74hc595_shift_io_pins()
#define io32_get_output ic74hc595_get_pin(PWM7)
#define io32_config_input
#define io32_config_pullup
#define io32_get_input 0
#else
#define io32_config_output
#define io32_set_output
#define io32_clear_output
#define io32_toggle_output
#define io32_get_output 0
#define io32_config_input
#define io32_config_pullup
#define io32_get_input 0
#endif</v>
      </c>
      <c r="E34" s="18" t="str">
        <f t="shared" si="2"/>
        <v>#if ASSERT_PIN_IO(PWM7)
#define io32_config_pwm(freq) mcu_config_pwm(PWM7, freq)
#define io32_set_pwm(value) mcu_set_pwm(PWM7, value)
#define io32_get_pwm mcu_get_pwm(PWM7)
#elif ASSERT_PIN_EXTENDED(PWM7)
#define io32_config_pwm(freq) {g_soft_pwm_res = mcu_softpwm_freq_config(freq);}
#define io32_set_pwm(value) { g_io_soft_pwm[PWM7 - PWM_PINS_OFFSET] = (0xFF &amp; value); }
#define io32_get_pwm g_io_soft_pwm[PWM7 - PWM_PINS_OFFSET]
#else
#define io32_config_pwm(freq)
#define io32_set_pwm(value)
#define io32_get_pwm 0
#endif</v>
      </c>
      <c r="F34" s="32"/>
      <c r="G34" s="32"/>
    </row>
    <row r="35" spans="1:7" x14ac:dyDescent="0.25">
      <c r="A35" s="4">
        <v>33</v>
      </c>
      <c r="B35" s="4" t="str">
        <f t="shared" si="0"/>
        <v>DIO33</v>
      </c>
      <c r="C35" s="29" t="s">
        <v>35</v>
      </c>
      <c r="D35" s="18" t="str">
        <f t="shared" si="1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#if !defined(PWM8_PULLUP) &amp;&amp; !defined(FORCE_IO_HAL_DIRECTION_ONREQUEST)
#define io33_config_input mcu_config_input(PWM8)
#else
#define io33_config_input mcu_config_input(PWM8);mcu_config_pullup(PWM8)
#endif
#define io33_config_pullup mcu_config_pullup(PWM8)
#define io33_get_input mcu_get_input(PWM8)
#elif ASSERT_PIN_EXTENDED(PWM8)
#define io33_config_output
#define io33_set_output ic74hc595_set_pin(PWM8);ic74hc595_shift_io_pins()
#define io33_clear_output ic74hc595_clear_pin(PWM8);ic74hc595_shift_io_pins()
#define io33_toggle_output ic74hc595_toggle_pin(PWM8);ic74hc595_shift_io_pins()
#define io33_get_output ic74hc595_get_pin(PWM8)
#define io33_config_input
#define io33_config_pullup
#define io33_get_input 0
#else
#define io33_config_output
#define io33_set_output
#define io33_clear_output
#define io33_toggle_output
#define io33_get_output 0
#define io33_config_input
#define io33_config_pullup
#define io33_get_input 0
#endif</v>
      </c>
      <c r="E35" s="18" t="str">
        <f t="shared" si="2"/>
        <v>#if ASSERT_PIN_IO(PWM8)
#define io33_config_pwm(freq) mcu_config_pwm(PWM8, freq)
#define io33_set_pwm(value) mcu_set_pwm(PWM8, value)
#define io33_get_pwm mcu_get_pwm(PWM8)
#elif ASSERT_PIN_EXTENDED(PWM8)
#define io33_config_pwm(freq) {g_soft_pwm_res = mcu_softpwm_freq_config(freq);}
#define io33_set_pwm(value) { g_io_soft_pwm[PWM8 - PWM_PINS_OFFSET] = (0xFF &amp; value); }
#define io33_get_pwm g_io_soft_pwm[PWM8 - PWM_PINS_OFFSET]
#else
#define io33_config_pwm(freq)
#define io33_set_pwm(value)
#define io33_get_pwm 0
#endif</v>
      </c>
      <c r="F35" s="32"/>
      <c r="G35" s="32"/>
    </row>
    <row r="36" spans="1:7" x14ac:dyDescent="0.25">
      <c r="A36" s="4">
        <v>34</v>
      </c>
      <c r="B36" s="4" t="str">
        <f t="shared" si="0"/>
        <v>DIO34</v>
      </c>
      <c r="C36" s="29" t="s">
        <v>36</v>
      </c>
      <c r="D36" s="18" t="str">
        <f t="shared" si="1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#if !defined(PWM9_PULLUP) &amp;&amp; !defined(FORCE_IO_HAL_DIRECTION_ONREQUEST)
#define io34_config_input mcu_config_input(PWM9)
#else
#define io34_config_input mcu_config_input(PWM9);mcu_config_pullup(PWM9)
#endif
#define io34_config_pullup mcu_config_pullup(PWM9)
#define io34_get_input mcu_get_input(PWM9)
#elif ASSERT_PIN_EXTENDED(PWM9)
#define io34_config_output
#define io34_set_output ic74hc595_set_pin(PWM9);ic74hc595_shift_io_pins()
#define io34_clear_output ic74hc595_clear_pin(PWM9);ic74hc595_shift_io_pins()
#define io34_toggle_output ic74hc595_toggle_pin(PWM9);ic74hc595_shift_io_pins()
#define io34_get_output ic74hc595_get_pin(PWM9)
#define io34_config_input
#define io34_config_pullup
#define io34_get_input 0
#else
#define io34_config_output
#define io34_set_output
#define io34_clear_output
#define io34_toggle_output
#define io34_get_output 0
#define io34_config_input
#define io34_config_pullup
#define io34_get_input 0
#endif</v>
      </c>
      <c r="E36" s="18" t="str">
        <f t="shared" si="2"/>
        <v>#if ASSERT_PIN_IO(PWM9)
#define io34_config_pwm(freq) mcu_config_pwm(PWM9, freq)
#define io34_set_pwm(value) mcu_set_pwm(PWM9, value)
#define io34_get_pwm mcu_get_pwm(PWM9)
#elif ASSERT_PIN_EXTENDED(PWM9)
#define io34_config_pwm(freq) {g_soft_pwm_res = mcu_softpwm_freq_config(freq);}
#define io34_set_pwm(value) { g_io_soft_pwm[PWM9 - PWM_PINS_OFFSET] = (0xFF &amp; value); }
#define io34_get_pwm g_io_soft_pwm[PWM9 - PWM_PINS_OFFSET]
#else
#define io34_config_pwm(freq)
#define io34_set_pwm(value)
#define io34_get_pwm 0
#endif</v>
      </c>
      <c r="F36" s="32"/>
      <c r="G36" s="32"/>
    </row>
    <row r="37" spans="1:7" x14ac:dyDescent="0.25">
      <c r="A37" s="4">
        <v>35</v>
      </c>
      <c r="B37" s="4" t="str">
        <f t="shared" si="0"/>
        <v>DIO35</v>
      </c>
      <c r="C37" s="29" t="s">
        <v>37</v>
      </c>
      <c r="D37" s="18" t="str">
        <f t="shared" si="1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#if !defined(PWM10_PULLUP) &amp;&amp; !defined(FORCE_IO_HAL_DIRECTION_ONREQUEST)
#define io35_config_input mcu_config_input(PWM10)
#else
#define io35_config_input mcu_config_input(PWM10);mcu_config_pullup(PWM10)
#endif
#define io35_config_pullup mcu_config_pullup(PWM10)
#define io35_get_input mcu_get_input(PWM10)
#elif ASSERT_PIN_EXTENDED(PWM10)
#define io35_config_output
#define io35_set_output ic74hc595_set_pin(PWM10);ic74hc595_shift_io_pins()
#define io35_clear_output ic74hc595_clear_pin(PWM10);ic74hc595_shift_io_pins()
#define io35_toggle_output ic74hc595_toggle_pin(PWM10);ic74hc595_shift_io_pins()
#define io35_get_output ic74hc595_get_pin(PWM10)
#define io35_config_input
#define io35_config_pullup
#define io35_get_input 0
#else
#define io35_config_output
#define io35_set_output
#define io35_clear_output
#define io35_toggle_output
#define io35_get_output 0
#define io35_config_input
#define io35_config_pullup
#define io35_get_input 0
#endif</v>
      </c>
      <c r="E37" s="18" t="str">
        <f t="shared" si="2"/>
        <v>#if ASSERT_PIN_IO(PWM10)
#define io35_config_pwm(freq) mcu_config_pwm(PWM10, freq)
#define io35_set_pwm(value) mcu_set_pwm(PWM10, value)
#define io35_get_pwm mcu_get_pwm(PWM10)
#elif ASSERT_PIN_EXTENDED(PWM10)
#define io35_config_pwm(freq) {g_soft_pwm_res = mcu_softpwm_freq_config(freq);}
#define io35_set_pwm(value) { g_io_soft_pwm[PWM10 - PWM_PINS_OFFSET] = (0xFF &amp; value); }
#define io35_get_pwm g_io_soft_pwm[PWM10 - PWM_PINS_OFFSET]
#else
#define io35_config_pwm(freq)
#define io35_set_pwm(value)
#define io35_get_pwm 0
#endif</v>
      </c>
      <c r="F37" s="32"/>
      <c r="G37" s="32"/>
    </row>
    <row r="38" spans="1:7" x14ac:dyDescent="0.25">
      <c r="A38" s="4">
        <v>36</v>
      </c>
      <c r="B38" s="4" t="str">
        <f t="shared" si="0"/>
        <v>DIO36</v>
      </c>
      <c r="C38" s="29" t="s">
        <v>38</v>
      </c>
      <c r="D38" s="18" t="str">
        <f t="shared" si="1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#if !defined(PWM11_PULLUP) &amp;&amp; !defined(FORCE_IO_HAL_DIRECTION_ONREQUEST)
#define io36_config_input mcu_config_input(PWM11)
#else
#define io36_config_input mcu_config_input(PWM11);mcu_config_pullup(PWM11)
#endif
#define io36_config_pullup mcu_config_pullup(PWM11)
#define io36_get_input mcu_get_input(PWM11)
#elif ASSERT_PIN_EXTENDED(PWM11)
#define io36_config_output
#define io36_set_output ic74hc595_set_pin(PWM11);ic74hc595_shift_io_pins()
#define io36_clear_output ic74hc595_clear_pin(PWM11);ic74hc595_shift_io_pins()
#define io36_toggle_output ic74hc595_toggle_pin(PWM11);ic74hc595_shift_io_pins()
#define io36_get_output ic74hc595_get_pin(PWM11)
#define io36_config_input
#define io36_config_pullup
#define io36_get_input 0
#else
#define io36_config_output
#define io36_set_output
#define io36_clear_output
#define io36_toggle_output
#define io36_get_output 0
#define io36_config_input
#define io36_config_pullup
#define io36_get_input 0
#endif</v>
      </c>
      <c r="E38" s="18" t="str">
        <f t="shared" si="2"/>
        <v>#if ASSERT_PIN_IO(PWM11)
#define io36_config_pwm(freq) mcu_config_pwm(PWM11, freq)
#define io36_set_pwm(value) mcu_set_pwm(PWM11, value)
#define io36_get_pwm mcu_get_pwm(PWM11)
#elif ASSERT_PIN_EXTENDED(PWM11)
#define io36_config_pwm(freq) {g_soft_pwm_res = mcu_softpwm_freq_config(freq);}
#define io36_set_pwm(value) { g_io_soft_pwm[PWM11 - PWM_PINS_OFFSET] = (0xFF &amp; value); }
#define io36_get_pwm g_io_soft_pwm[PWM11 - PWM_PINS_OFFSET]
#else
#define io36_config_pwm(freq)
#define io36_set_pwm(value)
#define io36_get_pwm 0
#endif</v>
      </c>
      <c r="F38" s="32"/>
      <c r="G38" s="32"/>
    </row>
    <row r="39" spans="1:7" x14ac:dyDescent="0.25">
      <c r="A39" s="4">
        <v>37</v>
      </c>
      <c r="B39" s="4" t="str">
        <f t="shared" si="0"/>
        <v>DIO37</v>
      </c>
      <c r="C39" s="29" t="s">
        <v>39</v>
      </c>
      <c r="D39" s="18" t="str">
        <f t="shared" si="1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#if !defined(PWM12_PULLUP) &amp;&amp; !defined(FORCE_IO_HAL_DIRECTION_ONREQUEST)
#define io37_config_input mcu_config_input(PWM12)
#else
#define io37_config_input mcu_config_input(PWM12);mcu_config_pullup(PWM12)
#endif
#define io37_config_pullup mcu_config_pullup(PWM12)
#define io37_get_input mcu_get_input(PWM12)
#elif ASSERT_PIN_EXTENDED(PWM12)
#define io37_config_output
#define io37_set_output ic74hc595_set_pin(PWM12);ic74hc595_shift_io_pins()
#define io37_clear_output ic74hc595_clear_pin(PWM12);ic74hc595_shift_io_pins()
#define io37_toggle_output ic74hc595_toggle_pin(PWM12);ic74hc595_shift_io_pins()
#define io37_get_output ic74hc595_get_pin(PWM12)
#define io37_config_input
#define io37_config_pullup
#define io37_get_input 0
#else
#define io37_config_output
#define io37_set_output
#define io37_clear_output
#define io37_toggle_output
#define io37_get_output 0
#define io37_config_input
#define io37_config_pullup
#define io37_get_input 0
#endif</v>
      </c>
      <c r="E39" s="18" t="str">
        <f t="shared" si="2"/>
        <v>#if ASSERT_PIN_IO(PWM12)
#define io37_config_pwm(freq) mcu_config_pwm(PWM12, freq)
#define io37_set_pwm(value) mcu_set_pwm(PWM12, value)
#define io37_get_pwm mcu_get_pwm(PWM12)
#elif ASSERT_PIN_EXTENDED(PWM12)
#define io37_config_pwm(freq) {g_soft_pwm_res = mcu_softpwm_freq_config(freq);}
#define io37_set_pwm(value) { g_io_soft_pwm[PWM12 - PWM_PINS_OFFSET] = (0xFF &amp; value); }
#define io37_get_pwm g_io_soft_pwm[PWM12 - PWM_PINS_OFFSET]
#else
#define io37_config_pwm(freq)
#define io37_set_pwm(value)
#define io37_get_pwm 0
#endif</v>
      </c>
      <c r="F39" s="32"/>
      <c r="G39" s="32"/>
    </row>
    <row r="40" spans="1:7" x14ac:dyDescent="0.25">
      <c r="A40" s="4">
        <v>38</v>
      </c>
      <c r="B40" s="4" t="str">
        <f t="shared" si="0"/>
        <v>DIO38</v>
      </c>
      <c r="C40" s="29" t="s">
        <v>40</v>
      </c>
      <c r="D40" s="18" t="str">
        <f t="shared" si="1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#if !defined(PWM13_PULLUP) &amp;&amp; !defined(FORCE_IO_HAL_DIRECTION_ONREQUEST)
#define io38_config_input mcu_config_input(PWM13)
#else
#define io38_config_input mcu_config_input(PWM13);mcu_config_pullup(PWM13)
#endif
#define io38_config_pullup mcu_config_pullup(PWM13)
#define io38_get_input mcu_get_input(PWM13)
#elif ASSERT_PIN_EXTENDED(PWM13)
#define io38_config_output
#define io38_set_output ic74hc595_set_pin(PWM13);ic74hc595_shift_io_pins()
#define io38_clear_output ic74hc595_clear_pin(PWM13);ic74hc595_shift_io_pins()
#define io38_toggle_output ic74hc595_toggle_pin(PWM13);ic74hc595_shift_io_pins()
#define io38_get_output ic74hc595_get_pin(PWM13)
#define io38_config_input
#define io38_config_pullup
#define io38_get_input 0
#else
#define io38_config_output
#define io38_set_output
#define io38_clear_output
#define io38_toggle_output
#define io38_get_output 0
#define io38_config_input
#define io38_config_pullup
#define io38_get_input 0
#endif</v>
      </c>
      <c r="E40" s="18" t="str">
        <f t="shared" si="2"/>
        <v>#if ASSERT_PIN_IO(PWM13)
#define io38_config_pwm(freq) mcu_config_pwm(PWM13, freq)
#define io38_set_pwm(value) mcu_set_pwm(PWM13, value)
#define io38_get_pwm mcu_get_pwm(PWM13)
#elif ASSERT_PIN_EXTENDED(PWM13)
#define io38_config_pwm(freq) {g_soft_pwm_res = mcu_softpwm_freq_config(freq);}
#define io38_set_pwm(value) { g_io_soft_pwm[PWM13 - PWM_PINS_OFFSET] = (0xFF &amp; value); }
#define io38_get_pwm g_io_soft_pwm[PWM13 - PWM_PINS_OFFSET]
#else
#define io38_config_pwm(freq)
#define io38_set_pwm(value)
#define io38_get_pwm 0
#endif</v>
      </c>
      <c r="F40" s="32"/>
      <c r="G40" s="32"/>
    </row>
    <row r="41" spans="1:7" x14ac:dyDescent="0.25">
      <c r="A41" s="4">
        <v>39</v>
      </c>
      <c r="B41" s="4" t="str">
        <f t="shared" si="0"/>
        <v>DIO39</v>
      </c>
      <c r="C41" s="29" t="s">
        <v>41</v>
      </c>
      <c r="D41" s="18" t="str">
        <f t="shared" si="1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#if !defined(PWM14_PULLUP) &amp;&amp; !defined(FORCE_IO_HAL_DIRECTION_ONREQUEST)
#define io39_config_input mcu_config_input(PWM14)
#else
#define io39_config_input mcu_config_input(PWM14);mcu_config_pullup(PWM14)
#endif
#define io39_config_pullup mcu_config_pullup(PWM14)
#define io39_get_input mcu_get_input(PWM14)
#elif ASSERT_PIN_EXTENDED(PWM14)
#define io39_config_output
#define io39_set_output ic74hc595_set_pin(PWM14);ic74hc595_shift_io_pins()
#define io39_clear_output ic74hc595_clear_pin(PWM14);ic74hc595_shift_io_pins()
#define io39_toggle_output ic74hc595_toggle_pin(PWM14);ic74hc595_shift_io_pins()
#define io39_get_output ic74hc595_get_pin(PWM14)
#define io39_config_input
#define io39_config_pullup
#define io39_get_input 0
#else
#define io39_config_output
#define io39_set_output
#define io39_clear_output
#define io39_toggle_output
#define io39_get_output 0
#define io39_config_input
#define io39_config_pullup
#define io39_get_input 0
#endif</v>
      </c>
      <c r="E41" s="18" t="str">
        <f t="shared" si="2"/>
        <v>#if ASSERT_PIN_IO(PWM14)
#define io39_config_pwm(freq) mcu_config_pwm(PWM14, freq)
#define io39_set_pwm(value) mcu_set_pwm(PWM14, value)
#define io39_get_pwm mcu_get_pwm(PWM14)
#elif ASSERT_PIN_EXTENDED(PWM14)
#define io39_config_pwm(freq) {g_soft_pwm_res = mcu_softpwm_freq_config(freq);}
#define io39_set_pwm(value) { g_io_soft_pwm[PWM14 - PWM_PINS_OFFSET] = (0xFF &amp; value); }
#define io39_get_pwm g_io_soft_pwm[PWM14 - PWM_PINS_OFFSET]
#else
#define io39_config_pwm(freq)
#define io39_set_pwm(value)
#define io39_get_pwm 0
#endif</v>
      </c>
      <c r="F41" s="32"/>
      <c r="G41" s="32"/>
    </row>
    <row r="42" spans="1:7" x14ac:dyDescent="0.25">
      <c r="A42" s="4">
        <v>40</v>
      </c>
      <c r="B42" s="4" t="str">
        <f t="shared" si="0"/>
        <v>DIO40</v>
      </c>
      <c r="C42" s="29" t="s">
        <v>42</v>
      </c>
      <c r="D42" s="18" t="str">
        <f t="shared" si="1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#if !defined(PWM15_PULLUP) &amp;&amp; !defined(FORCE_IO_HAL_DIRECTION_ONREQUEST)
#define io40_config_input mcu_config_input(PWM15)
#else
#define io40_config_input mcu_config_input(PWM15);mcu_config_pullup(PWM15)
#endif
#define io40_config_pullup mcu_config_pullup(PWM15)
#define io40_get_input mcu_get_input(PWM15)
#elif ASSERT_PIN_EXTENDED(PWM15)
#define io40_config_output
#define io40_set_output ic74hc595_set_pin(PWM15);ic74hc595_shift_io_pins()
#define io40_clear_output ic74hc595_clear_pin(PWM15);ic74hc595_shift_io_pins()
#define io40_toggle_output ic74hc595_toggle_pin(PWM15);ic74hc595_shift_io_pins()
#define io40_get_output ic74hc595_get_pin(PWM15)
#define io40_config_input
#define io40_config_pullup
#define io40_get_input 0
#else
#define io40_config_output
#define io40_set_output
#define io40_clear_output
#define io40_toggle_output
#define io40_get_output 0
#define io40_config_input
#define io40_config_pullup
#define io40_get_input 0
#endif</v>
      </c>
      <c r="E42" s="18" t="str">
        <f t="shared" si="2"/>
        <v>#if ASSERT_PIN_IO(PWM15)
#define io40_config_pwm(freq) mcu_config_pwm(PWM15, freq)
#define io40_set_pwm(value) mcu_set_pwm(PWM15, value)
#define io40_get_pwm mcu_get_pwm(PWM15)
#elif ASSERT_PIN_EXTENDED(PWM15)
#define io40_config_pwm(freq) {g_soft_pwm_res = mcu_softpwm_freq_config(freq);}
#define io40_set_pwm(value) { g_io_soft_pwm[PWM15 - PWM_PINS_OFFSET] = (0xFF &amp; value); }
#define io40_get_pwm g_io_soft_pwm[PWM15 - PWM_PINS_OFFSET]
#else
#define io40_config_pwm(freq)
#define io40_set_pwm(value)
#define io40_get_pwm 0
#endif</v>
      </c>
      <c r="F42" s="32"/>
      <c r="G42" s="32"/>
    </row>
    <row r="43" spans="1:7" x14ac:dyDescent="0.25">
      <c r="A43" s="4">
        <v>41</v>
      </c>
      <c r="B43" s="4" t="str">
        <f t="shared" si="0"/>
        <v>DIO41</v>
      </c>
      <c r="C43" s="29" t="s">
        <v>109</v>
      </c>
      <c r="D43" s="18" t="str">
        <f t="shared" si="1"/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#if !defined(SERVO0_PULLUP) &amp;&amp; !defined(FORCE_IO_HAL_DIRECTION_ONREQUEST)
#define io41_config_input mcu_config_input(SERVO0)
#else
#define io41_config_input mcu_config_input(SERVO0);mcu_config_pullup(SERVO0)
#endif
#define io41_config_pullup mcu_config_pullup(SERVO0)
#define io41_get_input mcu_get_input(SERVO0)
#elif ASSERT_PIN_EXTENDED(SERVO0)
#define io41_config_output
#define io41_set_output ic74hc595_set_pin(SERVO0);ic74hc595_shift_io_pins()
#define io41_clear_output ic74hc595_clear_pin(SERVO0);ic74hc595_shift_io_pins()
#define io41_toggle_output ic74hc595_toggle_pin(SERVO0);ic74hc595_shift_io_pins()
#define io41_get_output ic74hc595_get_pin(SERVO0)
#define io41_config_input
#define io41_config_pullup
#define io41_get_input 0
#else
#define io41_config_output
#define io41_set_output
#define io41_clear_output
#define io41_toggle_output
#define io41_get_output 0
#define io41_config_input
#define io41_config_pullup
#define io41_get_input 0
#endif</v>
      </c>
      <c r="E43" s="32"/>
      <c r="F43" s="18" t="str">
        <f>"#if ASSERT_PIN_IO("&amp;C43&amp;")
#define io"&amp;A43&amp;"_set_pwm(value) mcu_set_servo("&amp;C43&amp;", value)
#define io"&amp;A43&amp;"_get_pwm mcu_get_servo("&amp;C43&amp;")
#elif ASSERT_PIN_EXTENDED("&amp;C43&amp;")
#define io"&amp;A43&amp;"_set_pwm(value)
#define io"&amp;A43&amp;"_get_pwm 0
#else
#define io"&amp;A43&amp;"_set_pwm(value)
#define io"&amp;A43&amp;"_get_pwm 0
#endif"</f>
        <v>#if ASSERT_PIN_IO(SERVO0)
#define io41_set_pwm(value) mcu_set_servo(SERVO0, value)
#define io41_get_pwm mcu_get_servo(SERVO0)
#elif ASSERT_PIN_EXTENDED(SERVO0)
#define io41_set_pwm(value)
#define io41_get_pwm 0
#else
#define io41_set_pwm(value)
#define io41_get_pwm 0
#endif</v>
      </c>
      <c r="G43" s="32"/>
    </row>
    <row r="44" spans="1:7" x14ac:dyDescent="0.25">
      <c r="A44" s="4">
        <v>42</v>
      </c>
      <c r="B44" s="4" t="str">
        <f t="shared" si="0"/>
        <v>DIO42</v>
      </c>
      <c r="C44" s="29" t="s">
        <v>110</v>
      </c>
      <c r="D44" s="18" t="str">
        <f t="shared" si="1"/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#if !defined(SERVO1_PULLUP) &amp;&amp; !defined(FORCE_IO_HAL_DIRECTION_ONREQUEST)
#define io42_config_input mcu_config_input(SERVO1)
#else
#define io42_config_input mcu_config_input(SERVO1);mcu_config_pullup(SERVO1)
#endif
#define io42_config_pullup mcu_config_pullup(SERVO1)
#define io42_get_input mcu_get_input(SERVO1)
#elif ASSERT_PIN_EXTENDED(SERVO1)
#define io42_config_output
#define io42_set_output ic74hc595_set_pin(SERVO1);ic74hc595_shift_io_pins()
#define io42_clear_output ic74hc595_clear_pin(SERVO1);ic74hc595_shift_io_pins()
#define io42_toggle_output ic74hc595_toggle_pin(SERVO1);ic74hc595_shift_io_pins()
#define io42_get_output ic74hc595_get_pin(SERVO1)
#define io42_config_input
#define io42_config_pullup
#define io42_get_input 0
#else
#define io42_config_output
#define io42_set_output
#define io42_clear_output
#define io42_toggle_output
#define io42_get_output 0
#define io42_config_input
#define io42_config_pullup
#define io42_get_input 0
#endif</v>
      </c>
      <c r="E44" s="32"/>
      <c r="F44" s="18" t="str">
        <f t="shared" ref="F44:F48" si="3">"#if ASSERT_PIN_IO("&amp;C44&amp;")
#define io"&amp;A44&amp;"_set_pwm(value) mcu_set_servo("&amp;C44&amp;", value)
#define io"&amp;A44&amp;"_get_pwm mcu_get_servo("&amp;C44&amp;")
#elif ASSERT_PIN_EXTENDED("&amp;C44&amp;")
#define io"&amp;A44&amp;"_set_pwm(value)
#define io"&amp;A44&amp;"_get_pwm 0
#else
#define io"&amp;A44&amp;"_set_pwm(value)
#define io"&amp;A44&amp;"_get_pwm 0
#endif"</f>
        <v>#if ASSERT_PIN_IO(SERVO1)
#define io42_set_pwm(value) mcu_set_servo(SERVO1, value)
#define io42_get_pwm mcu_get_servo(SERVO1)
#elif ASSERT_PIN_EXTENDED(SERVO1)
#define io42_set_pwm(value)
#define io42_get_pwm 0
#else
#define io42_set_pwm(value)
#define io42_get_pwm 0
#endif</v>
      </c>
      <c r="G44" s="32"/>
    </row>
    <row r="45" spans="1:7" x14ac:dyDescent="0.25">
      <c r="A45" s="4">
        <v>43</v>
      </c>
      <c r="B45" s="4" t="str">
        <f t="shared" si="0"/>
        <v>DIO43</v>
      </c>
      <c r="C45" s="29" t="s">
        <v>111</v>
      </c>
      <c r="D45" s="18" t="str">
        <f t="shared" si="1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#if !defined(SERVO2_PULLUP) &amp;&amp; !defined(FORCE_IO_HAL_DIRECTION_ONREQUEST)
#define io43_config_input mcu_config_input(SERVO2)
#else
#define io43_config_input mcu_config_input(SERVO2);mcu_config_pullup(SERVO2)
#endif
#define io43_config_pullup mcu_config_pullup(SERVO2)
#define io43_get_input mcu_get_input(SERVO2)
#elif ASSERT_PIN_EXTENDED(SERVO2)
#define io43_config_output
#define io43_set_output ic74hc595_set_pin(SERVO2);ic74hc595_shift_io_pins()
#define io43_clear_output ic74hc595_clear_pin(SERVO2);ic74hc595_shift_io_pins()
#define io43_toggle_output ic74hc595_toggle_pin(SERVO2);ic74hc595_shift_io_pins()
#define io43_get_output ic74hc595_get_pin(SERVO2)
#define io43_config_input
#define io43_config_pullup
#define io43_get_input 0
#else
#define io43_config_output
#define io43_set_output
#define io43_clear_output
#define io43_toggle_output
#define io43_get_output 0
#define io43_config_input
#define io43_config_pullup
#define io43_get_input 0
#endif</v>
      </c>
      <c r="E45" s="32"/>
      <c r="F45" s="18" t="str">
        <f t="shared" si="3"/>
        <v>#if ASSERT_PIN_IO(SERVO2)
#define io43_set_pwm(value) mcu_set_servo(SERVO2, value)
#define io43_get_pwm mcu_get_servo(SERVO2)
#elif ASSERT_PIN_EXTENDED(SERVO2)
#define io43_set_pwm(value)
#define io43_get_pwm 0
#else
#define io43_set_pwm(value)
#define io43_get_pwm 0
#endif</v>
      </c>
      <c r="G45" s="32"/>
    </row>
    <row r="46" spans="1:7" x14ac:dyDescent="0.25">
      <c r="A46" s="4">
        <v>44</v>
      </c>
      <c r="B46" s="4" t="str">
        <f t="shared" si="0"/>
        <v>DIO44</v>
      </c>
      <c r="C46" s="29" t="s">
        <v>112</v>
      </c>
      <c r="D46" s="18" t="str">
        <f t="shared" si="1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#if !defined(SERVO3_PULLUP) &amp;&amp; !defined(FORCE_IO_HAL_DIRECTION_ONREQUEST)
#define io44_config_input mcu_config_input(SERVO3)
#else
#define io44_config_input mcu_config_input(SERVO3);mcu_config_pullup(SERVO3)
#endif
#define io44_config_pullup mcu_config_pullup(SERVO3)
#define io44_get_input mcu_get_input(SERVO3)
#elif ASSERT_PIN_EXTENDED(SERVO3)
#define io44_config_output
#define io44_set_output ic74hc595_set_pin(SERVO3);ic74hc595_shift_io_pins()
#define io44_clear_output ic74hc595_clear_pin(SERVO3);ic74hc595_shift_io_pins()
#define io44_toggle_output ic74hc595_toggle_pin(SERVO3);ic74hc595_shift_io_pins()
#define io44_get_output ic74hc595_get_pin(SERVO3)
#define io44_config_input
#define io44_config_pullup
#define io44_get_input 0
#else
#define io44_config_output
#define io44_set_output
#define io44_clear_output
#define io44_toggle_output
#define io44_get_output 0
#define io44_config_input
#define io44_config_pullup
#define io44_get_input 0
#endif</v>
      </c>
      <c r="E46" s="32"/>
      <c r="F46" s="18" t="str">
        <f t="shared" si="3"/>
        <v>#if ASSERT_PIN_IO(SERVO3)
#define io44_set_pwm(value) mcu_set_servo(SERVO3, value)
#define io44_get_pwm mcu_get_servo(SERVO3)
#elif ASSERT_PIN_EXTENDED(SERVO3)
#define io44_set_pwm(value)
#define io44_get_pwm 0
#else
#define io44_set_pwm(value)
#define io44_get_pwm 0
#endif</v>
      </c>
      <c r="G46" s="32"/>
    </row>
    <row r="47" spans="1:7" x14ac:dyDescent="0.25">
      <c r="A47" s="4">
        <v>45</v>
      </c>
      <c r="B47" s="4" t="str">
        <f t="shared" si="0"/>
        <v>DIO45</v>
      </c>
      <c r="C47" s="29" t="s">
        <v>113</v>
      </c>
      <c r="D47" s="18" t="str">
        <f t="shared" si="1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#if !defined(SERVO4_PULLUP) &amp;&amp; !defined(FORCE_IO_HAL_DIRECTION_ONREQUEST)
#define io45_config_input mcu_config_input(SERVO4)
#else
#define io45_config_input mcu_config_input(SERVO4);mcu_config_pullup(SERVO4)
#endif
#define io45_config_pullup mcu_config_pullup(SERVO4)
#define io45_get_input mcu_get_input(SERVO4)
#elif ASSERT_PIN_EXTENDED(SERVO4)
#define io45_config_output
#define io45_set_output ic74hc595_set_pin(SERVO4);ic74hc595_shift_io_pins()
#define io45_clear_output ic74hc595_clear_pin(SERVO4);ic74hc595_shift_io_pins()
#define io45_toggle_output ic74hc595_toggle_pin(SERVO4);ic74hc595_shift_io_pins()
#define io45_get_output ic74hc595_get_pin(SERVO4)
#define io45_config_input
#define io45_config_pullup
#define io45_get_input 0
#else
#define io45_config_output
#define io45_set_output
#define io45_clear_output
#define io45_toggle_output
#define io45_get_output 0
#define io45_config_input
#define io45_config_pullup
#define io45_get_input 0
#endif</v>
      </c>
      <c r="E47" s="32"/>
      <c r="F47" s="18" t="str">
        <f t="shared" si="3"/>
        <v>#if ASSERT_PIN_IO(SERVO4)
#define io45_set_pwm(value) mcu_set_servo(SERVO4, value)
#define io45_get_pwm mcu_get_servo(SERVO4)
#elif ASSERT_PIN_EXTENDED(SERVO4)
#define io45_set_pwm(value)
#define io45_get_pwm 0
#else
#define io45_set_pwm(value)
#define io45_get_pwm 0
#endif</v>
      </c>
      <c r="G47" s="32"/>
    </row>
    <row r="48" spans="1:7" x14ac:dyDescent="0.25">
      <c r="A48" s="4">
        <v>46</v>
      </c>
      <c r="B48" s="4" t="str">
        <f t="shared" si="0"/>
        <v>DIO46</v>
      </c>
      <c r="C48" s="29" t="s">
        <v>114</v>
      </c>
      <c r="D48" s="18" t="str">
        <f t="shared" si="1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#if !defined(SERVO5_PULLUP) &amp;&amp; !defined(FORCE_IO_HAL_DIRECTION_ONREQUEST)
#define io46_config_input mcu_config_input(SERVO5)
#else
#define io46_config_input mcu_config_input(SERVO5);mcu_config_pullup(SERVO5)
#endif
#define io46_config_pullup mcu_config_pullup(SERVO5)
#define io46_get_input mcu_get_input(SERVO5)
#elif ASSERT_PIN_EXTENDED(SERVO5)
#define io46_config_output
#define io46_set_output ic74hc595_set_pin(SERVO5);ic74hc595_shift_io_pins()
#define io46_clear_output ic74hc595_clear_pin(SERVO5);ic74hc595_shift_io_pins()
#define io46_toggle_output ic74hc595_toggle_pin(SERVO5);ic74hc595_shift_io_pins()
#define io46_get_output ic74hc595_get_pin(SERVO5)
#define io46_config_input
#define io46_config_pullup
#define io46_get_input 0
#else
#define io46_config_output
#define io46_set_output
#define io46_clear_output
#define io46_toggle_output
#define io46_get_output 0
#define io46_config_input
#define io46_config_pullup
#define io46_get_input 0
#endif</v>
      </c>
      <c r="E48" s="32"/>
      <c r="F48" s="18" t="str">
        <f t="shared" si="3"/>
        <v>#if ASSERT_PIN_IO(SERVO5)
#define io46_set_pwm(value) mcu_set_servo(SERVO5, value)
#define io46_get_pwm mcu_get_servo(SERVO5)
#elif ASSERT_PIN_EXTENDED(SERVO5)
#define io46_set_pwm(value)
#define io46_get_pwm 0
#else
#define io46_set_pwm(value)
#define io46_get_pwm 0
#endif</v>
      </c>
      <c r="G48" s="32"/>
    </row>
    <row r="49" spans="1:7" x14ac:dyDescent="0.25">
      <c r="A49" s="4">
        <v>47</v>
      </c>
      <c r="B49" s="4" t="str">
        <f t="shared" si="0"/>
        <v>DIO47</v>
      </c>
      <c r="C49" s="29" t="s">
        <v>43</v>
      </c>
      <c r="D49" s="18" t="str">
        <f t="shared" si="1"/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#if !defined(DOUT0_PULLUP) &amp;&amp; !defined(FORCE_IO_HAL_DIRECTION_ONREQUEST)
#define io47_config_input mcu_config_input(DOUT0)
#else
#define io47_config_input mcu_config_input(DOUT0);mcu_config_pullup(DOUT0)
#endif
#define io47_config_pullup mcu_config_pullup(DOUT0)
#define io47_get_input mcu_get_input(DOUT0)
#elif ASSERT_PIN_EXTENDED(DOUT0)
#define io47_config_output
#define io47_set_output ic74hc595_set_pin(DOUT0);ic74hc595_shift_io_pins()
#define io47_clear_output ic74hc595_clear_pin(DOUT0);ic74hc595_shift_io_pins()
#define io47_toggle_output ic74hc595_toggle_pin(DOUT0);ic74hc595_shift_io_pins()
#define io47_get_output ic74hc595_get_pin(DOUT0)
#define io47_config_input
#define io47_config_pullup
#define io47_get_input 0
#else
#define io47_config_output
#define io47_set_output
#define io47_clear_output
#define io47_toggle_output
#define io47_get_output 0
#define io47_config_input
#define io47_config_pullup
#define io47_get_input 0
#endif</v>
      </c>
      <c r="E49" s="32"/>
      <c r="F49" s="32"/>
      <c r="G49" s="32"/>
    </row>
    <row r="50" spans="1:7" x14ac:dyDescent="0.25">
      <c r="A50" s="4">
        <v>48</v>
      </c>
      <c r="B50" s="4" t="str">
        <f t="shared" si="0"/>
        <v>DIO48</v>
      </c>
      <c r="C50" s="29" t="s">
        <v>44</v>
      </c>
      <c r="D50" s="18" t="str">
        <f t="shared" si="1"/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#if !defined(DOUT1_PULLUP) &amp;&amp; !defined(FORCE_IO_HAL_DIRECTION_ONREQUEST)
#define io48_config_input mcu_config_input(DOUT1)
#else
#define io48_config_input mcu_config_input(DOUT1);mcu_config_pullup(DOUT1)
#endif
#define io48_config_pullup mcu_config_pullup(DOUT1)
#define io48_get_input mcu_get_input(DOUT1)
#elif ASSERT_PIN_EXTENDED(DOUT1)
#define io48_config_output
#define io48_set_output ic74hc595_set_pin(DOUT1);ic74hc595_shift_io_pins()
#define io48_clear_output ic74hc595_clear_pin(DOUT1);ic74hc595_shift_io_pins()
#define io48_toggle_output ic74hc595_toggle_pin(DOUT1);ic74hc595_shift_io_pins()
#define io48_get_output ic74hc595_get_pin(DOUT1)
#define io48_config_input
#define io48_config_pullup
#define io48_get_input 0
#else
#define io48_config_output
#define io48_set_output
#define io48_clear_output
#define io48_toggle_output
#define io48_get_output 0
#define io48_config_input
#define io48_config_pullup
#define io48_get_input 0
#endif</v>
      </c>
      <c r="E50" s="32"/>
      <c r="F50" s="32"/>
      <c r="G50" s="32"/>
    </row>
    <row r="51" spans="1:7" x14ac:dyDescent="0.25">
      <c r="A51" s="4">
        <v>49</v>
      </c>
      <c r="B51" s="4" t="str">
        <f t="shared" si="0"/>
        <v>DIO49</v>
      </c>
      <c r="C51" s="29" t="s">
        <v>45</v>
      </c>
      <c r="D51" s="18" t="str">
        <f t="shared" si="1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#if !defined(DOUT2_PULLUP) &amp;&amp; !defined(FORCE_IO_HAL_DIRECTION_ONREQUEST)
#define io49_config_input mcu_config_input(DOUT2)
#else
#define io49_config_input mcu_config_input(DOUT2);mcu_config_pullup(DOUT2)
#endif
#define io49_config_pullup mcu_config_pullup(DOUT2)
#define io49_get_input mcu_get_input(DOUT2)
#elif ASSERT_PIN_EXTENDED(DOUT2)
#define io49_config_output
#define io49_set_output ic74hc595_set_pin(DOUT2);ic74hc595_shift_io_pins()
#define io49_clear_output ic74hc595_clear_pin(DOUT2);ic74hc595_shift_io_pins()
#define io49_toggle_output ic74hc595_toggle_pin(DOUT2);ic74hc595_shift_io_pins()
#define io49_get_output ic74hc595_get_pin(DOUT2)
#define io49_config_input
#define io49_config_pullup
#define io49_get_input 0
#else
#define io49_config_output
#define io49_set_output
#define io49_clear_output
#define io49_toggle_output
#define io49_get_output 0
#define io49_config_input
#define io49_config_pullup
#define io49_get_input 0
#endif</v>
      </c>
      <c r="E51" s="32"/>
      <c r="F51" s="32"/>
      <c r="G51" s="32"/>
    </row>
    <row r="52" spans="1:7" x14ac:dyDescent="0.25">
      <c r="A52" s="4">
        <v>50</v>
      </c>
      <c r="B52" s="4" t="str">
        <f t="shared" si="0"/>
        <v>DIO50</v>
      </c>
      <c r="C52" s="29" t="s">
        <v>46</v>
      </c>
      <c r="D52" s="18" t="str">
        <f t="shared" si="1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#if !defined(DOUT3_PULLUP) &amp;&amp; !defined(FORCE_IO_HAL_DIRECTION_ONREQUEST)
#define io50_config_input mcu_config_input(DOUT3)
#else
#define io50_config_input mcu_config_input(DOUT3);mcu_config_pullup(DOUT3)
#endif
#define io50_config_pullup mcu_config_pullup(DOUT3)
#define io50_get_input mcu_get_input(DOUT3)
#elif ASSERT_PIN_EXTENDED(DOUT3)
#define io50_config_output
#define io50_set_output ic74hc595_set_pin(DOUT3);ic74hc595_shift_io_pins()
#define io50_clear_output ic74hc595_clear_pin(DOUT3);ic74hc595_shift_io_pins()
#define io50_toggle_output ic74hc595_toggle_pin(DOUT3);ic74hc595_shift_io_pins()
#define io50_get_output ic74hc595_get_pin(DOUT3)
#define io50_config_input
#define io50_config_pullup
#define io50_get_input 0
#else
#define io50_config_output
#define io50_set_output
#define io50_clear_output
#define io50_toggle_output
#define io50_get_output 0
#define io50_config_input
#define io50_config_pullup
#define io50_get_input 0
#endif</v>
      </c>
      <c r="E52" s="32"/>
      <c r="F52" s="32"/>
      <c r="G52" s="32"/>
    </row>
    <row r="53" spans="1:7" x14ac:dyDescent="0.25">
      <c r="A53" s="4">
        <v>51</v>
      </c>
      <c r="B53" s="4" t="str">
        <f t="shared" si="0"/>
        <v>DIO51</v>
      </c>
      <c r="C53" s="29" t="s">
        <v>47</v>
      </c>
      <c r="D53" s="18" t="str">
        <f t="shared" si="1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#if !defined(DOUT4_PULLUP) &amp;&amp; !defined(FORCE_IO_HAL_DIRECTION_ONREQUEST)
#define io51_config_input mcu_config_input(DOUT4)
#else
#define io51_config_input mcu_config_input(DOUT4);mcu_config_pullup(DOUT4)
#endif
#define io51_config_pullup mcu_config_pullup(DOUT4)
#define io51_get_input mcu_get_input(DOUT4)
#elif ASSERT_PIN_EXTENDED(DOUT4)
#define io51_config_output
#define io51_set_output ic74hc595_set_pin(DOUT4);ic74hc595_shift_io_pins()
#define io51_clear_output ic74hc595_clear_pin(DOUT4);ic74hc595_shift_io_pins()
#define io51_toggle_output ic74hc595_toggle_pin(DOUT4);ic74hc595_shift_io_pins()
#define io51_get_output ic74hc595_get_pin(DOUT4)
#define io51_config_input
#define io51_config_pullup
#define io51_get_input 0
#else
#define io51_config_output
#define io51_set_output
#define io51_clear_output
#define io51_toggle_output
#define io51_get_output 0
#define io51_config_input
#define io51_config_pullup
#define io51_get_input 0
#endif</v>
      </c>
      <c r="E53" s="32"/>
      <c r="F53" s="32"/>
      <c r="G53" s="32"/>
    </row>
    <row r="54" spans="1:7" x14ac:dyDescent="0.25">
      <c r="A54" s="4">
        <v>52</v>
      </c>
      <c r="B54" s="4" t="str">
        <f t="shared" si="0"/>
        <v>DIO52</v>
      </c>
      <c r="C54" s="29" t="s">
        <v>48</v>
      </c>
      <c r="D54" s="18" t="str">
        <f t="shared" si="1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#if !defined(DOUT5_PULLUP) &amp;&amp; !defined(FORCE_IO_HAL_DIRECTION_ONREQUEST)
#define io52_config_input mcu_config_input(DOUT5)
#else
#define io52_config_input mcu_config_input(DOUT5);mcu_config_pullup(DOUT5)
#endif
#define io52_config_pullup mcu_config_pullup(DOUT5)
#define io52_get_input mcu_get_input(DOUT5)
#elif ASSERT_PIN_EXTENDED(DOUT5)
#define io52_config_output
#define io52_set_output ic74hc595_set_pin(DOUT5);ic74hc595_shift_io_pins()
#define io52_clear_output ic74hc595_clear_pin(DOUT5);ic74hc595_shift_io_pins()
#define io52_toggle_output ic74hc595_toggle_pin(DOUT5);ic74hc595_shift_io_pins()
#define io52_get_output ic74hc595_get_pin(DOUT5)
#define io52_config_input
#define io52_config_pullup
#define io52_get_input 0
#else
#define io52_config_output
#define io52_set_output
#define io52_clear_output
#define io52_toggle_output
#define io52_get_output 0
#define io52_config_input
#define io52_config_pullup
#define io52_get_input 0
#endif</v>
      </c>
      <c r="E54" s="32"/>
      <c r="F54" s="32"/>
      <c r="G54" s="32"/>
    </row>
    <row r="55" spans="1:7" x14ac:dyDescent="0.25">
      <c r="A55" s="4">
        <v>53</v>
      </c>
      <c r="B55" s="4" t="str">
        <f t="shared" si="0"/>
        <v>DIO53</v>
      </c>
      <c r="C55" s="29" t="s">
        <v>49</v>
      </c>
      <c r="D55" s="18" t="str">
        <f t="shared" si="1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#if !defined(DOUT6_PULLUP) &amp;&amp; !defined(FORCE_IO_HAL_DIRECTION_ONREQUEST)
#define io53_config_input mcu_config_input(DOUT6)
#else
#define io53_config_input mcu_config_input(DOUT6);mcu_config_pullup(DOUT6)
#endif
#define io53_config_pullup mcu_config_pullup(DOUT6)
#define io53_get_input mcu_get_input(DOUT6)
#elif ASSERT_PIN_EXTENDED(DOUT6)
#define io53_config_output
#define io53_set_output ic74hc595_set_pin(DOUT6);ic74hc595_shift_io_pins()
#define io53_clear_output ic74hc595_clear_pin(DOUT6);ic74hc595_shift_io_pins()
#define io53_toggle_output ic74hc595_toggle_pin(DOUT6);ic74hc595_shift_io_pins()
#define io53_get_output ic74hc595_get_pin(DOUT6)
#define io53_config_input
#define io53_config_pullup
#define io53_get_input 0
#else
#define io53_config_output
#define io53_set_output
#define io53_clear_output
#define io53_toggle_output
#define io53_get_output 0
#define io53_config_input
#define io53_config_pullup
#define io53_get_input 0
#endif</v>
      </c>
      <c r="E55" s="32"/>
      <c r="F55" s="32"/>
      <c r="G55" s="32"/>
    </row>
    <row r="56" spans="1:7" x14ac:dyDescent="0.25">
      <c r="A56" s="4">
        <v>54</v>
      </c>
      <c r="B56" s="4" t="str">
        <f t="shared" si="0"/>
        <v>DIO54</v>
      </c>
      <c r="C56" s="29" t="s">
        <v>50</v>
      </c>
      <c r="D56" s="18" t="str">
        <f t="shared" si="1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#if !defined(DOUT7_PULLUP) &amp;&amp; !defined(FORCE_IO_HAL_DIRECTION_ONREQUEST)
#define io54_config_input mcu_config_input(DOUT7)
#else
#define io54_config_input mcu_config_input(DOUT7);mcu_config_pullup(DOUT7)
#endif
#define io54_config_pullup mcu_config_pullup(DOUT7)
#define io54_get_input mcu_get_input(DOUT7)
#elif ASSERT_PIN_EXTENDED(DOUT7)
#define io54_config_output
#define io54_set_output ic74hc595_set_pin(DOUT7);ic74hc595_shift_io_pins()
#define io54_clear_output ic74hc595_clear_pin(DOUT7);ic74hc595_shift_io_pins()
#define io54_toggle_output ic74hc595_toggle_pin(DOUT7);ic74hc595_shift_io_pins()
#define io54_get_output ic74hc595_get_pin(DOUT7)
#define io54_config_input
#define io54_config_pullup
#define io54_get_input 0
#else
#define io54_config_output
#define io54_set_output
#define io54_clear_output
#define io54_toggle_output
#define io54_get_output 0
#define io54_config_input
#define io54_config_pullup
#define io54_get_input 0
#endif</v>
      </c>
      <c r="E56" s="32"/>
      <c r="F56" s="32"/>
      <c r="G56" s="32"/>
    </row>
    <row r="57" spans="1:7" x14ac:dyDescent="0.25">
      <c r="A57" s="4">
        <v>55</v>
      </c>
      <c r="B57" s="4" t="str">
        <f t="shared" si="0"/>
        <v>DIO55</v>
      </c>
      <c r="C57" s="29" t="s">
        <v>51</v>
      </c>
      <c r="D57" s="18" t="str">
        <f t="shared" si="1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#if !defined(DOUT8_PULLUP) &amp;&amp; !defined(FORCE_IO_HAL_DIRECTION_ONREQUEST)
#define io55_config_input mcu_config_input(DOUT8)
#else
#define io55_config_input mcu_config_input(DOUT8);mcu_config_pullup(DOUT8)
#endif
#define io55_config_pullup mcu_config_pullup(DOUT8)
#define io55_get_input mcu_get_input(DOUT8)
#elif ASSERT_PIN_EXTENDED(DOUT8)
#define io55_config_output
#define io55_set_output ic74hc595_set_pin(DOUT8);ic74hc595_shift_io_pins()
#define io55_clear_output ic74hc595_clear_pin(DOUT8);ic74hc595_shift_io_pins()
#define io55_toggle_output ic74hc595_toggle_pin(DOUT8);ic74hc595_shift_io_pins()
#define io55_get_output ic74hc595_get_pin(DOUT8)
#define io55_config_input
#define io55_config_pullup
#define io55_get_input 0
#else
#define io55_config_output
#define io55_set_output
#define io55_clear_output
#define io55_toggle_output
#define io55_get_output 0
#define io55_config_input
#define io55_config_pullup
#define io55_get_input 0
#endif</v>
      </c>
      <c r="E57" s="32"/>
      <c r="F57" s="32"/>
      <c r="G57" s="32"/>
    </row>
    <row r="58" spans="1:7" x14ac:dyDescent="0.25">
      <c r="A58" s="4">
        <v>56</v>
      </c>
      <c r="B58" s="4" t="str">
        <f t="shared" si="0"/>
        <v>DIO56</v>
      </c>
      <c r="C58" s="29" t="s">
        <v>52</v>
      </c>
      <c r="D58" s="18" t="str">
        <f t="shared" si="1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#if !defined(DOUT9_PULLUP) &amp;&amp; !defined(FORCE_IO_HAL_DIRECTION_ONREQUEST)
#define io56_config_input mcu_config_input(DOUT9)
#else
#define io56_config_input mcu_config_input(DOUT9);mcu_config_pullup(DOUT9)
#endif
#define io56_config_pullup mcu_config_pullup(DOUT9)
#define io56_get_input mcu_get_input(DOUT9)
#elif ASSERT_PIN_EXTENDED(DOUT9)
#define io56_config_output
#define io56_set_output ic74hc595_set_pin(DOUT9);ic74hc595_shift_io_pins()
#define io56_clear_output ic74hc595_clear_pin(DOUT9);ic74hc595_shift_io_pins()
#define io56_toggle_output ic74hc595_toggle_pin(DOUT9);ic74hc595_shift_io_pins()
#define io56_get_output ic74hc595_get_pin(DOUT9)
#define io56_config_input
#define io56_config_pullup
#define io56_get_input 0
#else
#define io56_config_output
#define io56_set_output
#define io56_clear_output
#define io56_toggle_output
#define io56_get_output 0
#define io56_config_input
#define io56_config_pullup
#define io56_get_input 0
#endif</v>
      </c>
      <c r="E58" s="32"/>
      <c r="F58" s="32"/>
      <c r="G58" s="32"/>
    </row>
    <row r="59" spans="1:7" x14ac:dyDescent="0.25">
      <c r="A59" s="4">
        <v>57</v>
      </c>
      <c r="B59" s="4" t="str">
        <f t="shared" si="0"/>
        <v>DIO57</v>
      </c>
      <c r="C59" s="29" t="s">
        <v>53</v>
      </c>
      <c r="D59" s="18" t="str">
        <f t="shared" si="1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#if !defined(DOUT10_PULLUP) &amp;&amp; !defined(FORCE_IO_HAL_DIRECTION_ONREQUEST)
#define io57_config_input mcu_config_input(DOUT10)
#else
#define io57_config_input mcu_config_input(DOUT10);mcu_config_pullup(DOUT10)
#endif
#define io57_config_pullup mcu_config_pullup(DOUT10)
#define io57_get_input mcu_get_input(DOUT10)
#elif ASSERT_PIN_EXTENDED(DOUT10)
#define io57_config_output
#define io57_set_output ic74hc595_set_pin(DOUT10);ic74hc595_shift_io_pins()
#define io57_clear_output ic74hc595_clear_pin(DOUT10);ic74hc595_shift_io_pins()
#define io57_toggle_output ic74hc595_toggle_pin(DOUT10);ic74hc595_shift_io_pins()
#define io57_get_output ic74hc595_get_pin(DOUT10)
#define io57_config_input
#define io57_config_pullup
#define io57_get_input 0
#else
#define io57_config_output
#define io57_set_output
#define io57_clear_output
#define io57_toggle_output
#define io57_get_output 0
#define io57_config_input
#define io57_config_pullup
#define io57_get_input 0
#endif</v>
      </c>
      <c r="E59" s="32"/>
      <c r="F59" s="32"/>
      <c r="G59" s="32"/>
    </row>
    <row r="60" spans="1:7" x14ac:dyDescent="0.25">
      <c r="A60" s="4">
        <v>58</v>
      </c>
      <c r="B60" s="4" t="str">
        <f t="shared" si="0"/>
        <v>DIO58</v>
      </c>
      <c r="C60" s="29" t="s">
        <v>54</v>
      </c>
      <c r="D60" s="18" t="str">
        <f t="shared" si="1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#if !defined(DOUT11_PULLUP) &amp;&amp; !defined(FORCE_IO_HAL_DIRECTION_ONREQUEST)
#define io58_config_input mcu_config_input(DOUT11)
#else
#define io58_config_input mcu_config_input(DOUT11);mcu_config_pullup(DOUT11)
#endif
#define io58_config_pullup mcu_config_pullup(DOUT11)
#define io58_get_input mcu_get_input(DOUT11)
#elif ASSERT_PIN_EXTENDED(DOUT11)
#define io58_config_output
#define io58_set_output ic74hc595_set_pin(DOUT11);ic74hc595_shift_io_pins()
#define io58_clear_output ic74hc595_clear_pin(DOUT11);ic74hc595_shift_io_pins()
#define io58_toggle_output ic74hc595_toggle_pin(DOUT11);ic74hc595_shift_io_pins()
#define io58_get_output ic74hc595_get_pin(DOUT11)
#define io58_config_input
#define io58_config_pullup
#define io58_get_input 0
#else
#define io58_config_output
#define io58_set_output
#define io58_clear_output
#define io58_toggle_output
#define io58_get_output 0
#define io58_config_input
#define io58_config_pullup
#define io58_get_input 0
#endif</v>
      </c>
      <c r="E60" s="32"/>
      <c r="F60" s="32"/>
      <c r="G60" s="32"/>
    </row>
    <row r="61" spans="1:7" x14ac:dyDescent="0.25">
      <c r="A61" s="4">
        <v>59</v>
      </c>
      <c r="B61" s="4" t="str">
        <f t="shared" si="0"/>
        <v>DIO59</v>
      </c>
      <c r="C61" s="29" t="s">
        <v>55</v>
      </c>
      <c r="D61" s="18" t="str">
        <f t="shared" si="1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#if !defined(DOUT12_PULLUP) &amp;&amp; !defined(FORCE_IO_HAL_DIRECTION_ONREQUEST)
#define io59_config_input mcu_config_input(DOUT12)
#else
#define io59_config_input mcu_config_input(DOUT12);mcu_config_pullup(DOUT12)
#endif
#define io59_config_pullup mcu_config_pullup(DOUT12)
#define io59_get_input mcu_get_input(DOUT12)
#elif ASSERT_PIN_EXTENDED(DOUT12)
#define io59_config_output
#define io59_set_output ic74hc595_set_pin(DOUT12);ic74hc595_shift_io_pins()
#define io59_clear_output ic74hc595_clear_pin(DOUT12);ic74hc595_shift_io_pins()
#define io59_toggle_output ic74hc595_toggle_pin(DOUT12);ic74hc595_shift_io_pins()
#define io59_get_output ic74hc595_get_pin(DOUT12)
#define io59_config_input
#define io59_config_pullup
#define io59_get_input 0
#else
#define io59_config_output
#define io59_set_output
#define io59_clear_output
#define io59_toggle_output
#define io59_get_output 0
#define io59_config_input
#define io59_config_pullup
#define io59_get_input 0
#endif</v>
      </c>
      <c r="E61" s="32"/>
      <c r="F61" s="32"/>
      <c r="G61" s="32"/>
    </row>
    <row r="62" spans="1:7" x14ac:dyDescent="0.25">
      <c r="A62" s="4">
        <v>60</v>
      </c>
      <c r="B62" s="4" t="str">
        <f t="shared" si="0"/>
        <v>DIO60</v>
      </c>
      <c r="C62" s="29" t="s">
        <v>56</v>
      </c>
      <c r="D62" s="18" t="str">
        <f t="shared" si="1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#if !defined(DOUT13_PULLUP) &amp;&amp; !defined(FORCE_IO_HAL_DIRECTION_ONREQUEST)
#define io60_config_input mcu_config_input(DOUT13)
#else
#define io60_config_input mcu_config_input(DOUT13);mcu_config_pullup(DOUT13)
#endif
#define io60_config_pullup mcu_config_pullup(DOUT13)
#define io60_get_input mcu_get_input(DOUT13)
#elif ASSERT_PIN_EXTENDED(DOUT13)
#define io60_config_output
#define io60_set_output ic74hc595_set_pin(DOUT13);ic74hc595_shift_io_pins()
#define io60_clear_output ic74hc595_clear_pin(DOUT13);ic74hc595_shift_io_pins()
#define io60_toggle_output ic74hc595_toggle_pin(DOUT13);ic74hc595_shift_io_pins()
#define io60_get_output ic74hc595_get_pin(DOUT13)
#define io60_config_input
#define io60_config_pullup
#define io60_get_input 0
#else
#define io60_config_output
#define io60_set_output
#define io60_clear_output
#define io60_toggle_output
#define io60_get_output 0
#define io60_config_input
#define io60_config_pullup
#define io60_get_input 0
#endif</v>
      </c>
      <c r="E62" s="32"/>
      <c r="F62" s="32"/>
      <c r="G62" s="32"/>
    </row>
    <row r="63" spans="1:7" x14ac:dyDescent="0.25">
      <c r="A63" s="4">
        <v>61</v>
      </c>
      <c r="B63" s="4" t="str">
        <f t="shared" si="0"/>
        <v>DIO61</v>
      </c>
      <c r="C63" s="29" t="s">
        <v>57</v>
      </c>
      <c r="D63" s="18" t="str">
        <f t="shared" si="1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#if !defined(DOUT14_PULLUP) &amp;&amp; !defined(FORCE_IO_HAL_DIRECTION_ONREQUEST)
#define io61_config_input mcu_config_input(DOUT14)
#else
#define io61_config_input mcu_config_input(DOUT14);mcu_config_pullup(DOUT14)
#endif
#define io61_config_pullup mcu_config_pullup(DOUT14)
#define io61_get_input mcu_get_input(DOUT14)
#elif ASSERT_PIN_EXTENDED(DOUT14)
#define io61_config_output
#define io61_set_output ic74hc595_set_pin(DOUT14);ic74hc595_shift_io_pins()
#define io61_clear_output ic74hc595_clear_pin(DOUT14);ic74hc595_shift_io_pins()
#define io61_toggle_output ic74hc595_toggle_pin(DOUT14);ic74hc595_shift_io_pins()
#define io61_get_output ic74hc595_get_pin(DOUT14)
#define io61_config_input
#define io61_config_pullup
#define io61_get_input 0
#else
#define io61_config_output
#define io61_set_output
#define io61_clear_output
#define io61_toggle_output
#define io61_get_output 0
#define io61_config_input
#define io61_config_pullup
#define io61_get_input 0
#endif</v>
      </c>
      <c r="E63" s="32"/>
      <c r="F63" s="32"/>
      <c r="G63" s="32"/>
    </row>
    <row r="64" spans="1:7" x14ac:dyDescent="0.25">
      <c r="A64" s="4">
        <v>62</v>
      </c>
      <c r="B64" s="4" t="str">
        <f t="shared" si="0"/>
        <v>DIO62</v>
      </c>
      <c r="C64" s="29" t="s">
        <v>58</v>
      </c>
      <c r="D64" s="18" t="str">
        <f t="shared" si="1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#if !defined(DOUT15_PULLUP) &amp;&amp; !defined(FORCE_IO_HAL_DIRECTION_ONREQUEST)
#define io62_config_input mcu_config_input(DOUT15)
#else
#define io62_config_input mcu_config_input(DOUT15);mcu_config_pullup(DOUT15)
#endif
#define io62_config_pullup mcu_config_pullup(DOUT15)
#define io62_get_input mcu_get_input(DOUT15)
#elif ASSERT_PIN_EXTENDED(DOUT15)
#define io62_config_output
#define io62_set_output ic74hc595_set_pin(DOUT15);ic74hc595_shift_io_pins()
#define io62_clear_output ic74hc595_clear_pin(DOUT15);ic74hc595_shift_io_pins()
#define io62_toggle_output ic74hc595_toggle_pin(DOUT15);ic74hc595_shift_io_pins()
#define io62_get_output ic74hc595_get_pin(DOUT15)
#define io62_config_input
#define io62_config_pullup
#define io62_get_input 0
#else
#define io62_config_output
#define io62_set_output
#define io62_clear_output
#define io62_toggle_output
#define io62_get_output 0
#define io62_config_input
#define io62_config_pullup
#define io62_get_input 0
#endif</v>
      </c>
      <c r="E64" s="32"/>
      <c r="F64" s="32"/>
      <c r="G64" s="32"/>
    </row>
    <row r="65" spans="1:7" x14ac:dyDescent="0.25">
      <c r="A65" s="4">
        <v>63</v>
      </c>
      <c r="B65" s="4" t="str">
        <f t="shared" si="0"/>
        <v>DIO63</v>
      </c>
      <c r="C65" s="29" t="s">
        <v>191</v>
      </c>
      <c r="D65" s="18" t="str">
        <f t="shared" si="1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#if !defined(DOUT16_PULLUP) &amp;&amp; !defined(FORCE_IO_HAL_DIRECTION_ONREQUEST)
#define io63_config_input mcu_config_input(DOUT16)
#else
#define io63_config_input mcu_config_input(DOUT16);mcu_config_pullup(DOUT16)
#endif
#define io63_config_pullup mcu_config_pullup(DOUT16)
#define io63_get_input mcu_get_input(DOUT16)
#elif ASSERT_PIN_EXTENDED(DOUT16)
#define io63_config_output
#define io63_set_output ic74hc595_set_pin(DOUT16);ic74hc595_shift_io_pins()
#define io63_clear_output ic74hc595_clear_pin(DOUT16);ic74hc595_shift_io_pins()
#define io63_toggle_output ic74hc595_toggle_pin(DOUT16);ic74hc595_shift_io_pins()
#define io63_get_output ic74hc595_get_pin(DOUT16)
#define io63_config_input
#define io63_config_pullup
#define io63_get_input 0
#else
#define io63_config_output
#define io63_set_output
#define io63_clear_output
#define io63_toggle_output
#define io63_get_output 0
#define io63_config_input
#define io63_config_pullup
#define io63_get_input 0
#endif</v>
      </c>
      <c r="E65" s="32"/>
      <c r="F65" s="32"/>
      <c r="G65" s="32"/>
    </row>
    <row r="66" spans="1:7" x14ac:dyDescent="0.25">
      <c r="A66" s="4">
        <v>64</v>
      </c>
      <c r="B66" s="4" t="str">
        <f t="shared" si="0"/>
        <v>DIO64</v>
      </c>
      <c r="C66" s="29" t="s">
        <v>192</v>
      </c>
      <c r="D66" s="18" t="str">
        <f t="shared" si="1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#if !defined(DOUT17_PULLUP) &amp;&amp; !defined(FORCE_IO_HAL_DIRECTION_ONREQUEST)
#define io64_config_input mcu_config_input(DOUT17)
#else
#define io64_config_input mcu_config_input(DOUT17);mcu_config_pullup(DOUT17)
#endif
#define io64_config_pullup mcu_config_pullup(DOUT17)
#define io64_get_input mcu_get_input(DOUT17)
#elif ASSERT_PIN_EXTENDED(DOUT17)
#define io64_config_output
#define io64_set_output ic74hc595_set_pin(DOUT17);ic74hc595_shift_io_pins()
#define io64_clear_output ic74hc595_clear_pin(DOUT17);ic74hc595_shift_io_pins()
#define io64_toggle_output ic74hc595_toggle_pin(DOUT17);ic74hc595_shift_io_pins()
#define io64_get_output ic74hc595_get_pin(DOUT17)
#define io64_config_input
#define io64_config_pullup
#define io64_get_input 0
#else
#define io64_config_output
#define io64_set_output
#define io64_clear_output
#define io64_toggle_output
#define io64_get_output 0
#define io64_config_input
#define io64_config_pullup
#define io64_get_input 0
#endif</v>
      </c>
      <c r="E66" s="32"/>
      <c r="F66" s="32"/>
      <c r="G66" s="32"/>
    </row>
    <row r="67" spans="1:7" x14ac:dyDescent="0.25">
      <c r="A67" s="4">
        <v>65</v>
      </c>
      <c r="B67" s="4" t="str">
        <f t="shared" si="0"/>
        <v>DIO65</v>
      </c>
      <c r="C67" s="29" t="s">
        <v>193</v>
      </c>
      <c r="D67" s="18" t="str">
        <f t="shared" si="1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#if !defined(DOUT18_PULLUP) &amp;&amp; !defined(FORCE_IO_HAL_DIRECTION_ONREQUEST)
#define io65_config_input mcu_config_input(DOUT18)
#else
#define io65_config_input mcu_config_input(DOUT18);mcu_config_pullup(DOUT18)
#endif
#define io65_config_pullup mcu_config_pullup(DOUT18)
#define io65_get_input mcu_get_input(DOUT18)
#elif ASSERT_PIN_EXTENDED(DOUT18)
#define io65_config_output
#define io65_set_output ic74hc595_set_pin(DOUT18);ic74hc595_shift_io_pins()
#define io65_clear_output ic74hc595_clear_pin(DOUT18);ic74hc595_shift_io_pins()
#define io65_toggle_output ic74hc595_toggle_pin(DOUT18);ic74hc595_shift_io_pins()
#define io65_get_output ic74hc595_get_pin(DOUT18)
#define io65_config_input
#define io65_config_pullup
#define io65_get_input 0
#else
#define io65_config_output
#define io65_set_output
#define io65_clear_output
#define io65_toggle_output
#define io65_get_output 0
#define io65_config_input
#define io65_config_pullup
#define io65_get_input 0
#endif</v>
      </c>
      <c r="E67" s="32"/>
      <c r="F67" s="32"/>
      <c r="G67" s="32"/>
    </row>
    <row r="68" spans="1:7" x14ac:dyDescent="0.25">
      <c r="A68" s="4">
        <v>66</v>
      </c>
      <c r="B68" s="4" t="str">
        <f t="shared" si="0"/>
        <v>DIO66</v>
      </c>
      <c r="C68" s="29" t="s">
        <v>194</v>
      </c>
      <c r="D68" s="18" t="str">
        <f t="shared" ref="D68:D98" si="4">"#if ASSERT_PIN_IO("&amp;C68&amp;")
#define io"&amp;A68&amp;"_config_output mcu_config_output("&amp;C68&amp;")
#define io"&amp;A68&amp;"_set_output mcu_set_output("&amp;C68&amp;")
#define io"&amp;A68&amp;"_clear_output mcu_clear_output("&amp;C68&amp;")
#define io"&amp;A68&amp;"_toggle_output mcu_toggle_output("&amp;C68&amp;")
#define io"&amp;A68&amp;"_get_output mcu_get_output("&amp;C68&amp;")
#if !defined("&amp;C68&amp;"_PULLUP) &amp;&amp; !defined(FORCE_IO_HAL_DIRECTION_ONREQUEST)
#define io"&amp;A68&amp;"_config_input mcu_config_input("&amp;C68&amp;")
#else
#define io"&amp;A68&amp;"_config_input mcu_config_input("&amp;C68&amp;");mcu_config_pullup("&amp;C68&amp;")
#endif
#define io"&amp;A68&amp;"_config_pullup mcu_config_pullup("&amp;C68&amp;")
#define io"&amp;A68&amp;"_get_input mcu_get_input("&amp;C68&amp;")
#elif ASSERT_PIN_EXTENDED("&amp;C68&amp;")
#define io"&amp;A68&amp;"_config_output
#define io"&amp;A68&amp;"_set_output ic74hc595_set_pin("&amp;C68&amp;");ic74hc595_shift_io_pins()
#define io"&amp;A68&amp;"_clear_output ic74hc595_clear_pin("&amp;C68&amp;");ic74hc595_shift_io_pins()
#define io"&amp;A68&amp;"_toggle_output ic74hc595_toggle_pin("&amp;C68&amp;");ic74hc595_shift_io_pins()
#define io"&amp;A68&amp;"_get_output ic74hc595_get_pin("&amp;C68&amp;")
#define io"&amp;A68&amp;"_config_input
#define io"&amp;A68&amp;"_config_pullup
#define io"&amp;A68&amp;"_get_input 0
#else
#define io"&amp;A68&amp;"_config_output
#define io"&amp;A68&amp;"_set_output
#define io"&amp;A68&amp;"_clear_output
#define io"&amp;A68&amp;"_toggle_output
#define io"&amp;A68&amp;"_get_output 0
#define io"&amp;A68&amp;"_config_input
#define io"&amp;A68&amp;"_config_pullup
#define io"&amp;A68&amp;"_get_input 0
#endif"</f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#if !defined(DOUT19_PULLUP) &amp;&amp; !defined(FORCE_IO_HAL_DIRECTION_ONREQUEST)
#define io66_config_input mcu_config_input(DOUT19)
#else
#define io66_config_input mcu_config_input(DOUT19);mcu_config_pullup(DOUT19)
#endif
#define io66_config_pullup mcu_config_pullup(DOUT19)
#define io66_get_input mcu_get_input(DOUT19)
#elif ASSERT_PIN_EXTENDED(DOUT19)
#define io66_config_output
#define io66_set_output ic74hc595_set_pin(DOUT19);ic74hc595_shift_io_pins()
#define io66_clear_output ic74hc595_clear_pin(DOUT19);ic74hc595_shift_io_pins()
#define io66_toggle_output ic74hc595_toggle_pin(DOUT19);ic74hc595_shift_io_pins()
#define io66_get_output ic74hc595_get_pin(DOUT19)
#define io66_config_input
#define io66_config_pullup
#define io66_get_input 0
#else
#define io66_config_output
#define io66_set_output
#define io66_clear_output
#define io66_toggle_output
#define io66_get_output 0
#define io66_config_input
#define io66_config_pullup
#define io66_get_input 0
#endif</v>
      </c>
      <c r="E68" s="32"/>
      <c r="F68" s="32"/>
      <c r="G68" s="32"/>
    </row>
    <row r="69" spans="1:7" x14ac:dyDescent="0.25">
      <c r="A69" s="4">
        <v>67</v>
      </c>
      <c r="B69" s="4" t="str">
        <f t="shared" si="0"/>
        <v>DIO67</v>
      </c>
      <c r="C69" s="29" t="s">
        <v>195</v>
      </c>
      <c r="D69" s="18" t="str">
        <f t="shared" si="4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#if !defined(DOUT20_PULLUP) &amp;&amp; !defined(FORCE_IO_HAL_DIRECTION_ONREQUEST)
#define io67_config_input mcu_config_input(DOUT20)
#else
#define io67_config_input mcu_config_input(DOUT20);mcu_config_pullup(DOUT20)
#endif
#define io67_config_pullup mcu_config_pullup(DOUT20)
#define io67_get_input mcu_get_input(DOUT20)
#elif ASSERT_PIN_EXTENDED(DOUT20)
#define io67_config_output
#define io67_set_output ic74hc595_set_pin(DOUT20);ic74hc595_shift_io_pins()
#define io67_clear_output ic74hc595_clear_pin(DOUT20);ic74hc595_shift_io_pins()
#define io67_toggle_output ic74hc595_toggle_pin(DOUT20);ic74hc595_shift_io_pins()
#define io67_get_output ic74hc595_get_pin(DOUT20)
#define io67_config_input
#define io67_config_pullup
#define io67_get_input 0
#else
#define io67_config_output
#define io67_set_output
#define io67_clear_output
#define io67_toggle_output
#define io67_get_output 0
#define io67_config_input
#define io67_config_pullup
#define io67_get_input 0
#endif</v>
      </c>
      <c r="E69" s="32"/>
      <c r="F69" s="32"/>
      <c r="G69" s="32"/>
    </row>
    <row r="70" spans="1:7" x14ac:dyDescent="0.25">
      <c r="A70" s="4">
        <v>68</v>
      </c>
      <c r="B70" s="4" t="str">
        <f t="shared" si="0"/>
        <v>DIO68</v>
      </c>
      <c r="C70" s="29" t="s">
        <v>196</v>
      </c>
      <c r="D70" s="18" t="str">
        <f t="shared" si="4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#if !defined(DOUT21_PULLUP) &amp;&amp; !defined(FORCE_IO_HAL_DIRECTION_ONREQUEST)
#define io68_config_input mcu_config_input(DOUT21)
#else
#define io68_config_input mcu_config_input(DOUT21);mcu_config_pullup(DOUT21)
#endif
#define io68_config_pullup mcu_config_pullup(DOUT21)
#define io68_get_input mcu_get_input(DOUT21)
#elif ASSERT_PIN_EXTENDED(DOUT21)
#define io68_config_output
#define io68_set_output ic74hc595_set_pin(DOUT21);ic74hc595_shift_io_pins()
#define io68_clear_output ic74hc595_clear_pin(DOUT21);ic74hc595_shift_io_pins()
#define io68_toggle_output ic74hc595_toggle_pin(DOUT21);ic74hc595_shift_io_pins()
#define io68_get_output ic74hc595_get_pin(DOUT21)
#define io68_config_input
#define io68_config_pullup
#define io68_get_input 0
#else
#define io68_config_output
#define io68_set_output
#define io68_clear_output
#define io68_toggle_output
#define io68_get_output 0
#define io68_config_input
#define io68_config_pullup
#define io68_get_input 0
#endif</v>
      </c>
      <c r="E70" s="32"/>
      <c r="F70" s="32"/>
      <c r="G70" s="32"/>
    </row>
    <row r="71" spans="1:7" x14ac:dyDescent="0.25">
      <c r="A71" s="4">
        <v>69</v>
      </c>
      <c r="B71" s="4" t="str">
        <f t="shared" si="0"/>
        <v>DIO69</v>
      </c>
      <c r="C71" s="29" t="s">
        <v>197</v>
      </c>
      <c r="D71" s="18" t="str">
        <f t="shared" si="4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#if !defined(DOUT22_PULLUP) &amp;&amp; !defined(FORCE_IO_HAL_DIRECTION_ONREQUEST)
#define io69_config_input mcu_config_input(DOUT22)
#else
#define io69_config_input mcu_config_input(DOUT22);mcu_config_pullup(DOUT22)
#endif
#define io69_config_pullup mcu_config_pullup(DOUT22)
#define io69_get_input mcu_get_input(DOUT22)
#elif ASSERT_PIN_EXTENDED(DOUT22)
#define io69_config_output
#define io69_set_output ic74hc595_set_pin(DOUT22);ic74hc595_shift_io_pins()
#define io69_clear_output ic74hc595_clear_pin(DOUT22);ic74hc595_shift_io_pins()
#define io69_toggle_output ic74hc595_toggle_pin(DOUT22);ic74hc595_shift_io_pins()
#define io69_get_output ic74hc595_get_pin(DOUT22)
#define io69_config_input
#define io69_config_pullup
#define io69_get_input 0
#else
#define io69_config_output
#define io69_set_output
#define io69_clear_output
#define io69_toggle_output
#define io69_get_output 0
#define io69_config_input
#define io69_config_pullup
#define io69_get_input 0
#endif</v>
      </c>
      <c r="E71" s="32"/>
      <c r="F71" s="32"/>
      <c r="G71" s="32"/>
    </row>
    <row r="72" spans="1:7" x14ac:dyDescent="0.25">
      <c r="A72" s="4">
        <v>70</v>
      </c>
      <c r="B72" s="4" t="str">
        <f t="shared" si="0"/>
        <v>DIO70</v>
      </c>
      <c r="C72" s="29" t="s">
        <v>198</v>
      </c>
      <c r="D72" s="18" t="str">
        <f t="shared" si="4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#if !defined(DOUT23_PULLUP) &amp;&amp; !defined(FORCE_IO_HAL_DIRECTION_ONREQUEST)
#define io70_config_input mcu_config_input(DOUT23)
#else
#define io70_config_input mcu_config_input(DOUT23);mcu_config_pullup(DOUT23)
#endif
#define io70_config_pullup mcu_config_pullup(DOUT23)
#define io70_get_input mcu_get_input(DOUT23)
#elif ASSERT_PIN_EXTENDED(DOUT23)
#define io70_config_output
#define io70_set_output ic74hc595_set_pin(DOUT23);ic74hc595_shift_io_pins()
#define io70_clear_output ic74hc595_clear_pin(DOUT23);ic74hc595_shift_io_pins()
#define io70_toggle_output ic74hc595_toggle_pin(DOUT23);ic74hc595_shift_io_pins()
#define io70_get_output ic74hc595_get_pin(DOUT23)
#define io70_config_input
#define io70_config_pullup
#define io70_get_input 0
#else
#define io70_config_output
#define io70_set_output
#define io70_clear_output
#define io70_toggle_output
#define io70_get_output 0
#define io70_config_input
#define io70_config_pullup
#define io70_get_input 0
#endif</v>
      </c>
      <c r="E72" s="32"/>
      <c r="F72" s="32"/>
      <c r="G72" s="32"/>
    </row>
    <row r="73" spans="1:7" x14ac:dyDescent="0.25">
      <c r="A73" s="4">
        <v>71</v>
      </c>
      <c r="B73" s="4" t="str">
        <f t="shared" si="0"/>
        <v>DIO71</v>
      </c>
      <c r="C73" s="29" t="s">
        <v>199</v>
      </c>
      <c r="D73" s="18" t="str">
        <f t="shared" si="4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#if !defined(DOUT24_PULLUP) &amp;&amp; !defined(FORCE_IO_HAL_DIRECTION_ONREQUEST)
#define io71_config_input mcu_config_input(DOUT24)
#else
#define io71_config_input mcu_config_input(DOUT24);mcu_config_pullup(DOUT24)
#endif
#define io71_config_pullup mcu_config_pullup(DOUT24)
#define io71_get_input mcu_get_input(DOUT24)
#elif ASSERT_PIN_EXTENDED(DOUT24)
#define io71_config_output
#define io71_set_output ic74hc595_set_pin(DOUT24);ic74hc595_shift_io_pins()
#define io71_clear_output ic74hc595_clear_pin(DOUT24);ic74hc595_shift_io_pins()
#define io71_toggle_output ic74hc595_toggle_pin(DOUT24);ic74hc595_shift_io_pins()
#define io71_get_output ic74hc595_get_pin(DOUT24)
#define io71_config_input
#define io71_config_pullup
#define io71_get_input 0
#else
#define io71_config_output
#define io71_set_output
#define io71_clear_output
#define io71_toggle_output
#define io71_get_output 0
#define io71_config_input
#define io71_config_pullup
#define io71_get_input 0
#endif</v>
      </c>
      <c r="E73" s="32"/>
      <c r="F73" s="32"/>
      <c r="G73" s="32"/>
    </row>
    <row r="74" spans="1:7" x14ac:dyDescent="0.25">
      <c r="A74" s="4">
        <v>72</v>
      </c>
      <c r="B74" s="4" t="str">
        <f t="shared" si="0"/>
        <v>DIO72</v>
      </c>
      <c r="C74" s="29" t="s">
        <v>200</v>
      </c>
      <c r="D74" s="18" t="str">
        <f t="shared" si="4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#if !defined(DOUT25_PULLUP) &amp;&amp; !defined(FORCE_IO_HAL_DIRECTION_ONREQUEST)
#define io72_config_input mcu_config_input(DOUT25)
#else
#define io72_config_input mcu_config_input(DOUT25);mcu_config_pullup(DOUT25)
#endif
#define io72_config_pullup mcu_config_pullup(DOUT25)
#define io72_get_input mcu_get_input(DOUT25)
#elif ASSERT_PIN_EXTENDED(DOUT25)
#define io72_config_output
#define io72_set_output ic74hc595_set_pin(DOUT25);ic74hc595_shift_io_pins()
#define io72_clear_output ic74hc595_clear_pin(DOUT25);ic74hc595_shift_io_pins()
#define io72_toggle_output ic74hc595_toggle_pin(DOUT25);ic74hc595_shift_io_pins()
#define io72_get_output ic74hc595_get_pin(DOUT25)
#define io72_config_input
#define io72_config_pullup
#define io72_get_input 0
#else
#define io72_config_output
#define io72_set_output
#define io72_clear_output
#define io72_toggle_output
#define io72_get_output 0
#define io72_config_input
#define io72_config_pullup
#define io72_get_input 0
#endif</v>
      </c>
      <c r="E74" s="32"/>
      <c r="F74" s="32"/>
      <c r="G74" s="32"/>
    </row>
    <row r="75" spans="1:7" x14ac:dyDescent="0.25">
      <c r="A75" s="4">
        <v>73</v>
      </c>
      <c r="B75" s="4" t="str">
        <f t="shared" si="0"/>
        <v>DIO73</v>
      </c>
      <c r="C75" s="29" t="s">
        <v>201</v>
      </c>
      <c r="D75" s="18" t="str">
        <f t="shared" si="4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#if !defined(DOUT26_PULLUP) &amp;&amp; !defined(FORCE_IO_HAL_DIRECTION_ONREQUEST)
#define io73_config_input mcu_config_input(DOUT26)
#else
#define io73_config_input mcu_config_input(DOUT26);mcu_config_pullup(DOUT26)
#endif
#define io73_config_pullup mcu_config_pullup(DOUT26)
#define io73_get_input mcu_get_input(DOUT26)
#elif ASSERT_PIN_EXTENDED(DOUT26)
#define io73_config_output
#define io73_set_output ic74hc595_set_pin(DOUT26);ic74hc595_shift_io_pins()
#define io73_clear_output ic74hc595_clear_pin(DOUT26);ic74hc595_shift_io_pins()
#define io73_toggle_output ic74hc595_toggle_pin(DOUT26);ic74hc595_shift_io_pins()
#define io73_get_output ic74hc595_get_pin(DOUT26)
#define io73_config_input
#define io73_config_pullup
#define io73_get_input 0
#else
#define io73_config_output
#define io73_set_output
#define io73_clear_output
#define io73_toggle_output
#define io73_get_output 0
#define io73_config_input
#define io73_config_pullup
#define io73_get_input 0
#endif</v>
      </c>
      <c r="E75" s="32"/>
      <c r="F75" s="32"/>
      <c r="G75" s="32"/>
    </row>
    <row r="76" spans="1:7" x14ac:dyDescent="0.25">
      <c r="A76" s="4">
        <v>74</v>
      </c>
      <c r="B76" s="4" t="str">
        <f t="shared" si="0"/>
        <v>DIO74</v>
      </c>
      <c r="C76" s="29" t="s">
        <v>202</v>
      </c>
      <c r="D76" s="18" t="str">
        <f t="shared" si="4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#if !defined(DOUT27_PULLUP) &amp;&amp; !defined(FORCE_IO_HAL_DIRECTION_ONREQUEST)
#define io74_config_input mcu_config_input(DOUT27)
#else
#define io74_config_input mcu_config_input(DOUT27);mcu_config_pullup(DOUT27)
#endif
#define io74_config_pullup mcu_config_pullup(DOUT27)
#define io74_get_input mcu_get_input(DOUT27)
#elif ASSERT_PIN_EXTENDED(DOUT27)
#define io74_config_output
#define io74_set_output ic74hc595_set_pin(DOUT27);ic74hc595_shift_io_pins()
#define io74_clear_output ic74hc595_clear_pin(DOUT27);ic74hc595_shift_io_pins()
#define io74_toggle_output ic74hc595_toggle_pin(DOUT27);ic74hc595_shift_io_pins()
#define io74_get_output ic74hc595_get_pin(DOUT27)
#define io74_config_input
#define io74_config_pullup
#define io74_get_input 0
#else
#define io74_config_output
#define io74_set_output
#define io74_clear_output
#define io74_toggle_output
#define io74_get_output 0
#define io74_config_input
#define io74_config_pullup
#define io74_get_input 0
#endif</v>
      </c>
      <c r="E76" s="32"/>
      <c r="F76" s="32"/>
      <c r="G76" s="32"/>
    </row>
    <row r="77" spans="1:7" x14ac:dyDescent="0.25">
      <c r="A77" s="4">
        <v>75</v>
      </c>
      <c r="B77" s="4" t="str">
        <f t="shared" si="0"/>
        <v>DIO75</v>
      </c>
      <c r="C77" s="29" t="s">
        <v>203</v>
      </c>
      <c r="D77" s="18" t="str">
        <f t="shared" si="4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#if !defined(DOUT28_PULLUP) &amp;&amp; !defined(FORCE_IO_HAL_DIRECTION_ONREQUEST)
#define io75_config_input mcu_config_input(DOUT28)
#else
#define io75_config_input mcu_config_input(DOUT28);mcu_config_pullup(DOUT28)
#endif
#define io75_config_pullup mcu_config_pullup(DOUT28)
#define io75_get_input mcu_get_input(DOUT28)
#elif ASSERT_PIN_EXTENDED(DOUT28)
#define io75_config_output
#define io75_set_output ic74hc595_set_pin(DOUT28);ic74hc595_shift_io_pins()
#define io75_clear_output ic74hc595_clear_pin(DOUT28);ic74hc595_shift_io_pins()
#define io75_toggle_output ic74hc595_toggle_pin(DOUT28);ic74hc595_shift_io_pins()
#define io75_get_output ic74hc595_get_pin(DOUT28)
#define io75_config_input
#define io75_config_pullup
#define io75_get_input 0
#else
#define io75_config_output
#define io75_set_output
#define io75_clear_output
#define io75_toggle_output
#define io75_get_output 0
#define io75_config_input
#define io75_config_pullup
#define io75_get_input 0
#endif</v>
      </c>
      <c r="E77" s="32"/>
      <c r="F77" s="32"/>
      <c r="G77" s="32"/>
    </row>
    <row r="78" spans="1:7" x14ac:dyDescent="0.25">
      <c r="A78" s="4">
        <v>76</v>
      </c>
      <c r="B78" s="4" t="str">
        <f t="shared" si="0"/>
        <v>DIO76</v>
      </c>
      <c r="C78" s="29" t="s">
        <v>204</v>
      </c>
      <c r="D78" s="18" t="str">
        <f t="shared" si="4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#if !defined(DOUT29_PULLUP) &amp;&amp; !defined(FORCE_IO_HAL_DIRECTION_ONREQUEST)
#define io76_config_input mcu_config_input(DOUT29)
#else
#define io76_config_input mcu_config_input(DOUT29);mcu_config_pullup(DOUT29)
#endif
#define io76_config_pullup mcu_config_pullup(DOUT29)
#define io76_get_input mcu_get_input(DOUT29)
#elif ASSERT_PIN_EXTENDED(DOUT29)
#define io76_config_output
#define io76_set_output ic74hc595_set_pin(DOUT29);ic74hc595_shift_io_pins()
#define io76_clear_output ic74hc595_clear_pin(DOUT29);ic74hc595_shift_io_pins()
#define io76_toggle_output ic74hc595_toggle_pin(DOUT29);ic74hc595_shift_io_pins()
#define io76_get_output ic74hc595_get_pin(DOUT29)
#define io76_config_input
#define io76_config_pullup
#define io76_get_input 0
#else
#define io76_config_output
#define io76_set_output
#define io76_clear_output
#define io76_toggle_output
#define io76_get_output 0
#define io76_config_input
#define io76_config_pullup
#define io76_get_input 0
#endif</v>
      </c>
      <c r="E78" s="32"/>
      <c r="F78" s="32"/>
      <c r="G78" s="32"/>
    </row>
    <row r="79" spans="1:7" x14ac:dyDescent="0.25">
      <c r="A79" s="4">
        <v>77</v>
      </c>
      <c r="B79" s="4" t="str">
        <f t="shared" si="0"/>
        <v>DIO77</v>
      </c>
      <c r="C79" s="29" t="s">
        <v>205</v>
      </c>
      <c r="D79" s="18" t="str">
        <f t="shared" si="4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#if !defined(DOUT30_PULLUP) &amp;&amp; !defined(FORCE_IO_HAL_DIRECTION_ONREQUEST)
#define io77_config_input mcu_config_input(DOUT30)
#else
#define io77_config_input mcu_config_input(DOUT30);mcu_config_pullup(DOUT30)
#endif
#define io77_config_pullup mcu_config_pullup(DOUT30)
#define io77_get_input mcu_get_input(DOUT30)
#elif ASSERT_PIN_EXTENDED(DOUT30)
#define io77_config_output
#define io77_set_output ic74hc595_set_pin(DOUT30);ic74hc595_shift_io_pins()
#define io77_clear_output ic74hc595_clear_pin(DOUT30);ic74hc595_shift_io_pins()
#define io77_toggle_output ic74hc595_toggle_pin(DOUT30);ic74hc595_shift_io_pins()
#define io77_get_output ic74hc595_get_pin(DOUT30)
#define io77_config_input
#define io77_config_pullup
#define io77_get_input 0
#else
#define io77_config_output
#define io77_set_output
#define io77_clear_output
#define io77_toggle_output
#define io77_get_output 0
#define io77_config_input
#define io77_config_pullup
#define io77_get_input 0
#endif</v>
      </c>
      <c r="E79" s="32"/>
      <c r="F79" s="32"/>
      <c r="G79" s="32"/>
    </row>
    <row r="80" spans="1:7" x14ac:dyDescent="0.25">
      <c r="A80" s="4">
        <v>78</v>
      </c>
      <c r="B80" s="4" t="str">
        <f t="shared" si="0"/>
        <v>DIO78</v>
      </c>
      <c r="C80" s="29" t="s">
        <v>206</v>
      </c>
      <c r="D80" s="18" t="str">
        <f t="shared" si="4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#if !defined(DOUT31_PULLUP) &amp;&amp; !defined(FORCE_IO_HAL_DIRECTION_ONREQUEST)
#define io78_config_input mcu_config_input(DOUT31)
#else
#define io78_config_input mcu_config_input(DOUT31);mcu_config_pullup(DOUT31)
#endif
#define io78_config_pullup mcu_config_pullup(DOUT31)
#define io78_get_input mcu_get_input(DOUT31)
#elif ASSERT_PIN_EXTENDED(DOUT31)
#define io78_config_output
#define io78_set_output ic74hc595_set_pin(DOUT31);ic74hc595_shift_io_pins()
#define io78_clear_output ic74hc595_clear_pin(DOUT31);ic74hc595_shift_io_pins()
#define io78_toggle_output ic74hc595_toggle_pin(DOUT31);ic74hc595_shift_io_pins()
#define io78_get_output ic74hc595_get_pin(DOUT31)
#define io78_config_input
#define io78_config_pullup
#define io78_get_input 0
#else
#define io78_config_output
#define io78_set_output
#define io78_clear_output
#define io78_toggle_output
#define io78_get_output 0
#define io78_config_input
#define io78_config_pullup
#define io78_get_input 0
#endif</v>
      </c>
      <c r="E80" s="32"/>
      <c r="F80" s="32"/>
      <c r="G80" s="32"/>
    </row>
    <row r="81" spans="1:7" x14ac:dyDescent="0.25">
      <c r="A81" s="4">
        <v>79</v>
      </c>
      <c r="B81" s="4" t="str">
        <f t="shared" ref="B81:B94" si="5">"DIO"&amp;A81</f>
        <v>DIO79</v>
      </c>
      <c r="C81" s="29" t="s">
        <v>527</v>
      </c>
      <c r="D81" s="18" t="str">
        <f t="shared" si="4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#if !defined(DOUT32_PULLUP) &amp;&amp; !defined(FORCE_IO_HAL_DIRECTION_ONREQUEST)
#define io79_config_input mcu_config_input(DOUT32)
#else
#define io79_config_input mcu_config_input(DOUT32);mcu_config_pullup(DOUT32)
#endif
#define io79_config_pullup mcu_config_pullup(DOUT32)
#define io79_get_input mcu_get_input(DOUT32)
#elif ASSERT_PIN_EXTENDED(DOUT32)
#define io79_config_output
#define io79_set_output ic74hc595_set_pin(DOUT32);ic74hc595_shift_io_pins()
#define io79_clear_output ic74hc595_clear_pin(DOUT32);ic74hc595_shift_io_pins()
#define io79_toggle_output ic74hc595_toggle_pin(DOUT32);ic74hc595_shift_io_pins()
#define io79_get_output ic74hc595_get_pin(DOUT32)
#define io79_config_input
#define io79_config_pullup
#define io79_get_input 0
#else
#define io79_config_output
#define io79_set_output
#define io79_clear_output
#define io79_toggle_output
#define io79_get_output 0
#define io79_config_input
#define io79_config_pullup
#define io79_get_input 0
#endif</v>
      </c>
      <c r="E81" s="32"/>
      <c r="F81" s="32"/>
      <c r="G81" s="32"/>
    </row>
    <row r="82" spans="1:7" x14ac:dyDescent="0.25">
      <c r="A82" s="4">
        <v>80</v>
      </c>
      <c r="B82" s="4" t="str">
        <f t="shared" si="5"/>
        <v>DIO80</v>
      </c>
      <c r="C82" s="29" t="s">
        <v>528</v>
      </c>
      <c r="D82" s="18" t="str">
        <f t="shared" si="4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#if !defined(DOUT33_PULLUP) &amp;&amp; !defined(FORCE_IO_HAL_DIRECTION_ONREQUEST)
#define io80_config_input mcu_config_input(DOUT33)
#else
#define io80_config_input mcu_config_input(DOUT33);mcu_config_pullup(DOUT33)
#endif
#define io80_config_pullup mcu_config_pullup(DOUT33)
#define io80_get_input mcu_get_input(DOUT33)
#elif ASSERT_PIN_EXTENDED(DOUT33)
#define io80_config_output
#define io80_set_output ic74hc595_set_pin(DOUT33);ic74hc595_shift_io_pins()
#define io80_clear_output ic74hc595_clear_pin(DOUT33);ic74hc595_shift_io_pins()
#define io80_toggle_output ic74hc595_toggle_pin(DOUT33);ic74hc595_shift_io_pins()
#define io80_get_output ic74hc595_get_pin(DOUT33)
#define io80_config_input
#define io80_config_pullup
#define io80_get_input 0
#else
#define io80_config_output
#define io80_set_output
#define io80_clear_output
#define io80_toggle_output
#define io80_get_output 0
#define io80_config_input
#define io80_config_pullup
#define io80_get_input 0
#endif</v>
      </c>
      <c r="E82" s="32"/>
      <c r="F82" s="32"/>
      <c r="G82" s="32"/>
    </row>
    <row r="83" spans="1:7" x14ac:dyDescent="0.25">
      <c r="A83" s="4">
        <v>81</v>
      </c>
      <c r="B83" s="4" t="str">
        <f t="shared" si="5"/>
        <v>DIO81</v>
      </c>
      <c r="C83" s="29" t="s">
        <v>529</v>
      </c>
      <c r="D83" s="18" t="str">
        <f t="shared" si="4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#if !defined(DOUT34_PULLUP) &amp;&amp; !defined(FORCE_IO_HAL_DIRECTION_ONREQUEST)
#define io81_config_input mcu_config_input(DOUT34)
#else
#define io81_config_input mcu_config_input(DOUT34);mcu_config_pullup(DOUT34)
#endif
#define io81_config_pullup mcu_config_pullup(DOUT34)
#define io81_get_input mcu_get_input(DOUT34)
#elif ASSERT_PIN_EXTENDED(DOUT34)
#define io81_config_output
#define io81_set_output ic74hc595_set_pin(DOUT34);ic74hc595_shift_io_pins()
#define io81_clear_output ic74hc595_clear_pin(DOUT34);ic74hc595_shift_io_pins()
#define io81_toggle_output ic74hc595_toggle_pin(DOUT34);ic74hc595_shift_io_pins()
#define io81_get_output ic74hc595_get_pin(DOUT34)
#define io81_config_input
#define io81_config_pullup
#define io81_get_input 0
#else
#define io81_config_output
#define io81_set_output
#define io81_clear_output
#define io81_toggle_output
#define io81_get_output 0
#define io81_config_input
#define io81_config_pullup
#define io81_get_input 0
#endif</v>
      </c>
      <c r="E83" s="32"/>
      <c r="F83" s="32"/>
      <c r="G83" s="32"/>
    </row>
    <row r="84" spans="1:7" x14ac:dyDescent="0.25">
      <c r="A84" s="4">
        <v>82</v>
      </c>
      <c r="B84" s="4" t="str">
        <f t="shared" si="5"/>
        <v>DIO82</v>
      </c>
      <c r="C84" s="29" t="s">
        <v>530</v>
      </c>
      <c r="D84" s="18" t="str">
        <f t="shared" si="4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#if !defined(DOUT35_PULLUP) &amp;&amp; !defined(FORCE_IO_HAL_DIRECTION_ONREQUEST)
#define io82_config_input mcu_config_input(DOUT35)
#else
#define io82_config_input mcu_config_input(DOUT35);mcu_config_pullup(DOUT35)
#endif
#define io82_config_pullup mcu_config_pullup(DOUT35)
#define io82_get_input mcu_get_input(DOUT35)
#elif ASSERT_PIN_EXTENDED(DOUT35)
#define io82_config_output
#define io82_set_output ic74hc595_set_pin(DOUT35);ic74hc595_shift_io_pins()
#define io82_clear_output ic74hc595_clear_pin(DOUT35);ic74hc595_shift_io_pins()
#define io82_toggle_output ic74hc595_toggle_pin(DOUT35);ic74hc595_shift_io_pins()
#define io82_get_output ic74hc595_get_pin(DOUT35)
#define io82_config_input
#define io82_config_pullup
#define io82_get_input 0
#else
#define io82_config_output
#define io82_set_output
#define io82_clear_output
#define io82_toggle_output
#define io82_get_output 0
#define io82_config_input
#define io82_config_pullup
#define io82_get_input 0
#endif</v>
      </c>
      <c r="E84" s="32"/>
      <c r="F84" s="32"/>
      <c r="G84" s="32"/>
    </row>
    <row r="85" spans="1:7" x14ac:dyDescent="0.25">
      <c r="A85" s="4">
        <v>83</v>
      </c>
      <c r="B85" s="4" t="str">
        <f t="shared" si="5"/>
        <v>DIO83</v>
      </c>
      <c r="C85" s="29" t="s">
        <v>531</v>
      </c>
      <c r="D85" s="18" t="str">
        <f t="shared" si="4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#if !defined(DOUT36_PULLUP) &amp;&amp; !defined(FORCE_IO_HAL_DIRECTION_ONREQUEST)
#define io83_config_input mcu_config_input(DOUT36)
#else
#define io83_config_input mcu_config_input(DOUT36);mcu_config_pullup(DOUT36)
#endif
#define io83_config_pullup mcu_config_pullup(DOUT36)
#define io83_get_input mcu_get_input(DOUT36)
#elif ASSERT_PIN_EXTENDED(DOUT36)
#define io83_config_output
#define io83_set_output ic74hc595_set_pin(DOUT36);ic74hc595_shift_io_pins()
#define io83_clear_output ic74hc595_clear_pin(DOUT36);ic74hc595_shift_io_pins()
#define io83_toggle_output ic74hc595_toggle_pin(DOUT36);ic74hc595_shift_io_pins()
#define io83_get_output ic74hc595_get_pin(DOUT36)
#define io83_config_input
#define io83_config_pullup
#define io83_get_input 0
#else
#define io83_config_output
#define io83_set_output
#define io83_clear_output
#define io83_toggle_output
#define io83_get_output 0
#define io83_config_input
#define io83_config_pullup
#define io83_get_input 0
#endif</v>
      </c>
      <c r="E85" s="32"/>
      <c r="F85" s="32"/>
      <c r="G85" s="32"/>
    </row>
    <row r="86" spans="1:7" x14ac:dyDescent="0.25">
      <c r="A86" s="4">
        <v>84</v>
      </c>
      <c r="B86" s="4" t="str">
        <f t="shared" si="5"/>
        <v>DIO84</v>
      </c>
      <c r="C86" s="29" t="s">
        <v>532</v>
      </c>
      <c r="D86" s="18" t="str">
        <f t="shared" si="4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#if !defined(DOUT37_PULLUP) &amp;&amp; !defined(FORCE_IO_HAL_DIRECTION_ONREQUEST)
#define io84_config_input mcu_config_input(DOUT37)
#else
#define io84_config_input mcu_config_input(DOUT37);mcu_config_pullup(DOUT37)
#endif
#define io84_config_pullup mcu_config_pullup(DOUT37)
#define io84_get_input mcu_get_input(DOUT37)
#elif ASSERT_PIN_EXTENDED(DOUT37)
#define io84_config_output
#define io84_set_output ic74hc595_set_pin(DOUT37);ic74hc595_shift_io_pins()
#define io84_clear_output ic74hc595_clear_pin(DOUT37);ic74hc595_shift_io_pins()
#define io84_toggle_output ic74hc595_toggle_pin(DOUT37);ic74hc595_shift_io_pins()
#define io84_get_output ic74hc595_get_pin(DOUT37)
#define io84_config_input
#define io84_config_pullup
#define io84_get_input 0
#else
#define io84_config_output
#define io84_set_output
#define io84_clear_output
#define io84_toggle_output
#define io84_get_output 0
#define io84_config_input
#define io84_config_pullup
#define io84_get_input 0
#endif</v>
      </c>
      <c r="E86" s="32"/>
      <c r="F86" s="32"/>
      <c r="G86" s="32"/>
    </row>
    <row r="87" spans="1:7" x14ac:dyDescent="0.25">
      <c r="A87" s="4">
        <v>85</v>
      </c>
      <c r="B87" s="4" t="str">
        <f t="shared" si="5"/>
        <v>DIO85</v>
      </c>
      <c r="C87" s="29" t="s">
        <v>533</v>
      </c>
      <c r="D87" s="18" t="str">
        <f t="shared" si="4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#if !defined(DOUT38_PULLUP) &amp;&amp; !defined(FORCE_IO_HAL_DIRECTION_ONREQUEST)
#define io85_config_input mcu_config_input(DOUT38)
#else
#define io85_config_input mcu_config_input(DOUT38);mcu_config_pullup(DOUT38)
#endif
#define io85_config_pullup mcu_config_pullup(DOUT38)
#define io85_get_input mcu_get_input(DOUT38)
#elif ASSERT_PIN_EXTENDED(DOUT38)
#define io85_config_output
#define io85_set_output ic74hc595_set_pin(DOUT38);ic74hc595_shift_io_pins()
#define io85_clear_output ic74hc595_clear_pin(DOUT38);ic74hc595_shift_io_pins()
#define io85_toggle_output ic74hc595_toggle_pin(DOUT38);ic74hc595_shift_io_pins()
#define io85_get_output ic74hc595_get_pin(DOUT38)
#define io85_config_input
#define io85_config_pullup
#define io85_get_input 0
#else
#define io85_config_output
#define io85_set_output
#define io85_clear_output
#define io85_toggle_output
#define io85_get_output 0
#define io85_config_input
#define io85_config_pullup
#define io85_get_input 0
#endif</v>
      </c>
      <c r="E87" s="32"/>
      <c r="F87" s="32"/>
      <c r="G87" s="32"/>
    </row>
    <row r="88" spans="1:7" x14ac:dyDescent="0.25">
      <c r="A88" s="4">
        <v>86</v>
      </c>
      <c r="B88" s="4" t="str">
        <f t="shared" si="5"/>
        <v>DIO86</v>
      </c>
      <c r="C88" s="29" t="s">
        <v>534</v>
      </c>
      <c r="D88" s="18" t="str">
        <f t="shared" si="4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#if !defined(DOUT39_PULLUP) &amp;&amp; !defined(FORCE_IO_HAL_DIRECTION_ONREQUEST)
#define io86_config_input mcu_config_input(DOUT39)
#else
#define io86_config_input mcu_config_input(DOUT39);mcu_config_pullup(DOUT39)
#endif
#define io86_config_pullup mcu_config_pullup(DOUT39)
#define io86_get_input mcu_get_input(DOUT39)
#elif ASSERT_PIN_EXTENDED(DOUT39)
#define io86_config_output
#define io86_set_output ic74hc595_set_pin(DOUT39);ic74hc595_shift_io_pins()
#define io86_clear_output ic74hc595_clear_pin(DOUT39);ic74hc595_shift_io_pins()
#define io86_toggle_output ic74hc595_toggle_pin(DOUT39);ic74hc595_shift_io_pins()
#define io86_get_output ic74hc595_get_pin(DOUT39)
#define io86_config_input
#define io86_config_pullup
#define io86_get_input 0
#else
#define io86_config_output
#define io86_set_output
#define io86_clear_output
#define io86_toggle_output
#define io86_get_output 0
#define io86_config_input
#define io86_config_pullup
#define io86_get_input 0
#endif</v>
      </c>
      <c r="E88" s="32"/>
      <c r="F88" s="32"/>
      <c r="G88" s="32"/>
    </row>
    <row r="89" spans="1:7" x14ac:dyDescent="0.25">
      <c r="A89" s="4">
        <v>87</v>
      </c>
      <c r="B89" s="4" t="str">
        <f t="shared" si="5"/>
        <v>DIO87</v>
      </c>
      <c r="C89" s="29" t="s">
        <v>535</v>
      </c>
      <c r="D89" s="18" t="str">
        <f t="shared" si="4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#if !defined(DOUT40_PULLUP) &amp;&amp; !defined(FORCE_IO_HAL_DIRECTION_ONREQUEST)
#define io87_config_input mcu_config_input(DOUT40)
#else
#define io87_config_input mcu_config_input(DOUT40);mcu_config_pullup(DOUT40)
#endif
#define io87_config_pullup mcu_config_pullup(DOUT40)
#define io87_get_input mcu_get_input(DOUT40)
#elif ASSERT_PIN_EXTENDED(DOUT40)
#define io87_config_output
#define io87_set_output ic74hc595_set_pin(DOUT40);ic74hc595_shift_io_pins()
#define io87_clear_output ic74hc595_clear_pin(DOUT40);ic74hc595_shift_io_pins()
#define io87_toggle_output ic74hc595_toggle_pin(DOUT40);ic74hc595_shift_io_pins()
#define io87_get_output ic74hc595_get_pin(DOUT40)
#define io87_config_input
#define io87_config_pullup
#define io87_get_input 0
#else
#define io87_config_output
#define io87_set_output
#define io87_clear_output
#define io87_toggle_output
#define io87_get_output 0
#define io87_config_input
#define io87_config_pullup
#define io87_get_input 0
#endif</v>
      </c>
      <c r="E89" s="32"/>
      <c r="F89" s="32"/>
      <c r="G89" s="32"/>
    </row>
    <row r="90" spans="1:7" x14ac:dyDescent="0.25">
      <c r="A90" s="4">
        <v>88</v>
      </c>
      <c r="B90" s="4" t="str">
        <f t="shared" si="5"/>
        <v>DIO88</v>
      </c>
      <c r="C90" s="29" t="s">
        <v>536</v>
      </c>
      <c r="D90" s="18" t="str">
        <f t="shared" si="4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#if !defined(DOUT41_PULLUP) &amp;&amp; !defined(FORCE_IO_HAL_DIRECTION_ONREQUEST)
#define io88_config_input mcu_config_input(DOUT41)
#else
#define io88_config_input mcu_config_input(DOUT41);mcu_config_pullup(DOUT41)
#endif
#define io88_config_pullup mcu_config_pullup(DOUT41)
#define io88_get_input mcu_get_input(DOUT41)
#elif ASSERT_PIN_EXTENDED(DOUT41)
#define io88_config_output
#define io88_set_output ic74hc595_set_pin(DOUT41);ic74hc595_shift_io_pins()
#define io88_clear_output ic74hc595_clear_pin(DOUT41);ic74hc595_shift_io_pins()
#define io88_toggle_output ic74hc595_toggle_pin(DOUT41);ic74hc595_shift_io_pins()
#define io88_get_output ic74hc595_get_pin(DOUT41)
#define io88_config_input
#define io88_config_pullup
#define io88_get_input 0
#else
#define io88_config_output
#define io88_set_output
#define io88_clear_output
#define io88_toggle_output
#define io88_get_output 0
#define io88_config_input
#define io88_config_pullup
#define io88_get_input 0
#endif</v>
      </c>
      <c r="E90" s="32"/>
      <c r="F90" s="32"/>
      <c r="G90" s="32"/>
    </row>
    <row r="91" spans="1:7" x14ac:dyDescent="0.25">
      <c r="A91" s="4">
        <v>89</v>
      </c>
      <c r="B91" s="4" t="str">
        <f t="shared" si="5"/>
        <v>DIO89</v>
      </c>
      <c r="C91" s="29" t="s">
        <v>537</v>
      </c>
      <c r="D91" s="18" t="str">
        <f t="shared" si="4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#if !defined(DOUT42_PULLUP) &amp;&amp; !defined(FORCE_IO_HAL_DIRECTION_ONREQUEST)
#define io89_config_input mcu_config_input(DOUT42)
#else
#define io89_config_input mcu_config_input(DOUT42);mcu_config_pullup(DOUT42)
#endif
#define io89_config_pullup mcu_config_pullup(DOUT42)
#define io89_get_input mcu_get_input(DOUT42)
#elif ASSERT_PIN_EXTENDED(DOUT42)
#define io89_config_output
#define io89_set_output ic74hc595_set_pin(DOUT42);ic74hc595_shift_io_pins()
#define io89_clear_output ic74hc595_clear_pin(DOUT42);ic74hc595_shift_io_pins()
#define io89_toggle_output ic74hc595_toggle_pin(DOUT42);ic74hc595_shift_io_pins()
#define io89_get_output ic74hc595_get_pin(DOUT42)
#define io89_config_input
#define io89_config_pullup
#define io89_get_input 0
#else
#define io89_config_output
#define io89_set_output
#define io89_clear_output
#define io89_toggle_output
#define io89_get_output 0
#define io89_config_input
#define io89_config_pullup
#define io89_get_input 0
#endif</v>
      </c>
      <c r="E91" s="32"/>
      <c r="F91" s="32"/>
      <c r="G91" s="32"/>
    </row>
    <row r="92" spans="1:7" x14ac:dyDescent="0.25">
      <c r="A92" s="4">
        <v>90</v>
      </c>
      <c r="B92" s="4" t="str">
        <f t="shared" si="5"/>
        <v>DIO90</v>
      </c>
      <c r="C92" s="29" t="s">
        <v>538</v>
      </c>
      <c r="D92" s="18" t="str">
        <f t="shared" si="4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#if !defined(DOUT43_PULLUP) &amp;&amp; !defined(FORCE_IO_HAL_DIRECTION_ONREQUEST)
#define io90_config_input mcu_config_input(DOUT43)
#else
#define io90_config_input mcu_config_input(DOUT43);mcu_config_pullup(DOUT43)
#endif
#define io90_config_pullup mcu_config_pullup(DOUT43)
#define io90_get_input mcu_get_input(DOUT43)
#elif ASSERT_PIN_EXTENDED(DOUT43)
#define io90_config_output
#define io90_set_output ic74hc595_set_pin(DOUT43);ic74hc595_shift_io_pins()
#define io90_clear_output ic74hc595_clear_pin(DOUT43);ic74hc595_shift_io_pins()
#define io90_toggle_output ic74hc595_toggle_pin(DOUT43);ic74hc595_shift_io_pins()
#define io90_get_output ic74hc595_get_pin(DOUT43)
#define io90_config_input
#define io90_config_pullup
#define io90_get_input 0
#else
#define io90_config_output
#define io90_set_output
#define io90_clear_output
#define io90_toggle_output
#define io90_get_output 0
#define io90_config_input
#define io90_config_pullup
#define io90_get_input 0
#endif</v>
      </c>
      <c r="E92" s="32"/>
      <c r="F92" s="32"/>
      <c r="G92" s="32"/>
    </row>
    <row r="93" spans="1:7" x14ac:dyDescent="0.25">
      <c r="A93" s="4">
        <v>91</v>
      </c>
      <c r="B93" s="4" t="str">
        <f t="shared" si="5"/>
        <v>DIO91</v>
      </c>
      <c r="C93" s="29" t="s">
        <v>539</v>
      </c>
      <c r="D93" s="18" t="str">
        <f t="shared" si="4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#if !defined(DOUT44_PULLUP) &amp;&amp; !defined(FORCE_IO_HAL_DIRECTION_ONREQUEST)
#define io91_config_input mcu_config_input(DOUT44)
#else
#define io91_config_input mcu_config_input(DOUT44);mcu_config_pullup(DOUT44)
#endif
#define io91_config_pullup mcu_config_pullup(DOUT44)
#define io91_get_input mcu_get_input(DOUT44)
#elif ASSERT_PIN_EXTENDED(DOUT44)
#define io91_config_output
#define io91_set_output ic74hc595_set_pin(DOUT44);ic74hc595_shift_io_pins()
#define io91_clear_output ic74hc595_clear_pin(DOUT44);ic74hc595_shift_io_pins()
#define io91_toggle_output ic74hc595_toggle_pin(DOUT44);ic74hc595_shift_io_pins()
#define io91_get_output ic74hc595_get_pin(DOUT44)
#define io91_config_input
#define io91_config_pullup
#define io91_get_input 0
#else
#define io91_config_output
#define io91_set_output
#define io91_clear_output
#define io91_toggle_output
#define io91_get_output 0
#define io91_config_input
#define io91_config_pullup
#define io91_get_input 0
#endif</v>
      </c>
      <c r="E93" s="32"/>
      <c r="F93" s="32"/>
      <c r="G93" s="32"/>
    </row>
    <row r="94" spans="1:7" x14ac:dyDescent="0.25">
      <c r="A94" s="4">
        <v>92</v>
      </c>
      <c r="B94" s="4" t="str">
        <f t="shared" si="5"/>
        <v>DIO92</v>
      </c>
      <c r="C94" s="29" t="s">
        <v>540</v>
      </c>
      <c r="D94" s="18" t="str">
        <f t="shared" si="4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#if !defined(DOUT45_PULLUP) &amp;&amp; !defined(FORCE_IO_HAL_DIRECTION_ONREQUEST)
#define io92_config_input mcu_config_input(DOUT45)
#else
#define io92_config_input mcu_config_input(DOUT45);mcu_config_pullup(DOUT45)
#endif
#define io92_config_pullup mcu_config_pullup(DOUT45)
#define io92_get_input mcu_get_input(DOUT45)
#elif ASSERT_PIN_EXTENDED(DOUT45)
#define io92_config_output
#define io92_set_output ic74hc595_set_pin(DOUT45);ic74hc595_shift_io_pins()
#define io92_clear_output ic74hc595_clear_pin(DOUT45);ic74hc595_shift_io_pins()
#define io92_toggle_output ic74hc595_toggle_pin(DOUT45);ic74hc595_shift_io_pins()
#define io92_get_output ic74hc595_get_pin(DOUT45)
#define io92_config_input
#define io92_config_pullup
#define io92_get_input 0
#else
#define io92_config_output
#define io92_set_output
#define io92_clear_output
#define io92_toggle_output
#define io92_get_output 0
#define io92_config_input
#define io92_config_pullup
#define io92_get_input 0
#endif</v>
      </c>
      <c r="E94" s="32"/>
      <c r="F94" s="32"/>
      <c r="G94" s="32"/>
    </row>
    <row r="95" spans="1:7" x14ac:dyDescent="0.25">
      <c r="A95" s="4">
        <v>93</v>
      </c>
      <c r="B95" s="4" t="str">
        <f t="shared" ref="B95:B98" si="6">"DIO"&amp;A95</f>
        <v>DIO93</v>
      </c>
      <c r="C95" s="29" t="s">
        <v>541</v>
      </c>
      <c r="D95" s="18" t="str">
        <f t="shared" si="4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#if !defined(DOUT46_PULLUP) &amp;&amp; !defined(FORCE_IO_HAL_DIRECTION_ONREQUEST)
#define io93_config_input mcu_config_input(DOUT46)
#else
#define io93_config_input mcu_config_input(DOUT46);mcu_config_pullup(DOUT46)
#endif
#define io93_config_pullup mcu_config_pullup(DOUT46)
#define io93_get_input mcu_get_input(DOUT46)
#elif ASSERT_PIN_EXTENDED(DOUT46)
#define io93_config_output
#define io93_set_output ic74hc595_set_pin(DOUT46);ic74hc595_shift_io_pins()
#define io93_clear_output ic74hc595_clear_pin(DOUT46);ic74hc595_shift_io_pins()
#define io93_toggle_output ic74hc595_toggle_pin(DOUT46);ic74hc595_shift_io_pins()
#define io93_get_output ic74hc595_get_pin(DOUT46)
#define io93_config_input
#define io93_config_pullup
#define io93_get_input 0
#else
#define io93_config_output
#define io93_set_output
#define io93_clear_output
#define io93_toggle_output
#define io93_get_output 0
#define io93_config_input
#define io93_config_pullup
#define io93_get_input 0
#endif</v>
      </c>
      <c r="E95" s="32"/>
      <c r="F95" s="32"/>
      <c r="G95" s="32"/>
    </row>
    <row r="96" spans="1:7" x14ac:dyDescent="0.25">
      <c r="A96" s="4">
        <v>94</v>
      </c>
      <c r="B96" s="4" t="str">
        <f t="shared" si="6"/>
        <v>DIO94</v>
      </c>
      <c r="C96" s="29" t="s">
        <v>542</v>
      </c>
      <c r="D96" s="18" t="str">
        <f t="shared" si="4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#if !defined(DOUT47_PULLUP) &amp;&amp; !defined(FORCE_IO_HAL_DIRECTION_ONREQUEST)
#define io94_config_input mcu_config_input(DOUT47)
#else
#define io94_config_input mcu_config_input(DOUT47);mcu_config_pullup(DOUT47)
#endif
#define io94_config_pullup mcu_config_pullup(DOUT47)
#define io94_get_input mcu_get_input(DOUT47)
#elif ASSERT_PIN_EXTENDED(DOUT47)
#define io94_config_output
#define io94_set_output ic74hc595_set_pin(DOUT47);ic74hc595_shift_io_pins()
#define io94_clear_output ic74hc595_clear_pin(DOUT47);ic74hc595_shift_io_pins()
#define io94_toggle_output ic74hc595_toggle_pin(DOUT47);ic74hc595_shift_io_pins()
#define io94_get_output ic74hc595_get_pin(DOUT47)
#define io94_config_input
#define io94_config_pullup
#define io94_get_input 0
#else
#define io94_config_output
#define io94_set_output
#define io94_clear_output
#define io94_toggle_output
#define io94_get_output 0
#define io94_config_input
#define io94_config_pullup
#define io94_get_input 0
#endif</v>
      </c>
      <c r="E96" s="32"/>
      <c r="F96" s="32"/>
      <c r="G96" s="32"/>
    </row>
    <row r="97" spans="1:7" x14ac:dyDescent="0.25">
      <c r="A97" s="4">
        <v>95</v>
      </c>
      <c r="B97" s="4" t="str">
        <f t="shared" si="6"/>
        <v>DIO95</v>
      </c>
      <c r="C97" s="29" t="s">
        <v>543</v>
      </c>
      <c r="D97" s="18" t="str">
        <f t="shared" si="4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#if !defined(DOUT48_PULLUP) &amp;&amp; !defined(FORCE_IO_HAL_DIRECTION_ONREQUEST)
#define io95_config_input mcu_config_input(DOUT48)
#else
#define io95_config_input mcu_config_input(DOUT48);mcu_config_pullup(DOUT48)
#endif
#define io95_config_pullup mcu_config_pullup(DOUT48)
#define io95_get_input mcu_get_input(DOUT48)
#elif ASSERT_PIN_EXTENDED(DOUT48)
#define io95_config_output
#define io95_set_output ic74hc595_set_pin(DOUT48);ic74hc595_shift_io_pins()
#define io95_clear_output ic74hc595_clear_pin(DOUT48);ic74hc595_shift_io_pins()
#define io95_toggle_output ic74hc595_toggle_pin(DOUT48);ic74hc595_shift_io_pins()
#define io95_get_output ic74hc595_get_pin(DOUT48)
#define io95_config_input
#define io95_config_pullup
#define io95_get_input 0
#else
#define io95_config_output
#define io95_set_output
#define io95_clear_output
#define io95_toggle_output
#define io95_get_output 0
#define io95_config_input
#define io95_config_pullup
#define io95_get_input 0
#endif</v>
      </c>
      <c r="E97" s="32"/>
      <c r="F97" s="32"/>
      <c r="G97" s="32"/>
    </row>
    <row r="98" spans="1:7" x14ac:dyDescent="0.25">
      <c r="A98" s="4">
        <v>96</v>
      </c>
      <c r="B98" s="4" t="str">
        <f t="shared" si="6"/>
        <v>DIO96</v>
      </c>
      <c r="C98" s="29" t="s">
        <v>544</v>
      </c>
      <c r="D98" s="18" t="str">
        <f t="shared" si="4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#if !defined(DOUT49_PULLUP) &amp;&amp; !defined(FORCE_IO_HAL_DIRECTION_ONREQUEST)
#define io96_config_input mcu_config_input(DOUT49)
#else
#define io96_config_input mcu_config_input(DOUT49);mcu_config_pullup(DOUT49)
#endif
#define io96_config_pullup mcu_config_pullup(DOUT49)
#define io96_get_input mcu_get_input(DOUT49)
#elif ASSERT_PIN_EXTENDED(DOUT49)
#define io96_config_output
#define io96_set_output ic74hc595_set_pin(DOUT49);ic74hc595_shift_io_pins()
#define io96_clear_output ic74hc595_clear_pin(DOUT49);ic74hc595_shift_io_pins()
#define io96_toggle_output ic74hc595_toggle_pin(DOUT49);ic74hc595_shift_io_pins()
#define io96_get_output ic74hc595_get_pin(DOUT49)
#define io96_config_input
#define io96_config_pullup
#define io96_get_input 0
#else
#define io96_config_output
#define io96_set_output
#define io96_clear_output
#define io96_toggle_output
#define io96_get_output 0
#define io96_config_input
#define io96_config_pullup
#define io96_get_input 0
#endif</v>
      </c>
      <c r="E98" s="32"/>
      <c r="F98" s="32"/>
      <c r="G98" s="32"/>
    </row>
    <row r="99" spans="1:7" x14ac:dyDescent="0.25">
      <c r="A99" s="4">
        <v>100</v>
      </c>
      <c r="B99" s="4" t="str">
        <f t="shared" si="0"/>
        <v>DIO100</v>
      </c>
      <c r="C99" s="29" t="s">
        <v>59</v>
      </c>
      <c r="D99" s="18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!defined(FORCE_IO_HAL_DIRECTION_ONREQUEST)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#ifdef DISABLE_HAL_CONFIG_PROTECTION
#define io"&amp;A99&amp;"_config_output
#define io"&amp;A99&amp;"_set_output ic74hc595_set_pin("&amp;C99&amp;");ic74hc595_shift_io_pins()
#define io"&amp;A99&amp;"_clear_output ic74hc595_clear_pin("&amp;C99&amp;");ic74hc595_shift_io_pins()
#define io"&amp;A99&amp;"_toggle_output ic74hc595_toggle_pin("&amp;C99&amp;");ic74hc595_shift_io_pins()
#define io"&amp;A99&amp;"_get_output ic74hc595_get_pin("&amp;C99&amp;")
#endif
#define io"&amp;A99&amp;"_config_input
#define io"&amp;A99&amp;"_config_pullup
#define io"&amp;A99&amp;"_get_input 0
#else
#define io"&amp;A99&amp;"_config_output
#define io"&amp;A99&amp;"_set_output
#define io"&amp;A99&amp;"_clear_output
#define io"&amp;A99&amp;"_toggle_output
#define io"&amp;A99&amp;"_get_output 0
#define io"&amp;A99&amp;"_config_input
#define io"&amp;A99&amp;"_config_pullup
#define io"&amp;A99&amp;"_get_input 0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!defined(FORCE_IO_HAL_DIRECTION_ONREQUEST)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#ifdef DISABLE_HAL_CONFIG_PROTECTION
#define io100_config_output
#define io100_set_output ic74hc595_set_pin(LIMIT_X);ic74hc595_shift_io_pins()
#define io100_clear_output ic74hc595_clear_pin(LIMIT_X);ic74hc595_shift_io_pins()
#define io100_toggle_output ic74hc595_toggle_pin(LIMIT_X);ic74hc595_shift_io_pins()
#define io100_get_output ic74hc595_get_pin(LIMIT_X)
#endif
#define io100_config_input
#define io100_config_pullup
#define io100_get_input 0
#else
#define io100_config_output
#define io100_set_output
#define io100_clear_output
#define io100_toggle_output
#define io100_get_output 0
#define io100_config_input
#define io100_config_pullup
#define io100_get_input 0
#endif</v>
      </c>
      <c r="E99" s="32"/>
      <c r="F99" s="32"/>
      <c r="G99" s="32"/>
    </row>
    <row r="100" spans="1:7" x14ac:dyDescent="0.25">
      <c r="A100" s="4">
        <v>101</v>
      </c>
      <c r="B100" s="4" t="str">
        <f t="shared" si="0"/>
        <v>DIO101</v>
      </c>
      <c r="C100" s="29" t="s">
        <v>60</v>
      </c>
      <c r="D100" s="18" t="str">
        <f t="shared" ref="D100:D112" si="7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!defined(FORCE_IO_HAL_DIRECTION_ONREQUEST)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#ifdef DISABLE_HAL_CONFIG_PROTECTION
#define io"&amp;A100&amp;"_config_output
#define io"&amp;A100&amp;"_set_output ic74hc595_set_pin("&amp;C100&amp;");ic74hc595_shift_io_pins()
#define io"&amp;A100&amp;"_clear_output ic74hc595_clear_pin("&amp;C100&amp;");ic74hc595_shift_io_pins()
#define io"&amp;A100&amp;"_toggle_output ic74hc595_toggle_pin("&amp;C100&amp;");ic74hc595_shift_io_pins()
#define io"&amp;A100&amp;"_get_output ic74hc595_get_pin("&amp;C100&amp;")
#endif
#define io"&amp;A100&amp;"_config_input
#define io"&amp;A100&amp;"_config_pullup
#define io"&amp;A100&amp;"_get_input 0
#else
#define io"&amp;A100&amp;"_config_output
#define io"&amp;A100&amp;"_set_output
#define io"&amp;A100&amp;"_clear_output
#define io"&amp;A100&amp;"_toggle_output
#define io"&amp;A100&amp;"_get_output 0
#define io"&amp;A100&amp;"_config_input
#define io"&amp;A100&amp;"_config_pullup
#define io"&amp;A100&amp;"_get_input 0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!defined(FORCE_IO_HAL_DIRECTION_ONREQUEST)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#ifdef DISABLE_HAL_CONFIG_PROTECTION
#define io101_config_output
#define io101_set_output ic74hc595_set_pin(LIMIT_Y);ic74hc595_shift_io_pins()
#define io101_clear_output ic74hc595_clear_pin(LIMIT_Y);ic74hc595_shift_io_pins()
#define io101_toggle_output ic74hc595_toggle_pin(LIMIT_Y);ic74hc595_shift_io_pins()
#define io101_get_output ic74hc595_get_pin(LIMIT_Y)
#endif
#define io101_config_input
#define io101_config_pullup
#define io101_get_input 0
#else
#define io101_config_output
#define io101_set_output
#define io101_clear_output
#define io101_toggle_output
#define io101_get_output 0
#define io101_config_input
#define io101_config_pullup
#define io101_get_input 0
#endif</v>
      </c>
      <c r="E100" s="32"/>
      <c r="F100" s="32"/>
      <c r="G100" s="32"/>
    </row>
    <row r="101" spans="1:7" x14ac:dyDescent="0.25">
      <c r="A101" s="4">
        <v>102</v>
      </c>
      <c r="B101" s="4" t="str">
        <f t="shared" si="0"/>
        <v>DIO102</v>
      </c>
      <c r="C101" s="29" t="s">
        <v>61</v>
      </c>
      <c r="D101" s="18" t="str">
        <f t="shared" si="7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!defined(FORCE_IO_HAL_DIRECTION_ONREQUEST)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#ifdef DISABLE_HAL_CONFIG_PROTECTION
#define io102_config_output
#define io102_set_output ic74hc595_set_pin(LIMIT_Z);ic74hc595_shift_io_pins()
#define io102_clear_output ic74hc595_clear_pin(LIMIT_Z);ic74hc595_shift_io_pins()
#define io102_toggle_output ic74hc595_toggle_pin(LIMIT_Z);ic74hc595_shift_io_pins()
#define io102_get_output ic74hc595_get_pin(LIMIT_Z)
#endif
#define io102_config_input
#define io102_config_pullup
#define io102_get_input 0
#else
#define io102_config_output
#define io102_set_output
#define io102_clear_output
#define io102_toggle_output
#define io102_get_output 0
#define io102_config_input
#define io102_config_pullup
#define io102_get_input 0
#endif</v>
      </c>
      <c r="E101" s="32"/>
      <c r="F101" s="32"/>
      <c r="G101" s="32"/>
    </row>
    <row r="102" spans="1:7" x14ac:dyDescent="0.25">
      <c r="A102" s="4">
        <v>103</v>
      </c>
      <c r="B102" s="4" t="str">
        <f t="shared" si="0"/>
        <v>DIO103</v>
      </c>
      <c r="C102" s="29" t="s">
        <v>62</v>
      </c>
      <c r="D102" s="18" t="str">
        <f t="shared" si="7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!defined(FORCE_IO_HAL_DIRECTION_ONREQUEST)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#ifdef DISABLE_HAL_CONFIG_PROTECTION
#define io103_config_output
#define io103_set_output ic74hc595_set_pin(LIMIT_X2);ic74hc595_shift_io_pins()
#define io103_clear_output ic74hc595_clear_pin(LIMIT_X2);ic74hc595_shift_io_pins()
#define io103_toggle_output ic74hc595_toggle_pin(LIMIT_X2);ic74hc595_shift_io_pins()
#define io103_get_output ic74hc595_get_pin(LIMIT_X2)
#endif
#define io103_config_input
#define io103_config_pullup
#define io103_get_input 0
#else
#define io103_config_output
#define io103_set_output
#define io103_clear_output
#define io103_toggle_output
#define io103_get_output 0
#define io103_config_input
#define io103_config_pullup
#define io103_get_input 0
#endif</v>
      </c>
      <c r="E102" s="32"/>
      <c r="F102" s="32"/>
      <c r="G102" s="32"/>
    </row>
    <row r="103" spans="1:7" x14ac:dyDescent="0.25">
      <c r="A103" s="4">
        <v>104</v>
      </c>
      <c r="B103" s="4" t="str">
        <f t="shared" si="0"/>
        <v>DIO104</v>
      </c>
      <c r="C103" s="29" t="s">
        <v>63</v>
      </c>
      <c r="D103" s="18" t="str">
        <f t="shared" si="7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!defined(FORCE_IO_HAL_DIRECTION_ONREQUEST)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#ifdef DISABLE_HAL_CONFIG_PROTECTION
#define io104_config_output
#define io104_set_output ic74hc595_set_pin(LIMIT_Y2);ic74hc595_shift_io_pins()
#define io104_clear_output ic74hc595_clear_pin(LIMIT_Y2);ic74hc595_shift_io_pins()
#define io104_toggle_output ic74hc595_toggle_pin(LIMIT_Y2);ic74hc595_shift_io_pins()
#define io104_get_output ic74hc595_get_pin(LIMIT_Y2)
#endif
#define io104_config_input
#define io104_config_pullup
#define io104_get_input 0
#else
#define io104_config_output
#define io104_set_output
#define io104_clear_output
#define io104_toggle_output
#define io104_get_output 0
#define io104_config_input
#define io104_config_pullup
#define io104_get_input 0
#endif</v>
      </c>
      <c r="E103" s="32"/>
      <c r="F103" s="32"/>
      <c r="G103" s="32"/>
    </row>
    <row r="104" spans="1:7" x14ac:dyDescent="0.25">
      <c r="A104" s="4">
        <v>105</v>
      </c>
      <c r="B104" s="4" t="str">
        <f t="shared" si="0"/>
        <v>DIO105</v>
      </c>
      <c r="C104" s="29" t="s">
        <v>64</v>
      </c>
      <c r="D104" s="18" t="str">
        <f t="shared" si="7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!defined(FORCE_IO_HAL_DIRECTION_ONREQUEST)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#ifdef DISABLE_HAL_CONFIG_PROTECTION
#define io105_config_output
#define io105_set_output ic74hc595_set_pin(LIMIT_Z2);ic74hc595_shift_io_pins()
#define io105_clear_output ic74hc595_clear_pin(LIMIT_Z2);ic74hc595_shift_io_pins()
#define io105_toggle_output ic74hc595_toggle_pin(LIMIT_Z2);ic74hc595_shift_io_pins()
#define io105_get_output ic74hc595_get_pin(LIMIT_Z2)
#endif
#define io105_config_input
#define io105_config_pullup
#define io105_get_input 0
#else
#define io105_config_output
#define io105_set_output
#define io105_clear_output
#define io105_toggle_output
#define io105_get_output 0
#define io105_config_input
#define io105_config_pullup
#define io105_get_input 0
#endif</v>
      </c>
      <c r="E104" s="32"/>
      <c r="F104" s="32"/>
      <c r="G104" s="32"/>
    </row>
    <row r="105" spans="1:7" x14ac:dyDescent="0.25">
      <c r="A105" s="4">
        <v>106</v>
      </c>
      <c r="B105" s="4" t="str">
        <f t="shared" si="0"/>
        <v>DIO106</v>
      </c>
      <c r="C105" s="29" t="s">
        <v>65</v>
      </c>
      <c r="D105" s="18" t="str">
        <f t="shared" si="7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!defined(FORCE_IO_HAL_DIRECTION_ONREQUEST)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#ifdef DISABLE_HAL_CONFIG_PROTECTION
#define io106_config_output
#define io106_set_output ic74hc595_set_pin(LIMIT_A);ic74hc595_shift_io_pins()
#define io106_clear_output ic74hc595_clear_pin(LIMIT_A);ic74hc595_shift_io_pins()
#define io106_toggle_output ic74hc595_toggle_pin(LIMIT_A);ic74hc595_shift_io_pins()
#define io106_get_output ic74hc595_get_pin(LIMIT_A)
#endif
#define io106_config_input
#define io106_config_pullup
#define io106_get_input 0
#else
#define io106_config_output
#define io106_set_output
#define io106_clear_output
#define io106_toggle_output
#define io106_get_output 0
#define io106_config_input
#define io106_config_pullup
#define io106_get_input 0
#endif</v>
      </c>
      <c r="E105" s="32"/>
      <c r="F105" s="32"/>
      <c r="G105" s="32"/>
    </row>
    <row r="106" spans="1:7" x14ac:dyDescent="0.25">
      <c r="A106" s="4">
        <v>107</v>
      </c>
      <c r="B106" s="4" t="str">
        <f t="shared" si="0"/>
        <v>DIO107</v>
      </c>
      <c r="C106" s="29" t="s">
        <v>66</v>
      </c>
      <c r="D106" s="18" t="str">
        <f t="shared" si="7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!defined(FORCE_IO_HAL_DIRECTION_ONREQUEST)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#ifdef DISABLE_HAL_CONFIG_PROTECTION
#define io107_config_output
#define io107_set_output ic74hc595_set_pin(LIMIT_B);ic74hc595_shift_io_pins()
#define io107_clear_output ic74hc595_clear_pin(LIMIT_B);ic74hc595_shift_io_pins()
#define io107_toggle_output ic74hc595_toggle_pin(LIMIT_B);ic74hc595_shift_io_pins()
#define io107_get_output ic74hc595_get_pin(LIMIT_B)
#endif
#define io107_config_input
#define io107_config_pullup
#define io107_get_input 0
#else
#define io107_config_output
#define io107_set_output
#define io107_clear_output
#define io107_toggle_output
#define io107_get_output 0
#define io107_config_input
#define io107_config_pullup
#define io107_get_input 0
#endif</v>
      </c>
      <c r="E106" s="32"/>
      <c r="F106" s="32"/>
      <c r="G106" s="32"/>
    </row>
    <row r="107" spans="1:7" x14ac:dyDescent="0.25">
      <c r="A107" s="4">
        <v>108</v>
      </c>
      <c r="B107" s="4" t="str">
        <f t="shared" si="0"/>
        <v>DIO108</v>
      </c>
      <c r="C107" s="29" t="s">
        <v>67</v>
      </c>
      <c r="D107" s="18" t="str">
        <f t="shared" si="7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!defined(FORCE_IO_HAL_DIRECTION_ONREQUEST)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#ifdef DISABLE_HAL_CONFIG_PROTECTION
#define io108_config_output
#define io108_set_output ic74hc595_set_pin(LIMIT_C);ic74hc595_shift_io_pins()
#define io108_clear_output ic74hc595_clear_pin(LIMIT_C);ic74hc595_shift_io_pins()
#define io108_toggle_output ic74hc595_toggle_pin(LIMIT_C);ic74hc595_shift_io_pins()
#define io108_get_output ic74hc595_get_pin(LIMIT_C)
#endif
#define io108_config_input
#define io108_config_pullup
#define io108_get_input 0
#else
#define io108_config_output
#define io108_set_output
#define io108_clear_output
#define io108_toggle_output
#define io108_get_output 0
#define io108_config_input
#define io108_config_pullup
#define io108_get_input 0
#endif</v>
      </c>
      <c r="E107" s="32"/>
      <c r="F107" s="32"/>
      <c r="G107" s="32"/>
    </row>
    <row r="108" spans="1:7" x14ac:dyDescent="0.25">
      <c r="A108" s="4">
        <v>109</v>
      </c>
      <c r="B108" s="4" t="str">
        <f t="shared" si="0"/>
        <v>DIO109</v>
      </c>
      <c r="C108" s="30" t="s">
        <v>68</v>
      </c>
      <c r="D108" s="18" t="str">
        <f t="shared" si="7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!defined(FORCE_IO_HAL_DIRECTION_ONREQUEST)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#ifdef DISABLE_HAL_CONFIG_PROTECTION
#define io109_config_output
#define io109_set_output ic74hc595_set_pin(PROBE);ic74hc595_shift_io_pins()
#define io109_clear_output ic74hc595_clear_pin(PROBE);ic74hc595_shift_io_pins()
#define io109_toggle_output ic74hc595_toggle_pin(PROBE);ic74hc595_shift_io_pins()
#define io109_get_output ic74hc595_get_pin(PROBE)
#endif
#define io109_config_input
#define io109_config_pullup
#define io109_get_input 0
#else
#define io109_config_output
#define io109_set_output
#define io109_clear_output
#define io109_toggle_output
#define io109_get_output 0
#define io109_config_input
#define io109_config_pullup
#define io109_get_input 0
#endif</v>
      </c>
      <c r="E108" s="32"/>
      <c r="F108" s="32"/>
      <c r="G108" s="32"/>
    </row>
    <row r="109" spans="1:7" x14ac:dyDescent="0.25">
      <c r="A109" s="4">
        <v>110</v>
      </c>
      <c r="B109" s="4" t="str">
        <f t="shared" si="0"/>
        <v>DIO110</v>
      </c>
      <c r="C109" s="29" t="s">
        <v>69</v>
      </c>
      <c r="D109" s="18" t="str">
        <f t="shared" si="7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!defined(FORCE_IO_HAL_DIRECTION_ONREQUEST)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#ifdef DISABLE_HAL_CONFIG_PROTECTION
#define io110_config_output
#define io110_set_output ic74hc595_set_pin(ESTOP);ic74hc595_shift_io_pins()
#define io110_clear_output ic74hc595_clear_pin(ESTOP);ic74hc595_shift_io_pins()
#define io110_toggle_output ic74hc595_toggle_pin(ESTOP);ic74hc595_shift_io_pins()
#define io110_get_output ic74hc595_get_pin(ESTOP)
#endif
#define io110_config_input
#define io110_config_pullup
#define io110_get_input 0
#else
#define io110_config_output
#define io110_set_output
#define io110_clear_output
#define io110_toggle_output
#define io110_get_output 0
#define io110_config_input
#define io110_config_pullup
#define io110_get_input 0
#endif</v>
      </c>
      <c r="E109" s="32"/>
      <c r="F109" s="32"/>
      <c r="G109" s="32"/>
    </row>
    <row r="110" spans="1:7" x14ac:dyDescent="0.25">
      <c r="A110" s="4">
        <v>111</v>
      </c>
      <c r="B110" s="4" t="str">
        <f t="shared" si="0"/>
        <v>DIO111</v>
      </c>
      <c r="C110" s="29" t="s">
        <v>70</v>
      </c>
      <c r="D110" s="18" t="str">
        <f t="shared" si="7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!defined(FORCE_IO_HAL_DIRECTION_ONREQUEST)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#ifdef DISABLE_HAL_CONFIG_PROTECTION
#define io111_config_output
#define io111_set_output ic74hc595_set_pin(SAFETY_DOOR);ic74hc595_shift_io_pins()
#define io111_clear_output ic74hc595_clear_pin(SAFETY_DOOR);ic74hc595_shift_io_pins()
#define io111_toggle_output ic74hc595_toggle_pin(SAFETY_DOOR);ic74hc595_shift_io_pins()
#define io111_get_output ic74hc595_get_pin(SAFETY_DOOR)
#endif
#define io111_config_input
#define io111_config_pullup
#define io111_get_input 0
#else
#define io111_config_output
#define io111_set_output
#define io111_clear_output
#define io111_toggle_output
#define io111_get_output 0
#define io111_config_input
#define io111_config_pullup
#define io111_get_input 0
#endif</v>
      </c>
      <c r="E110" s="32"/>
      <c r="F110" s="32"/>
      <c r="G110" s="32"/>
    </row>
    <row r="111" spans="1:7" x14ac:dyDescent="0.25">
      <c r="A111" s="4">
        <v>112</v>
      </c>
      <c r="B111" s="4" t="str">
        <f t="shared" si="0"/>
        <v>DIO112</v>
      </c>
      <c r="C111" s="29" t="s">
        <v>71</v>
      </c>
      <c r="D111" s="18" t="str">
        <f t="shared" si="7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!defined(FORCE_IO_HAL_DIRECTION_ONREQUEST)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#ifdef DISABLE_HAL_CONFIG_PROTECTION
#define io112_config_output
#define io112_set_output ic74hc595_set_pin(FHOLD);ic74hc595_shift_io_pins()
#define io112_clear_output ic74hc595_clear_pin(FHOLD);ic74hc595_shift_io_pins()
#define io112_toggle_output ic74hc595_toggle_pin(FHOLD);ic74hc595_shift_io_pins()
#define io112_get_output ic74hc595_get_pin(FHOLD)
#endif
#define io112_config_input
#define io112_config_pullup
#define io112_get_input 0
#else
#define io112_config_output
#define io112_set_output
#define io112_clear_output
#define io112_toggle_output
#define io112_get_output 0
#define io112_config_input
#define io112_config_pullup
#define io112_get_input 0
#endif</v>
      </c>
      <c r="E111" s="32"/>
      <c r="F111" s="32"/>
      <c r="G111" s="32"/>
    </row>
    <row r="112" spans="1:7" x14ac:dyDescent="0.25">
      <c r="A112" s="4">
        <v>113</v>
      </c>
      <c r="B112" s="4" t="str">
        <f t="shared" si="0"/>
        <v>DIO113</v>
      </c>
      <c r="C112" s="29" t="s">
        <v>72</v>
      </c>
      <c r="D112" s="18" t="str">
        <f t="shared" si="7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!defined(FORCE_IO_HAL_DIRECTION_ONREQUEST)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#ifdef DISABLE_HAL_CONFIG_PROTECTION
#define io113_config_output
#define io113_set_output ic74hc595_set_pin(CS_RES);ic74hc595_shift_io_pins()
#define io113_clear_output ic74hc595_clear_pin(CS_RES);ic74hc595_shift_io_pins()
#define io113_toggle_output ic74hc595_toggle_pin(CS_RES);ic74hc595_shift_io_pins()
#define io113_get_output ic74hc595_get_pin(CS_RES)
#endif
#define io113_config_input
#define io113_config_pullup
#define io113_get_input 0
#else
#define io113_config_output
#define io113_set_output
#define io113_clear_output
#define io113_toggle_output
#define io113_get_output 0
#define io113_config_input
#define io113_config_pullup
#define io113_get_input 0
#endif</v>
      </c>
      <c r="E112" s="32"/>
      <c r="F112" s="32"/>
      <c r="G112" s="32"/>
    </row>
    <row r="113" spans="1:7" x14ac:dyDescent="0.25">
      <c r="A113" s="4">
        <v>114</v>
      </c>
      <c r="B113" s="4" t="str">
        <f t="shared" si="0"/>
        <v>DIO114</v>
      </c>
      <c r="C113" s="29" t="s">
        <v>73</v>
      </c>
      <c r="D113" s="18"/>
      <c r="E113" s="32"/>
      <c r="F113" s="32"/>
      <c r="G113" s="29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#else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#else
#define io114_config_analog
#define io114_get_analog 0
#endif</v>
      </c>
    </row>
    <row r="114" spans="1:7" x14ac:dyDescent="0.25">
      <c r="A114" s="4">
        <v>115</v>
      </c>
      <c r="B114" s="4" t="str">
        <f t="shared" si="0"/>
        <v>DIO115</v>
      </c>
      <c r="C114" s="29" t="s">
        <v>74</v>
      </c>
      <c r="D114" s="18"/>
      <c r="E114" s="32"/>
      <c r="F114" s="32"/>
      <c r="G114" s="29" t="str">
        <f t="shared" ref="G114:G128" si="8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#else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#else
#define io115_config_analog
#define io115_get_analog 0
#endif</v>
      </c>
    </row>
    <row r="115" spans="1:7" x14ac:dyDescent="0.25">
      <c r="A115" s="4">
        <v>116</v>
      </c>
      <c r="B115" s="4" t="str">
        <f t="shared" si="0"/>
        <v>DIO116</v>
      </c>
      <c r="C115" s="29" t="s">
        <v>75</v>
      </c>
      <c r="D115" s="18"/>
      <c r="E115" s="32"/>
      <c r="F115" s="32"/>
      <c r="G115" s="29" t="str">
        <f t="shared" si="8"/>
        <v>#if ASSERT_PIN_IO(ANALOG2)
#define io116_config_analog mcu_config_analog(ANALOG2)
#define io116_get_analog mcu_get_analog(ANALOG2)
#elif ASSERT_PIN_EXTENDED(ANALOG2)
#define io116_config_analog
#define io116_get_analog 0
#else
#define io116_config_analog
#define io116_get_analog 0
#endif</v>
      </c>
    </row>
    <row r="116" spans="1:7" x14ac:dyDescent="0.25">
      <c r="A116" s="4">
        <v>117</v>
      </c>
      <c r="B116" s="4" t="str">
        <f t="shared" si="0"/>
        <v>DIO117</v>
      </c>
      <c r="C116" s="29" t="s">
        <v>76</v>
      </c>
      <c r="D116" s="18"/>
      <c r="E116" s="32"/>
      <c r="F116" s="32"/>
      <c r="G116" s="29" t="str">
        <f t="shared" si="8"/>
        <v>#if ASSERT_PIN_IO(ANALOG3)
#define io117_config_analog mcu_config_analog(ANALOG3)
#define io117_get_analog mcu_get_analog(ANALOG3)
#elif ASSERT_PIN_EXTENDED(ANALOG3)
#define io117_config_analog
#define io117_get_analog 0
#else
#define io117_config_analog
#define io117_get_analog 0
#endif</v>
      </c>
    </row>
    <row r="117" spans="1:7" x14ac:dyDescent="0.25">
      <c r="A117" s="4">
        <v>118</v>
      </c>
      <c r="B117" s="4" t="str">
        <f t="shared" si="0"/>
        <v>DIO118</v>
      </c>
      <c r="C117" s="29" t="s">
        <v>77</v>
      </c>
      <c r="D117" s="18"/>
      <c r="E117" s="32"/>
      <c r="F117" s="32"/>
      <c r="G117" s="29" t="str">
        <f t="shared" si="8"/>
        <v>#if ASSERT_PIN_IO(ANALOG4)
#define io118_config_analog mcu_config_analog(ANALOG4)
#define io118_get_analog mcu_get_analog(ANALOG4)
#elif ASSERT_PIN_EXTENDED(ANALOG4)
#define io118_config_analog
#define io118_get_analog 0
#else
#define io118_config_analog
#define io118_get_analog 0
#endif</v>
      </c>
    </row>
    <row r="118" spans="1:7" x14ac:dyDescent="0.25">
      <c r="A118" s="4">
        <v>119</v>
      </c>
      <c r="B118" s="4" t="str">
        <f t="shared" si="0"/>
        <v>DIO119</v>
      </c>
      <c r="C118" s="29" t="s">
        <v>78</v>
      </c>
      <c r="D118" s="18"/>
      <c r="E118" s="32"/>
      <c r="F118" s="32"/>
      <c r="G118" s="29" t="str">
        <f t="shared" si="8"/>
        <v>#if ASSERT_PIN_IO(ANALOG5)
#define io119_config_analog mcu_config_analog(ANALOG5)
#define io119_get_analog mcu_get_analog(ANALOG5)
#elif ASSERT_PIN_EXTENDED(ANALOG5)
#define io119_config_analog
#define io119_get_analog 0
#else
#define io119_config_analog
#define io119_get_analog 0
#endif</v>
      </c>
    </row>
    <row r="119" spans="1:7" x14ac:dyDescent="0.25">
      <c r="A119" s="4">
        <v>120</v>
      </c>
      <c r="B119" s="4" t="str">
        <f t="shared" si="0"/>
        <v>DIO120</v>
      </c>
      <c r="C119" s="29" t="s">
        <v>79</v>
      </c>
      <c r="D119" s="18"/>
      <c r="E119" s="32"/>
      <c r="F119" s="32"/>
      <c r="G119" s="29" t="str">
        <f t="shared" si="8"/>
        <v>#if ASSERT_PIN_IO(ANALOG6)
#define io120_config_analog mcu_config_analog(ANALOG6)
#define io120_get_analog mcu_get_analog(ANALOG6)
#elif ASSERT_PIN_EXTENDED(ANALOG6)
#define io120_config_analog
#define io120_get_analog 0
#else
#define io120_config_analog
#define io120_get_analog 0
#endif</v>
      </c>
    </row>
    <row r="120" spans="1:7" x14ac:dyDescent="0.25">
      <c r="A120" s="4">
        <v>121</v>
      </c>
      <c r="B120" s="4" t="str">
        <f t="shared" si="0"/>
        <v>DIO121</v>
      </c>
      <c r="C120" s="29" t="s">
        <v>80</v>
      </c>
      <c r="D120" s="18"/>
      <c r="E120" s="32"/>
      <c r="F120" s="32"/>
      <c r="G120" s="29" t="str">
        <f t="shared" si="8"/>
        <v>#if ASSERT_PIN_IO(ANALOG7)
#define io121_config_analog mcu_config_analog(ANALOG7)
#define io121_get_analog mcu_get_analog(ANALOG7)
#elif ASSERT_PIN_EXTENDED(ANALOG7)
#define io121_config_analog
#define io121_get_analog 0
#else
#define io121_config_analog
#define io121_get_analog 0
#endif</v>
      </c>
    </row>
    <row r="121" spans="1:7" x14ac:dyDescent="0.25">
      <c r="A121" s="4">
        <v>122</v>
      </c>
      <c r="B121" s="4" t="str">
        <f t="shared" si="0"/>
        <v>DIO122</v>
      </c>
      <c r="C121" s="29" t="s">
        <v>81</v>
      </c>
      <c r="D121" s="18"/>
      <c r="E121" s="32"/>
      <c r="F121" s="32"/>
      <c r="G121" s="29" t="str">
        <f t="shared" si="8"/>
        <v>#if ASSERT_PIN_IO(ANALOG8)
#define io122_config_analog mcu_config_analog(ANALOG8)
#define io122_get_analog mcu_get_analog(ANALOG8)
#elif ASSERT_PIN_EXTENDED(ANALOG8)
#define io122_config_analog
#define io122_get_analog 0
#else
#define io122_config_analog
#define io122_get_analog 0
#endif</v>
      </c>
    </row>
    <row r="122" spans="1:7" x14ac:dyDescent="0.25">
      <c r="A122" s="4">
        <v>123</v>
      </c>
      <c r="B122" s="4" t="str">
        <f t="shared" si="0"/>
        <v>DIO123</v>
      </c>
      <c r="C122" s="29" t="s">
        <v>82</v>
      </c>
      <c r="D122" s="18"/>
      <c r="E122" s="32"/>
      <c r="F122" s="32"/>
      <c r="G122" s="29" t="str">
        <f t="shared" si="8"/>
        <v>#if ASSERT_PIN_IO(ANALOG9)
#define io123_config_analog mcu_config_analog(ANALOG9)
#define io123_get_analog mcu_get_analog(ANALOG9)
#elif ASSERT_PIN_EXTENDED(ANALOG9)
#define io123_config_analog
#define io123_get_analog 0
#else
#define io123_config_analog
#define io123_get_analog 0
#endif</v>
      </c>
    </row>
    <row r="123" spans="1:7" x14ac:dyDescent="0.25">
      <c r="A123" s="4">
        <v>124</v>
      </c>
      <c r="B123" s="4" t="str">
        <f t="shared" si="0"/>
        <v>DIO124</v>
      </c>
      <c r="C123" s="29" t="s">
        <v>83</v>
      </c>
      <c r="D123" s="18"/>
      <c r="E123" s="32"/>
      <c r="F123" s="32"/>
      <c r="G123" s="29" t="str">
        <f t="shared" si="8"/>
        <v>#if ASSERT_PIN_IO(ANALOG10)
#define io124_config_analog mcu_config_analog(ANALOG10)
#define io124_get_analog mcu_get_analog(ANALOG10)
#elif ASSERT_PIN_EXTENDED(ANALOG10)
#define io124_config_analog
#define io124_get_analog 0
#else
#define io124_config_analog
#define io124_get_analog 0
#endif</v>
      </c>
    </row>
    <row r="124" spans="1:7" x14ac:dyDescent="0.25">
      <c r="A124" s="4">
        <v>125</v>
      </c>
      <c r="B124" s="4" t="str">
        <f t="shared" si="0"/>
        <v>DIO125</v>
      </c>
      <c r="C124" s="29" t="s">
        <v>84</v>
      </c>
      <c r="D124" s="18"/>
      <c r="E124" s="32"/>
      <c r="F124" s="32"/>
      <c r="G124" s="29" t="str">
        <f t="shared" si="8"/>
        <v>#if ASSERT_PIN_IO(ANALOG11)
#define io125_config_analog mcu_config_analog(ANALOG11)
#define io125_get_analog mcu_get_analog(ANALOG11)
#elif ASSERT_PIN_EXTENDED(ANALOG11)
#define io125_config_analog
#define io125_get_analog 0
#else
#define io125_config_analog
#define io125_get_analog 0
#endif</v>
      </c>
    </row>
    <row r="125" spans="1:7" x14ac:dyDescent="0.25">
      <c r="A125" s="4">
        <v>126</v>
      </c>
      <c r="B125" s="4" t="str">
        <f t="shared" si="0"/>
        <v>DIO126</v>
      </c>
      <c r="C125" s="29" t="s">
        <v>85</v>
      </c>
      <c r="D125" s="18"/>
      <c r="E125" s="32"/>
      <c r="F125" s="32"/>
      <c r="G125" s="29" t="str">
        <f t="shared" si="8"/>
        <v>#if ASSERT_PIN_IO(ANALOG12)
#define io126_config_analog mcu_config_analog(ANALOG12)
#define io126_get_analog mcu_get_analog(ANALOG12)
#elif ASSERT_PIN_EXTENDED(ANALOG12)
#define io126_config_analog
#define io126_get_analog 0
#else
#define io126_config_analog
#define io126_get_analog 0
#endif</v>
      </c>
    </row>
    <row r="126" spans="1:7" x14ac:dyDescent="0.25">
      <c r="A126" s="4">
        <v>127</v>
      </c>
      <c r="B126" s="4" t="str">
        <f t="shared" si="0"/>
        <v>DIO127</v>
      </c>
      <c r="C126" s="29" t="s">
        <v>86</v>
      </c>
      <c r="D126" s="18"/>
      <c r="E126" s="32"/>
      <c r="F126" s="32"/>
      <c r="G126" s="29" t="str">
        <f t="shared" si="8"/>
        <v>#if ASSERT_PIN_IO(ANALOG13)
#define io127_config_analog mcu_config_analog(ANALOG13)
#define io127_get_analog mcu_get_analog(ANALOG13)
#elif ASSERT_PIN_EXTENDED(ANALOG13)
#define io127_config_analog
#define io127_get_analog 0
#else
#define io127_config_analog
#define io127_get_analog 0
#endif</v>
      </c>
    </row>
    <row r="127" spans="1:7" x14ac:dyDescent="0.25">
      <c r="A127" s="4">
        <v>128</v>
      </c>
      <c r="B127" s="4" t="str">
        <f t="shared" si="0"/>
        <v>DIO128</v>
      </c>
      <c r="C127" s="29" t="s">
        <v>87</v>
      </c>
      <c r="D127" s="18"/>
      <c r="E127" s="32"/>
      <c r="F127" s="32"/>
      <c r="G127" s="29" t="str">
        <f t="shared" si="8"/>
        <v>#if ASSERT_PIN_IO(ANALOG14)
#define io128_config_analog mcu_config_analog(ANALOG14)
#define io128_get_analog mcu_get_analog(ANALOG14)
#elif ASSERT_PIN_EXTENDED(ANALOG14)
#define io128_config_analog
#define io128_get_analog 0
#else
#define io128_config_analog
#define io128_get_analog 0
#endif</v>
      </c>
    </row>
    <row r="128" spans="1:7" x14ac:dyDescent="0.25">
      <c r="A128" s="4">
        <v>129</v>
      </c>
      <c r="B128" s="4" t="str">
        <f t="shared" si="0"/>
        <v>DIO129</v>
      </c>
      <c r="C128" s="29" t="s">
        <v>88</v>
      </c>
      <c r="D128" s="18"/>
      <c r="E128" s="32"/>
      <c r="F128" s="32"/>
      <c r="G128" s="29" t="str">
        <f t="shared" si="8"/>
        <v>#if ASSERT_PIN_IO(ANALOG15)
#define io129_config_analog mcu_config_analog(ANALOG15)
#define io129_get_analog mcu_get_analog(ANALOG15)
#elif ASSERT_PIN_EXTENDED(ANALOG15)
#define io129_config_analog
#define io129_get_analog 0
#else
#define io129_config_analog
#define io129_get_analog 0
#endif</v>
      </c>
    </row>
    <row r="129" spans="1:7" x14ac:dyDescent="0.25">
      <c r="A129" s="4">
        <v>130</v>
      </c>
      <c r="B129" s="4" t="str">
        <f t="shared" si="0"/>
        <v>DIO130</v>
      </c>
      <c r="C129" s="30" t="s">
        <v>89</v>
      </c>
      <c r="D129" s="18" t="str">
        <f t="shared" ref="D129:D178" si="9"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!defined(FORCE_IO_HAL_DIRECTION_ONREQUEST)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#ifdef DISABLE_HAL_CONFIG_PROTECTION
#define io"&amp;A129&amp;"_config_output
#define io"&amp;A129&amp;"_set_output ic74hc595_set_pin("&amp;C129&amp;");ic74hc595_shift_io_pins()
#define io"&amp;A129&amp;"_clear_output ic74hc595_clear_pin("&amp;C129&amp;");ic74hc595_shift_io_pins()
#define io"&amp;A129&amp;"_toggle_output ic74hc595_toggle_pin("&amp;C129&amp;");ic74hc595_shift_io_pins()
#define io"&amp;A129&amp;"_get_output ic74hc595_get_pin("&amp;C129&amp;")
#endif
#define io"&amp;A129&amp;"_config_input
#define io"&amp;A129&amp;"_config_pullup
#define io"&amp;A129&amp;"_get_input 0
#else
#define io"&amp;A129&amp;"_config_output
#define io"&amp;A129&amp;"_set_output
#define io"&amp;A129&amp;"_clear_output
#define io"&amp;A129&amp;"_toggle_output
#define io"&amp;A129&amp;"_get_output 0
#define io"&amp;A129&amp;"_config_input
#define io"&amp;A129&amp;"_config_pullup
#define io"&amp;A129&amp;"_get_input 0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!defined(FORCE_IO_HAL_DIRECTION_ONREQUEST)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#ifdef DISABLE_HAL_CONFIG_PROTECTION
#define io130_config_output
#define io130_set_output ic74hc595_set_pin(DIN0);ic74hc595_shift_io_pins()
#define io130_clear_output ic74hc595_clear_pin(DIN0);ic74hc595_shift_io_pins()
#define io130_toggle_output ic74hc595_toggle_pin(DIN0);ic74hc595_shift_io_pins()
#define io130_get_output ic74hc595_get_pin(DIN0)
#endif
#define io130_config_input
#define io130_config_pullup
#define io130_get_input 0
#else
#define io130_config_output
#define io130_set_output
#define io130_clear_output
#define io130_toggle_output
#define io130_get_output 0
#define io130_config_input
#define io130_config_pullup
#define io130_get_input 0
#endif</v>
      </c>
      <c r="E129" s="32"/>
      <c r="F129" s="32"/>
      <c r="G129" s="32"/>
    </row>
    <row r="130" spans="1:7" x14ac:dyDescent="0.25">
      <c r="A130" s="4">
        <v>131</v>
      </c>
      <c r="B130" s="4" t="str">
        <f t="shared" si="0"/>
        <v>DIO131</v>
      </c>
      <c r="C130" s="30" t="s">
        <v>90</v>
      </c>
      <c r="D130" s="18" t="str">
        <f t="shared" si="9"/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!defined(FORCE_IO_HAL_DIRECTION_ONREQUEST)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#ifdef DISABLE_HAL_CONFIG_PROTECTION
#define io131_config_output
#define io131_set_output ic74hc595_set_pin(DIN1);ic74hc595_shift_io_pins()
#define io131_clear_output ic74hc595_clear_pin(DIN1);ic74hc595_shift_io_pins()
#define io131_toggle_output ic74hc595_toggle_pin(DIN1);ic74hc595_shift_io_pins()
#define io131_get_output ic74hc595_get_pin(DIN1)
#endif
#define io131_config_input
#define io131_config_pullup
#define io131_get_input 0
#else
#define io131_config_output
#define io131_set_output
#define io131_clear_output
#define io131_toggle_output
#define io131_get_output 0
#define io131_config_input
#define io131_config_pullup
#define io131_get_input 0
#endif</v>
      </c>
      <c r="E130" s="32"/>
      <c r="F130" s="32"/>
      <c r="G130" s="32"/>
    </row>
    <row r="131" spans="1:7" x14ac:dyDescent="0.25">
      <c r="A131" s="4">
        <v>132</v>
      </c>
      <c r="B131" s="4" t="str">
        <f t="shared" si="0"/>
        <v>DIO132</v>
      </c>
      <c r="C131" s="30" t="s">
        <v>91</v>
      </c>
      <c r="D131" s="18" t="str">
        <f t="shared" si="9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!defined(FORCE_IO_HAL_DIRECTION_ONREQUEST)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#ifdef DISABLE_HAL_CONFIG_PROTECTION
#define io132_config_output
#define io132_set_output ic74hc595_set_pin(DIN2);ic74hc595_shift_io_pins()
#define io132_clear_output ic74hc595_clear_pin(DIN2);ic74hc595_shift_io_pins()
#define io132_toggle_output ic74hc595_toggle_pin(DIN2);ic74hc595_shift_io_pins()
#define io132_get_output ic74hc595_get_pin(DIN2)
#endif
#define io132_config_input
#define io132_config_pullup
#define io132_get_input 0
#else
#define io132_config_output
#define io132_set_output
#define io132_clear_output
#define io132_toggle_output
#define io132_get_output 0
#define io132_config_input
#define io132_config_pullup
#define io132_get_input 0
#endif</v>
      </c>
      <c r="E131" s="32"/>
      <c r="F131" s="32"/>
      <c r="G131" s="32"/>
    </row>
    <row r="132" spans="1:7" x14ac:dyDescent="0.25">
      <c r="A132" s="4">
        <v>133</v>
      </c>
      <c r="B132" s="4" t="str">
        <f t="shared" si="0"/>
        <v>DIO133</v>
      </c>
      <c r="C132" s="30" t="s">
        <v>92</v>
      </c>
      <c r="D132" s="18" t="str">
        <f t="shared" si="9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!defined(FORCE_IO_HAL_DIRECTION_ONREQUEST)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#ifdef DISABLE_HAL_CONFIG_PROTECTION
#define io133_config_output
#define io133_set_output ic74hc595_set_pin(DIN3);ic74hc595_shift_io_pins()
#define io133_clear_output ic74hc595_clear_pin(DIN3);ic74hc595_shift_io_pins()
#define io133_toggle_output ic74hc595_toggle_pin(DIN3);ic74hc595_shift_io_pins()
#define io133_get_output ic74hc595_get_pin(DIN3)
#endif
#define io133_config_input
#define io133_config_pullup
#define io133_get_input 0
#else
#define io133_config_output
#define io133_set_output
#define io133_clear_output
#define io133_toggle_output
#define io133_get_output 0
#define io133_config_input
#define io133_config_pullup
#define io133_get_input 0
#endif</v>
      </c>
      <c r="E132" s="32"/>
      <c r="F132" s="32"/>
      <c r="G132" s="32"/>
    </row>
    <row r="133" spans="1:7" x14ac:dyDescent="0.25">
      <c r="A133" s="4">
        <v>134</v>
      </c>
      <c r="B133" s="4" t="str">
        <f t="shared" si="0"/>
        <v>DIO134</v>
      </c>
      <c r="C133" s="30" t="s">
        <v>93</v>
      </c>
      <c r="D133" s="18" t="str">
        <f t="shared" si="9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!defined(FORCE_IO_HAL_DIRECTION_ONREQUEST)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#ifdef DISABLE_HAL_CONFIG_PROTECTION
#define io134_config_output
#define io134_set_output ic74hc595_set_pin(DIN4);ic74hc595_shift_io_pins()
#define io134_clear_output ic74hc595_clear_pin(DIN4);ic74hc595_shift_io_pins()
#define io134_toggle_output ic74hc595_toggle_pin(DIN4);ic74hc595_shift_io_pins()
#define io134_get_output ic74hc595_get_pin(DIN4)
#endif
#define io134_config_input
#define io134_config_pullup
#define io134_get_input 0
#else
#define io134_config_output
#define io134_set_output
#define io134_clear_output
#define io134_toggle_output
#define io134_get_output 0
#define io134_config_input
#define io134_config_pullup
#define io134_get_input 0
#endif</v>
      </c>
      <c r="E133" s="32"/>
      <c r="F133" s="32"/>
      <c r="G133" s="32"/>
    </row>
    <row r="134" spans="1:7" x14ac:dyDescent="0.25">
      <c r="A134" s="4">
        <v>135</v>
      </c>
      <c r="B134" s="4" t="str">
        <f t="shared" si="0"/>
        <v>DIO135</v>
      </c>
      <c r="C134" s="30" t="s">
        <v>94</v>
      </c>
      <c r="D134" s="18" t="str">
        <f t="shared" si="9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!defined(FORCE_IO_HAL_DIRECTION_ONREQUEST)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#ifdef DISABLE_HAL_CONFIG_PROTECTION
#define io135_config_output
#define io135_set_output ic74hc595_set_pin(DIN5);ic74hc595_shift_io_pins()
#define io135_clear_output ic74hc595_clear_pin(DIN5);ic74hc595_shift_io_pins()
#define io135_toggle_output ic74hc595_toggle_pin(DIN5);ic74hc595_shift_io_pins()
#define io135_get_output ic74hc595_get_pin(DIN5)
#endif
#define io135_config_input
#define io135_config_pullup
#define io135_get_input 0
#else
#define io135_config_output
#define io135_set_output
#define io135_clear_output
#define io135_toggle_output
#define io135_get_output 0
#define io135_config_input
#define io135_config_pullup
#define io135_get_input 0
#endif</v>
      </c>
      <c r="E134" s="32"/>
      <c r="F134" s="32"/>
      <c r="G134" s="32"/>
    </row>
    <row r="135" spans="1:7" x14ac:dyDescent="0.25">
      <c r="A135" s="4">
        <v>136</v>
      </c>
      <c r="B135" s="4" t="str">
        <f t="shared" si="0"/>
        <v>DIO136</v>
      </c>
      <c r="C135" s="30" t="s">
        <v>95</v>
      </c>
      <c r="D135" s="18" t="str">
        <f t="shared" si="9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!defined(FORCE_IO_HAL_DIRECTION_ONREQUEST)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#ifdef DISABLE_HAL_CONFIG_PROTECTION
#define io136_config_output
#define io136_set_output ic74hc595_set_pin(DIN6);ic74hc595_shift_io_pins()
#define io136_clear_output ic74hc595_clear_pin(DIN6);ic74hc595_shift_io_pins()
#define io136_toggle_output ic74hc595_toggle_pin(DIN6);ic74hc595_shift_io_pins()
#define io136_get_output ic74hc595_get_pin(DIN6)
#endif
#define io136_config_input
#define io136_config_pullup
#define io136_get_input 0
#else
#define io136_config_output
#define io136_set_output
#define io136_clear_output
#define io136_toggle_output
#define io136_get_output 0
#define io136_config_input
#define io136_config_pullup
#define io136_get_input 0
#endif</v>
      </c>
      <c r="E135" s="32"/>
      <c r="F135" s="32"/>
      <c r="G135" s="32"/>
    </row>
    <row r="136" spans="1:7" x14ac:dyDescent="0.25">
      <c r="A136" s="4">
        <v>137</v>
      </c>
      <c r="B136" s="4" t="str">
        <f t="shared" si="0"/>
        <v>DIO137</v>
      </c>
      <c r="C136" s="30" t="s">
        <v>96</v>
      </c>
      <c r="D136" s="18" t="str">
        <f t="shared" si="9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!defined(FORCE_IO_HAL_DIRECTION_ONREQUEST)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#ifdef DISABLE_HAL_CONFIG_PROTECTION
#define io137_config_output
#define io137_set_output ic74hc595_set_pin(DIN7);ic74hc595_shift_io_pins()
#define io137_clear_output ic74hc595_clear_pin(DIN7);ic74hc595_shift_io_pins()
#define io137_toggle_output ic74hc595_toggle_pin(DIN7);ic74hc595_shift_io_pins()
#define io137_get_output ic74hc595_get_pin(DIN7)
#endif
#define io137_config_input
#define io137_config_pullup
#define io137_get_input 0
#else
#define io137_config_output
#define io137_set_output
#define io137_clear_output
#define io137_toggle_output
#define io137_get_output 0
#define io137_config_input
#define io137_config_pullup
#define io137_get_input 0
#endif</v>
      </c>
      <c r="E136" s="32"/>
      <c r="F136" s="32"/>
      <c r="G136" s="32"/>
    </row>
    <row r="137" spans="1:7" x14ac:dyDescent="0.25">
      <c r="A137" s="4">
        <v>138</v>
      </c>
      <c r="B137" s="4" t="str">
        <f t="shared" si="0"/>
        <v>DIO138</v>
      </c>
      <c r="C137" s="30" t="s">
        <v>97</v>
      </c>
      <c r="D137" s="18" t="str">
        <f t="shared" si="9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!defined(FORCE_IO_HAL_DIRECTION_ONREQUEST)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#ifdef DISABLE_HAL_CONFIG_PROTECTION
#define io138_config_output
#define io138_set_output ic74hc595_set_pin(DIN8);ic74hc595_shift_io_pins()
#define io138_clear_output ic74hc595_clear_pin(DIN8);ic74hc595_shift_io_pins()
#define io138_toggle_output ic74hc595_toggle_pin(DIN8);ic74hc595_shift_io_pins()
#define io138_get_output ic74hc595_get_pin(DIN8)
#endif
#define io138_config_input
#define io138_config_pullup
#define io138_get_input 0
#else
#define io138_config_output
#define io138_set_output
#define io138_clear_output
#define io138_toggle_output
#define io138_get_output 0
#define io138_config_input
#define io138_config_pullup
#define io138_get_input 0
#endif</v>
      </c>
      <c r="E137" s="32"/>
      <c r="F137" s="32"/>
      <c r="G137" s="32"/>
    </row>
    <row r="138" spans="1:7" x14ac:dyDescent="0.25">
      <c r="A138" s="4">
        <v>139</v>
      </c>
      <c r="B138" s="4" t="str">
        <f t="shared" si="0"/>
        <v>DIO139</v>
      </c>
      <c r="C138" s="30" t="s">
        <v>98</v>
      </c>
      <c r="D138" s="18" t="str">
        <f t="shared" si="9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!defined(FORCE_IO_HAL_DIRECTION_ONREQUEST)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#ifdef DISABLE_HAL_CONFIG_PROTECTION
#define io139_config_output
#define io139_set_output ic74hc595_set_pin(DIN9);ic74hc595_shift_io_pins()
#define io139_clear_output ic74hc595_clear_pin(DIN9);ic74hc595_shift_io_pins()
#define io139_toggle_output ic74hc595_toggle_pin(DIN9);ic74hc595_shift_io_pins()
#define io139_get_output ic74hc595_get_pin(DIN9)
#endif
#define io139_config_input
#define io139_config_pullup
#define io139_get_input 0
#else
#define io139_config_output
#define io139_set_output
#define io139_clear_output
#define io139_toggle_output
#define io139_get_output 0
#define io139_config_input
#define io139_config_pullup
#define io139_get_input 0
#endif</v>
      </c>
      <c r="E138" s="32"/>
      <c r="F138" s="32"/>
      <c r="G138" s="32"/>
    </row>
    <row r="139" spans="1:7" x14ac:dyDescent="0.25">
      <c r="A139" s="4">
        <v>140</v>
      </c>
      <c r="B139" s="4" t="str">
        <f t="shared" si="0"/>
        <v>DIO140</v>
      </c>
      <c r="C139" s="30" t="s">
        <v>99</v>
      </c>
      <c r="D139" s="18" t="str">
        <f t="shared" si="9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!defined(FORCE_IO_HAL_DIRECTION_ONREQUEST)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#ifdef DISABLE_HAL_CONFIG_PROTECTION
#define io140_config_output
#define io140_set_output ic74hc595_set_pin(DIN10);ic74hc595_shift_io_pins()
#define io140_clear_output ic74hc595_clear_pin(DIN10);ic74hc595_shift_io_pins()
#define io140_toggle_output ic74hc595_toggle_pin(DIN10);ic74hc595_shift_io_pins()
#define io140_get_output ic74hc595_get_pin(DIN10)
#endif
#define io140_config_input
#define io140_config_pullup
#define io140_get_input 0
#else
#define io140_config_output
#define io140_set_output
#define io140_clear_output
#define io140_toggle_output
#define io140_get_output 0
#define io140_config_input
#define io140_config_pullup
#define io140_get_input 0
#endif</v>
      </c>
      <c r="E139" s="32"/>
      <c r="F139" s="32"/>
      <c r="G139" s="32"/>
    </row>
    <row r="140" spans="1:7" x14ac:dyDescent="0.25">
      <c r="A140" s="4">
        <v>141</v>
      </c>
      <c r="B140" s="4" t="str">
        <f t="shared" si="0"/>
        <v>DIO141</v>
      </c>
      <c r="C140" s="30" t="s">
        <v>100</v>
      </c>
      <c r="D140" s="18" t="str">
        <f t="shared" si="9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!defined(FORCE_IO_HAL_DIRECTION_ONREQUEST)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#ifdef DISABLE_HAL_CONFIG_PROTECTION
#define io141_config_output
#define io141_set_output ic74hc595_set_pin(DIN11);ic74hc595_shift_io_pins()
#define io141_clear_output ic74hc595_clear_pin(DIN11);ic74hc595_shift_io_pins()
#define io141_toggle_output ic74hc595_toggle_pin(DIN11);ic74hc595_shift_io_pins()
#define io141_get_output ic74hc595_get_pin(DIN11)
#endif
#define io141_config_input
#define io141_config_pullup
#define io141_get_input 0
#else
#define io141_config_output
#define io141_set_output
#define io141_clear_output
#define io141_toggle_output
#define io141_get_output 0
#define io141_config_input
#define io141_config_pullup
#define io141_get_input 0
#endif</v>
      </c>
      <c r="E140" s="32"/>
      <c r="F140" s="32"/>
      <c r="G140" s="32"/>
    </row>
    <row r="141" spans="1:7" x14ac:dyDescent="0.25">
      <c r="A141" s="4">
        <v>142</v>
      </c>
      <c r="B141" s="4" t="str">
        <f t="shared" si="0"/>
        <v>DIO142</v>
      </c>
      <c r="C141" s="30" t="s">
        <v>101</v>
      </c>
      <c r="D141" s="18" t="str">
        <f t="shared" si="9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!defined(FORCE_IO_HAL_DIRECTION_ONREQUEST)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#ifdef DISABLE_HAL_CONFIG_PROTECTION
#define io142_config_output
#define io142_set_output ic74hc595_set_pin(DIN12);ic74hc595_shift_io_pins()
#define io142_clear_output ic74hc595_clear_pin(DIN12);ic74hc595_shift_io_pins()
#define io142_toggle_output ic74hc595_toggle_pin(DIN12);ic74hc595_shift_io_pins()
#define io142_get_output ic74hc595_get_pin(DIN12)
#endif
#define io142_config_input
#define io142_config_pullup
#define io142_get_input 0
#else
#define io142_config_output
#define io142_set_output
#define io142_clear_output
#define io142_toggle_output
#define io142_get_output 0
#define io142_config_input
#define io142_config_pullup
#define io142_get_input 0
#endif</v>
      </c>
      <c r="E141" s="32"/>
      <c r="F141" s="32"/>
      <c r="G141" s="32"/>
    </row>
    <row r="142" spans="1:7" x14ac:dyDescent="0.25">
      <c r="A142" s="4">
        <v>143</v>
      </c>
      <c r="B142" s="4" t="str">
        <f t="shared" si="0"/>
        <v>DIO143</v>
      </c>
      <c r="C142" s="30" t="s">
        <v>102</v>
      </c>
      <c r="D142" s="18" t="str">
        <f t="shared" si="9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!defined(FORCE_IO_HAL_DIRECTION_ONREQUEST)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#ifdef DISABLE_HAL_CONFIG_PROTECTION
#define io143_config_output
#define io143_set_output ic74hc595_set_pin(DIN13);ic74hc595_shift_io_pins()
#define io143_clear_output ic74hc595_clear_pin(DIN13);ic74hc595_shift_io_pins()
#define io143_toggle_output ic74hc595_toggle_pin(DIN13);ic74hc595_shift_io_pins()
#define io143_get_output ic74hc595_get_pin(DIN13)
#endif
#define io143_config_input
#define io143_config_pullup
#define io143_get_input 0
#else
#define io143_config_output
#define io143_set_output
#define io143_clear_output
#define io143_toggle_output
#define io143_get_output 0
#define io143_config_input
#define io143_config_pullup
#define io143_get_input 0
#endif</v>
      </c>
      <c r="E142" s="32"/>
      <c r="F142" s="32"/>
      <c r="G142" s="32"/>
    </row>
    <row r="143" spans="1:7" x14ac:dyDescent="0.25">
      <c r="A143" s="4">
        <v>144</v>
      </c>
      <c r="B143" s="4" t="str">
        <f t="shared" si="0"/>
        <v>DIO144</v>
      </c>
      <c r="C143" s="30" t="s">
        <v>103</v>
      </c>
      <c r="D143" s="18" t="str">
        <f t="shared" si="9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!defined(FORCE_IO_HAL_DIRECTION_ONREQUEST)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#ifdef DISABLE_HAL_CONFIG_PROTECTION
#define io144_config_output
#define io144_set_output ic74hc595_set_pin(DIN14);ic74hc595_shift_io_pins()
#define io144_clear_output ic74hc595_clear_pin(DIN14);ic74hc595_shift_io_pins()
#define io144_toggle_output ic74hc595_toggle_pin(DIN14);ic74hc595_shift_io_pins()
#define io144_get_output ic74hc595_get_pin(DIN14)
#endif
#define io144_config_input
#define io144_config_pullup
#define io144_get_input 0
#else
#define io144_config_output
#define io144_set_output
#define io144_clear_output
#define io144_toggle_output
#define io144_get_output 0
#define io144_config_input
#define io144_config_pullup
#define io144_get_input 0
#endif</v>
      </c>
      <c r="E143" s="32"/>
      <c r="F143" s="32"/>
      <c r="G143" s="32"/>
    </row>
    <row r="144" spans="1:7" x14ac:dyDescent="0.25">
      <c r="A144" s="4">
        <v>145</v>
      </c>
      <c r="B144" s="4" t="str">
        <f t="shared" si="0"/>
        <v>DIO145</v>
      </c>
      <c r="C144" s="30" t="s">
        <v>104</v>
      </c>
      <c r="D144" s="18" t="str">
        <f t="shared" si="9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!defined(FORCE_IO_HAL_DIRECTION_ONREQUEST)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#ifdef DISABLE_HAL_CONFIG_PROTECTION
#define io145_config_output
#define io145_set_output ic74hc595_set_pin(DIN15);ic74hc595_shift_io_pins()
#define io145_clear_output ic74hc595_clear_pin(DIN15);ic74hc595_shift_io_pins()
#define io145_toggle_output ic74hc595_toggle_pin(DIN15);ic74hc595_shift_io_pins()
#define io145_get_output ic74hc595_get_pin(DIN15)
#endif
#define io145_config_input
#define io145_config_pullup
#define io145_get_input 0
#else
#define io145_config_output
#define io145_set_output
#define io145_clear_output
#define io145_toggle_output
#define io145_get_output 0
#define io145_config_input
#define io145_config_pullup
#define io145_get_input 0
#endif</v>
      </c>
      <c r="E144" s="32"/>
      <c r="F144" s="32"/>
      <c r="G144" s="32"/>
    </row>
    <row r="145" spans="1:7" x14ac:dyDescent="0.25">
      <c r="A145" s="4">
        <v>146</v>
      </c>
      <c r="B145" s="4" t="str">
        <f t="shared" si="0"/>
        <v>DIO146</v>
      </c>
      <c r="C145" s="30" t="s">
        <v>207</v>
      </c>
      <c r="D145" s="18" t="str">
        <f t="shared" si="9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!defined(FORCE_IO_HAL_DIRECTION_ONREQUEST)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#ifdef DISABLE_HAL_CONFIG_PROTECTION
#define io146_config_output
#define io146_set_output ic74hc595_set_pin(DIN16);ic74hc595_shift_io_pins()
#define io146_clear_output ic74hc595_clear_pin(DIN16);ic74hc595_shift_io_pins()
#define io146_toggle_output ic74hc595_toggle_pin(DIN16);ic74hc595_shift_io_pins()
#define io146_get_output ic74hc595_get_pin(DIN16)
#endif
#define io146_config_input
#define io146_config_pullup
#define io146_get_input 0
#else
#define io146_config_output
#define io146_set_output
#define io146_clear_output
#define io146_toggle_output
#define io146_get_output 0
#define io146_config_input
#define io146_config_pullup
#define io146_get_input 0
#endif</v>
      </c>
      <c r="E145" s="32"/>
      <c r="F145" s="32"/>
      <c r="G145" s="32"/>
    </row>
    <row r="146" spans="1:7" x14ac:dyDescent="0.25">
      <c r="A146" s="4">
        <v>147</v>
      </c>
      <c r="B146" s="4" t="str">
        <f t="shared" si="0"/>
        <v>DIO147</v>
      </c>
      <c r="C146" s="30" t="s">
        <v>208</v>
      </c>
      <c r="D146" s="18" t="str">
        <f t="shared" si="9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!defined(FORCE_IO_HAL_DIRECTION_ONREQUEST)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#ifdef DISABLE_HAL_CONFIG_PROTECTION
#define io147_config_output
#define io147_set_output ic74hc595_set_pin(DIN17);ic74hc595_shift_io_pins()
#define io147_clear_output ic74hc595_clear_pin(DIN17);ic74hc595_shift_io_pins()
#define io147_toggle_output ic74hc595_toggle_pin(DIN17);ic74hc595_shift_io_pins()
#define io147_get_output ic74hc595_get_pin(DIN17)
#endif
#define io147_config_input
#define io147_config_pullup
#define io147_get_input 0
#else
#define io147_config_output
#define io147_set_output
#define io147_clear_output
#define io147_toggle_output
#define io147_get_output 0
#define io147_config_input
#define io147_config_pullup
#define io147_get_input 0
#endif</v>
      </c>
      <c r="E146" s="32"/>
      <c r="F146" s="32"/>
      <c r="G146" s="32"/>
    </row>
    <row r="147" spans="1:7" x14ac:dyDescent="0.25">
      <c r="A147" s="4">
        <v>148</v>
      </c>
      <c r="B147" s="4" t="str">
        <f t="shared" si="0"/>
        <v>DIO148</v>
      </c>
      <c r="C147" s="30" t="s">
        <v>209</v>
      </c>
      <c r="D147" s="18" t="str">
        <f t="shared" si="9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!defined(FORCE_IO_HAL_DIRECTION_ONREQUEST)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#ifdef DISABLE_HAL_CONFIG_PROTECTION
#define io148_config_output
#define io148_set_output ic74hc595_set_pin(DIN18);ic74hc595_shift_io_pins()
#define io148_clear_output ic74hc595_clear_pin(DIN18);ic74hc595_shift_io_pins()
#define io148_toggle_output ic74hc595_toggle_pin(DIN18);ic74hc595_shift_io_pins()
#define io148_get_output ic74hc595_get_pin(DIN18)
#endif
#define io148_config_input
#define io148_config_pullup
#define io148_get_input 0
#else
#define io148_config_output
#define io148_set_output
#define io148_clear_output
#define io148_toggle_output
#define io148_get_output 0
#define io148_config_input
#define io148_config_pullup
#define io148_get_input 0
#endif</v>
      </c>
      <c r="E147" s="32"/>
      <c r="F147" s="32"/>
      <c r="G147" s="32"/>
    </row>
    <row r="148" spans="1:7" x14ac:dyDescent="0.25">
      <c r="A148" s="4">
        <v>149</v>
      </c>
      <c r="B148" s="4" t="str">
        <f t="shared" si="0"/>
        <v>DIO149</v>
      </c>
      <c r="C148" s="30" t="s">
        <v>210</v>
      </c>
      <c r="D148" s="18" t="str">
        <f t="shared" si="9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!defined(FORCE_IO_HAL_DIRECTION_ONREQUEST)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#ifdef DISABLE_HAL_CONFIG_PROTECTION
#define io149_config_output
#define io149_set_output ic74hc595_set_pin(DIN19);ic74hc595_shift_io_pins()
#define io149_clear_output ic74hc595_clear_pin(DIN19);ic74hc595_shift_io_pins()
#define io149_toggle_output ic74hc595_toggle_pin(DIN19);ic74hc595_shift_io_pins()
#define io149_get_output ic74hc595_get_pin(DIN19)
#endif
#define io149_config_input
#define io149_config_pullup
#define io149_get_input 0
#else
#define io149_config_output
#define io149_set_output
#define io149_clear_output
#define io149_toggle_output
#define io149_get_output 0
#define io149_config_input
#define io149_config_pullup
#define io149_get_input 0
#endif</v>
      </c>
      <c r="E148" s="32"/>
      <c r="F148" s="32"/>
      <c r="G148" s="32"/>
    </row>
    <row r="149" spans="1:7" x14ac:dyDescent="0.25">
      <c r="A149" s="4">
        <v>150</v>
      </c>
      <c r="B149" s="4" t="str">
        <f t="shared" si="0"/>
        <v>DIO150</v>
      </c>
      <c r="C149" s="30" t="s">
        <v>211</v>
      </c>
      <c r="D149" s="18" t="str">
        <f t="shared" si="9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!defined(FORCE_IO_HAL_DIRECTION_ONREQUEST)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#ifdef DISABLE_HAL_CONFIG_PROTECTION
#define io150_config_output
#define io150_set_output ic74hc595_set_pin(DIN20);ic74hc595_shift_io_pins()
#define io150_clear_output ic74hc595_clear_pin(DIN20);ic74hc595_shift_io_pins()
#define io150_toggle_output ic74hc595_toggle_pin(DIN20);ic74hc595_shift_io_pins()
#define io150_get_output ic74hc595_get_pin(DIN20)
#endif
#define io150_config_input
#define io150_config_pullup
#define io150_get_input 0
#else
#define io150_config_output
#define io150_set_output
#define io150_clear_output
#define io150_toggle_output
#define io150_get_output 0
#define io150_config_input
#define io150_config_pullup
#define io150_get_input 0
#endif</v>
      </c>
      <c r="E149" s="32"/>
      <c r="F149" s="32"/>
      <c r="G149" s="32"/>
    </row>
    <row r="150" spans="1:7" x14ac:dyDescent="0.25">
      <c r="A150" s="4">
        <v>151</v>
      </c>
      <c r="B150" s="4" t="str">
        <f t="shared" si="0"/>
        <v>DIO151</v>
      </c>
      <c r="C150" s="30" t="s">
        <v>212</v>
      </c>
      <c r="D150" s="18" t="str">
        <f t="shared" si="9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!defined(FORCE_IO_HAL_DIRECTION_ONREQUEST)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#ifdef DISABLE_HAL_CONFIG_PROTECTION
#define io151_config_output
#define io151_set_output ic74hc595_set_pin(DIN21);ic74hc595_shift_io_pins()
#define io151_clear_output ic74hc595_clear_pin(DIN21);ic74hc595_shift_io_pins()
#define io151_toggle_output ic74hc595_toggle_pin(DIN21);ic74hc595_shift_io_pins()
#define io151_get_output ic74hc595_get_pin(DIN21)
#endif
#define io151_config_input
#define io151_config_pullup
#define io151_get_input 0
#else
#define io151_config_output
#define io151_set_output
#define io151_clear_output
#define io151_toggle_output
#define io151_get_output 0
#define io151_config_input
#define io151_config_pullup
#define io151_get_input 0
#endif</v>
      </c>
      <c r="E150" s="32"/>
      <c r="F150" s="32"/>
      <c r="G150" s="32"/>
    </row>
    <row r="151" spans="1:7" x14ac:dyDescent="0.25">
      <c r="A151" s="4">
        <v>152</v>
      </c>
      <c r="B151" s="4" t="str">
        <f t="shared" si="0"/>
        <v>DIO152</v>
      </c>
      <c r="C151" s="30" t="s">
        <v>213</v>
      </c>
      <c r="D151" s="18" t="str">
        <f t="shared" si="9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!defined(FORCE_IO_HAL_DIRECTION_ONREQUEST)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#ifdef DISABLE_HAL_CONFIG_PROTECTION
#define io152_config_output
#define io152_set_output ic74hc595_set_pin(DIN22);ic74hc595_shift_io_pins()
#define io152_clear_output ic74hc595_clear_pin(DIN22);ic74hc595_shift_io_pins()
#define io152_toggle_output ic74hc595_toggle_pin(DIN22);ic74hc595_shift_io_pins()
#define io152_get_output ic74hc595_get_pin(DIN22)
#endif
#define io152_config_input
#define io152_config_pullup
#define io152_get_input 0
#else
#define io152_config_output
#define io152_set_output
#define io152_clear_output
#define io152_toggle_output
#define io152_get_output 0
#define io152_config_input
#define io152_config_pullup
#define io152_get_input 0
#endif</v>
      </c>
      <c r="E151" s="32"/>
      <c r="F151" s="32"/>
      <c r="G151" s="32"/>
    </row>
    <row r="152" spans="1:7" x14ac:dyDescent="0.25">
      <c r="A152" s="4">
        <v>153</v>
      </c>
      <c r="B152" s="4" t="str">
        <f t="shared" si="0"/>
        <v>DIO153</v>
      </c>
      <c r="C152" s="30" t="s">
        <v>214</v>
      </c>
      <c r="D152" s="18" t="str">
        <f t="shared" si="9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!defined(FORCE_IO_HAL_DIRECTION_ONREQUEST)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#ifdef DISABLE_HAL_CONFIG_PROTECTION
#define io153_config_output
#define io153_set_output ic74hc595_set_pin(DIN23);ic74hc595_shift_io_pins()
#define io153_clear_output ic74hc595_clear_pin(DIN23);ic74hc595_shift_io_pins()
#define io153_toggle_output ic74hc595_toggle_pin(DIN23);ic74hc595_shift_io_pins()
#define io153_get_output ic74hc595_get_pin(DIN23)
#endif
#define io153_config_input
#define io153_config_pullup
#define io153_get_input 0
#else
#define io153_config_output
#define io153_set_output
#define io153_clear_output
#define io153_toggle_output
#define io153_get_output 0
#define io153_config_input
#define io153_config_pullup
#define io153_get_input 0
#endif</v>
      </c>
      <c r="E152" s="32"/>
      <c r="F152" s="32"/>
      <c r="G152" s="32"/>
    </row>
    <row r="153" spans="1:7" x14ac:dyDescent="0.25">
      <c r="A153" s="4">
        <v>154</v>
      </c>
      <c r="B153" s="4" t="str">
        <f t="shared" si="0"/>
        <v>DIO154</v>
      </c>
      <c r="C153" s="30" t="s">
        <v>215</v>
      </c>
      <c r="D153" s="18" t="str">
        <f t="shared" si="9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!defined(FORCE_IO_HAL_DIRECTION_ONREQUEST)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#ifdef DISABLE_HAL_CONFIG_PROTECTION
#define io154_config_output
#define io154_set_output ic74hc595_set_pin(DIN24);ic74hc595_shift_io_pins()
#define io154_clear_output ic74hc595_clear_pin(DIN24);ic74hc595_shift_io_pins()
#define io154_toggle_output ic74hc595_toggle_pin(DIN24);ic74hc595_shift_io_pins()
#define io154_get_output ic74hc595_get_pin(DIN24)
#endif
#define io154_config_input
#define io154_config_pullup
#define io154_get_input 0
#else
#define io154_config_output
#define io154_set_output
#define io154_clear_output
#define io154_toggle_output
#define io154_get_output 0
#define io154_config_input
#define io154_config_pullup
#define io154_get_input 0
#endif</v>
      </c>
      <c r="E153" s="32"/>
      <c r="F153" s="32"/>
      <c r="G153" s="32"/>
    </row>
    <row r="154" spans="1:7" x14ac:dyDescent="0.25">
      <c r="A154" s="4">
        <v>155</v>
      </c>
      <c r="B154" s="4" t="str">
        <f t="shared" si="0"/>
        <v>DIO155</v>
      </c>
      <c r="C154" s="30" t="s">
        <v>216</v>
      </c>
      <c r="D154" s="18" t="str">
        <f t="shared" si="9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!defined(FORCE_IO_HAL_DIRECTION_ONREQUEST)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#ifdef DISABLE_HAL_CONFIG_PROTECTION
#define io155_config_output
#define io155_set_output ic74hc595_set_pin(DIN25);ic74hc595_shift_io_pins()
#define io155_clear_output ic74hc595_clear_pin(DIN25);ic74hc595_shift_io_pins()
#define io155_toggle_output ic74hc595_toggle_pin(DIN25);ic74hc595_shift_io_pins()
#define io155_get_output ic74hc595_get_pin(DIN25)
#endif
#define io155_config_input
#define io155_config_pullup
#define io155_get_input 0
#else
#define io155_config_output
#define io155_set_output
#define io155_clear_output
#define io155_toggle_output
#define io155_get_output 0
#define io155_config_input
#define io155_config_pullup
#define io155_get_input 0
#endif</v>
      </c>
      <c r="E154" s="32"/>
      <c r="F154" s="32"/>
      <c r="G154" s="32"/>
    </row>
    <row r="155" spans="1:7" x14ac:dyDescent="0.25">
      <c r="A155" s="4">
        <v>156</v>
      </c>
      <c r="B155" s="4" t="str">
        <f t="shared" si="0"/>
        <v>DIO156</v>
      </c>
      <c r="C155" s="30" t="s">
        <v>217</v>
      </c>
      <c r="D155" s="18" t="str">
        <f t="shared" si="9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!defined(FORCE_IO_HAL_DIRECTION_ONREQUEST)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#ifdef DISABLE_HAL_CONFIG_PROTECTION
#define io156_config_output
#define io156_set_output ic74hc595_set_pin(DIN26);ic74hc595_shift_io_pins()
#define io156_clear_output ic74hc595_clear_pin(DIN26);ic74hc595_shift_io_pins()
#define io156_toggle_output ic74hc595_toggle_pin(DIN26);ic74hc595_shift_io_pins()
#define io156_get_output ic74hc595_get_pin(DIN26)
#endif
#define io156_config_input
#define io156_config_pullup
#define io156_get_input 0
#else
#define io156_config_output
#define io156_set_output
#define io156_clear_output
#define io156_toggle_output
#define io156_get_output 0
#define io156_config_input
#define io156_config_pullup
#define io156_get_input 0
#endif</v>
      </c>
      <c r="E155" s="32"/>
      <c r="F155" s="32"/>
      <c r="G155" s="32"/>
    </row>
    <row r="156" spans="1:7" x14ac:dyDescent="0.25">
      <c r="A156" s="4">
        <v>157</v>
      </c>
      <c r="B156" s="4" t="str">
        <f t="shared" si="0"/>
        <v>DIO157</v>
      </c>
      <c r="C156" s="30" t="s">
        <v>218</v>
      </c>
      <c r="D156" s="18" t="str">
        <f t="shared" si="9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!defined(FORCE_IO_HAL_DIRECTION_ONREQUEST)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#ifdef DISABLE_HAL_CONFIG_PROTECTION
#define io157_config_output
#define io157_set_output ic74hc595_set_pin(DIN27);ic74hc595_shift_io_pins()
#define io157_clear_output ic74hc595_clear_pin(DIN27);ic74hc595_shift_io_pins()
#define io157_toggle_output ic74hc595_toggle_pin(DIN27);ic74hc595_shift_io_pins()
#define io157_get_output ic74hc595_get_pin(DIN27)
#endif
#define io157_config_input
#define io157_config_pullup
#define io157_get_input 0
#else
#define io157_config_output
#define io157_set_output
#define io157_clear_output
#define io157_toggle_output
#define io157_get_output 0
#define io157_config_input
#define io157_config_pullup
#define io157_get_input 0
#endif</v>
      </c>
      <c r="E156" s="32"/>
      <c r="F156" s="32"/>
      <c r="G156" s="32"/>
    </row>
    <row r="157" spans="1:7" x14ac:dyDescent="0.25">
      <c r="A157" s="4">
        <v>158</v>
      </c>
      <c r="B157" s="4" t="str">
        <f t="shared" si="0"/>
        <v>DIO158</v>
      </c>
      <c r="C157" s="30" t="s">
        <v>219</v>
      </c>
      <c r="D157" s="18" t="str">
        <f t="shared" si="9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!defined(FORCE_IO_HAL_DIRECTION_ONREQUEST)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#ifdef DISABLE_HAL_CONFIG_PROTECTION
#define io158_config_output
#define io158_set_output ic74hc595_set_pin(DIN28);ic74hc595_shift_io_pins()
#define io158_clear_output ic74hc595_clear_pin(DIN28);ic74hc595_shift_io_pins()
#define io158_toggle_output ic74hc595_toggle_pin(DIN28);ic74hc595_shift_io_pins()
#define io158_get_output ic74hc595_get_pin(DIN28)
#endif
#define io158_config_input
#define io158_config_pullup
#define io158_get_input 0
#else
#define io158_config_output
#define io158_set_output
#define io158_clear_output
#define io158_toggle_output
#define io158_get_output 0
#define io158_config_input
#define io158_config_pullup
#define io158_get_input 0
#endif</v>
      </c>
      <c r="E157" s="32"/>
      <c r="F157" s="32"/>
      <c r="G157" s="32"/>
    </row>
    <row r="158" spans="1:7" x14ac:dyDescent="0.25">
      <c r="A158" s="4">
        <v>159</v>
      </c>
      <c r="B158" s="4" t="str">
        <f t="shared" si="0"/>
        <v>DIO159</v>
      </c>
      <c r="C158" s="30" t="s">
        <v>220</v>
      </c>
      <c r="D158" s="18" t="str">
        <f t="shared" si="9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!defined(FORCE_IO_HAL_DIRECTION_ONREQUEST)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#ifdef DISABLE_HAL_CONFIG_PROTECTION
#define io159_config_output
#define io159_set_output ic74hc595_set_pin(DIN29);ic74hc595_shift_io_pins()
#define io159_clear_output ic74hc595_clear_pin(DIN29);ic74hc595_shift_io_pins()
#define io159_toggle_output ic74hc595_toggle_pin(DIN29);ic74hc595_shift_io_pins()
#define io159_get_output ic74hc595_get_pin(DIN29)
#endif
#define io159_config_input
#define io159_config_pullup
#define io159_get_input 0
#else
#define io159_config_output
#define io159_set_output
#define io159_clear_output
#define io159_toggle_output
#define io159_get_output 0
#define io159_config_input
#define io159_config_pullup
#define io159_get_input 0
#endif</v>
      </c>
      <c r="E158" s="32"/>
      <c r="F158" s="32"/>
      <c r="G158" s="32"/>
    </row>
    <row r="159" spans="1:7" x14ac:dyDescent="0.25">
      <c r="A159" s="4">
        <v>160</v>
      </c>
      <c r="B159" s="4" t="str">
        <f t="shared" si="0"/>
        <v>DIO160</v>
      </c>
      <c r="C159" s="30" t="s">
        <v>221</v>
      </c>
      <c r="D159" s="18" t="str">
        <f t="shared" si="9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!defined(FORCE_IO_HAL_DIRECTION_ONREQUEST)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#ifdef DISABLE_HAL_CONFIG_PROTECTION
#define io160_config_output
#define io160_set_output ic74hc595_set_pin(DIN30);ic74hc595_shift_io_pins()
#define io160_clear_output ic74hc595_clear_pin(DIN30);ic74hc595_shift_io_pins()
#define io160_toggle_output ic74hc595_toggle_pin(DIN30);ic74hc595_shift_io_pins()
#define io160_get_output ic74hc595_get_pin(DIN30)
#endif
#define io160_config_input
#define io160_config_pullup
#define io160_get_input 0
#else
#define io160_config_output
#define io160_set_output
#define io160_clear_output
#define io160_toggle_output
#define io160_get_output 0
#define io160_config_input
#define io160_config_pullup
#define io160_get_input 0
#endif</v>
      </c>
      <c r="E159" s="32"/>
      <c r="F159" s="32"/>
      <c r="G159" s="32"/>
    </row>
    <row r="160" spans="1:7" x14ac:dyDescent="0.25">
      <c r="A160" s="4">
        <v>161</v>
      </c>
      <c r="B160" s="4" t="str">
        <f t="shared" si="0"/>
        <v>DIO161</v>
      </c>
      <c r="C160" s="30" t="s">
        <v>222</v>
      </c>
      <c r="D160" s="18" t="str">
        <f t="shared" si="9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!defined(FORCE_IO_HAL_DIRECTION_ONREQUEST)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#ifdef DISABLE_HAL_CONFIG_PROTECTION
#define io161_config_output
#define io161_set_output ic74hc595_set_pin(DIN31);ic74hc595_shift_io_pins()
#define io161_clear_output ic74hc595_clear_pin(DIN31);ic74hc595_shift_io_pins()
#define io161_toggle_output ic74hc595_toggle_pin(DIN31);ic74hc595_shift_io_pins()
#define io161_get_output ic74hc595_get_pin(DIN31)
#endif
#define io161_config_input
#define io161_config_pullup
#define io161_get_input 0
#else
#define io161_config_output
#define io161_set_output
#define io161_clear_output
#define io161_toggle_output
#define io161_get_output 0
#define io161_config_input
#define io161_config_pullup
#define io161_get_input 0
#endif</v>
      </c>
      <c r="E160" s="32"/>
      <c r="F160" s="32"/>
      <c r="G160" s="32"/>
    </row>
    <row r="161" spans="1:7" x14ac:dyDescent="0.25">
      <c r="A161" s="4">
        <v>162</v>
      </c>
      <c r="B161" s="4" t="str">
        <f t="shared" ref="B161:B178" si="10">"DIO"&amp;A161</f>
        <v>DIO162</v>
      </c>
      <c r="C161" s="30" t="s">
        <v>545</v>
      </c>
      <c r="D161" s="18" t="str">
        <f t="shared" si="9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!defined(FORCE_IO_HAL_DIRECTION_ONREQUEST)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#ifdef DISABLE_HAL_CONFIG_PROTECTION
#define io162_config_output
#define io162_set_output ic74hc595_set_pin(DIN32);ic74hc595_shift_io_pins()
#define io162_clear_output ic74hc595_clear_pin(DIN32);ic74hc595_shift_io_pins()
#define io162_toggle_output ic74hc595_toggle_pin(DIN32);ic74hc595_shift_io_pins()
#define io162_get_output ic74hc595_get_pin(DIN32)
#endif
#define io162_config_input
#define io162_config_pullup
#define io162_get_input 0
#else
#define io162_config_output
#define io162_set_output
#define io162_clear_output
#define io162_toggle_output
#define io162_get_output 0
#define io162_config_input
#define io162_config_pullup
#define io162_get_input 0
#endif</v>
      </c>
      <c r="E161" s="32"/>
      <c r="F161" s="32"/>
      <c r="G161" s="32"/>
    </row>
    <row r="162" spans="1:7" x14ac:dyDescent="0.25">
      <c r="A162" s="4">
        <v>163</v>
      </c>
      <c r="B162" s="4" t="str">
        <f t="shared" si="10"/>
        <v>DIO163</v>
      </c>
      <c r="C162" s="30" t="s">
        <v>546</v>
      </c>
      <c r="D162" s="18" t="str">
        <f t="shared" si="9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!defined(FORCE_IO_HAL_DIRECTION_ONREQUEST)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#ifdef DISABLE_HAL_CONFIG_PROTECTION
#define io163_config_output
#define io163_set_output ic74hc595_set_pin(DIN33);ic74hc595_shift_io_pins()
#define io163_clear_output ic74hc595_clear_pin(DIN33);ic74hc595_shift_io_pins()
#define io163_toggle_output ic74hc595_toggle_pin(DIN33);ic74hc595_shift_io_pins()
#define io163_get_output ic74hc595_get_pin(DIN33)
#endif
#define io163_config_input
#define io163_config_pullup
#define io163_get_input 0
#else
#define io163_config_output
#define io163_set_output
#define io163_clear_output
#define io163_toggle_output
#define io163_get_output 0
#define io163_config_input
#define io163_config_pullup
#define io163_get_input 0
#endif</v>
      </c>
      <c r="E162" s="32"/>
      <c r="F162" s="32"/>
      <c r="G162" s="32"/>
    </row>
    <row r="163" spans="1:7" x14ac:dyDescent="0.25">
      <c r="A163" s="4">
        <v>164</v>
      </c>
      <c r="B163" s="4" t="str">
        <f t="shared" si="10"/>
        <v>DIO164</v>
      </c>
      <c r="C163" s="30" t="s">
        <v>547</v>
      </c>
      <c r="D163" s="18" t="str">
        <f t="shared" si="9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!defined(FORCE_IO_HAL_DIRECTION_ONREQUEST)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#ifdef DISABLE_HAL_CONFIG_PROTECTION
#define io164_config_output
#define io164_set_output ic74hc595_set_pin(DIN34);ic74hc595_shift_io_pins()
#define io164_clear_output ic74hc595_clear_pin(DIN34);ic74hc595_shift_io_pins()
#define io164_toggle_output ic74hc595_toggle_pin(DIN34);ic74hc595_shift_io_pins()
#define io164_get_output ic74hc595_get_pin(DIN34)
#endif
#define io164_config_input
#define io164_config_pullup
#define io164_get_input 0
#else
#define io164_config_output
#define io164_set_output
#define io164_clear_output
#define io164_toggle_output
#define io164_get_output 0
#define io164_config_input
#define io164_config_pullup
#define io164_get_input 0
#endif</v>
      </c>
      <c r="E163" s="32"/>
      <c r="F163" s="32"/>
      <c r="G163" s="32"/>
    </row>
    <row r="164" spans="1:7" x14ac:dyDescent="0.25">
      <c r="A164" s="4">
        <v>165</v>
      </c>
      <c r="B164" s="4" t="str">
        <f t="shared" si="10"/>
        <v>DIO165</v>
      </c>
      <c r="C164" s="30" t="s">
        <v>548</v>
      </c>
      <c r="D164" s="18" t="str">
        <f t="shared" si="9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!defined(FORCE_IO_HAL_DIRECTION_ONREQUEST)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#ifdef DISABLE_HAL_CONFIG_PROTECTION
#define io165_config_output
#define io165_set_output ic74hc595_set_pin(DIN35);ic74hc595_shift_io_pins()
#define io165_clear_output ic74hc595_clear_pin(DIN35);ic74hc595_shift_io_pins()
#define io165_toggle_output ic74hc595_toggle_pin(DIN35);ic74hc595_shift_io_pins()
#define io165_get_output ic74hc595_get_pin(DIN35)
#endif
#define io165_config_input
#define io165_config_pullup
#define io165_get_input 0
#else
#define io165_config_output
#define io165_set_output
#define io165_clear_output
#define io165_toggle_output
#define io165_get_output 0
#define io165_config_input
#define io165_config_pullup
#define io165_get_input 0
#endif</v>
      </c>
      <c r="E164" s="32"/>
      <c r="F164" s="32"/>
      <c r="G164" s="32"/>
    </row>
    <row r="165" spans="1:7" x14ac:dyDescent="0.25">
      <c r="A165" s="4">
        <v>166</v>
      </c>
      <c r="B165" s="4" t="str">
        <f t="shared" si="10"/>
        <v>DIO166</v>
      </c>
      <c r="C165" s="30" t="s">
        <v>549</v>
      </c>
      <c r="D165" s="18" t="str">
        <f t="shared" si="9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!defined(FORCE_IO_HAL_DIRECTION_ONREQUEST)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#ifdef DISABLE_HAL_CONFIG_PROTECTION
#define io166_config_output
#define io166_set_output ic74hc595_set_pin(DIN36);ic74hc595_shift_io_pins()
#define io166_clear_output ic74hc595_clear_pin(DIN36);ic74hc595_shift_io_pins()
#define io166_toggle_output ic74hc595_toggle_pin(DIN36);ic74hc595_shift_io_pins()
#define io166_get_output ic74hc595_get_pin(DIN36)
#endif
#define io166_config_input
#define io166_config_pullup
#define io166_get_input 0
#else
#define io166_config_output
#define io166_set_output
#define io166_clear_output
#define io166_toggle_output
#define io166_get_output 0
#define io166_config_input
#define io166_config_pullup
#define io166_get_input 0
#endif</v>
      </c>
      <c r="E165" s="32"/>
      <c r="F165" s="32"/>
      <c r="G165" s="32"/>
    </row>
    <row r="166" spans="1:7" x14ac:dyDescent="0.25">
      <c r="A166" s="4">
        <v>167</v>
      </c>
      <c r="B166" s="4" t="str">
        <f t="shared" si="10"/>
        <v>DIO167</v>
      </c>
      <c r="C166" s="30" t="s">
        <v>550</v>
      </c>
      <c r="D166" s="18" t="str">
        <f t="shared" si="9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!defined(FORCE_IO_HAL_DIRECTION_ONREQUEST)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#ifdef DISABLE_HAL_CONFIG_PROTECTION
#define io167_config_output
#define io167_set_output ic74hc595_set_pin(DIN37);ic74hc595_shift_io_pins()
#define io167_clear_output ic74hc595_clear_pin(DIN37);ic74hc595_shift_io_pins()
#define io167_toggle_output ic74hc595_toggle_pin(DIN37);ic74hc595_shift_io_pins()
#define io167_get_output ic74hc595_get_pin(DIN37)
#endif
#define io167_config_input
#define io167_config_pullup
#define io167_get_input 0
#else
#define io167_config_output
#define io167_set_output
#define io167_clear_output
#define io167_toggle_output
#define io167_get_output 0
#define io167_config_input
#define io167_config_pullup
#define io167_get_input 0
#endif</v>
      </c>
      <c r="E166" s="32"/>
      <c r="F166" s="32"/>
      <c r="G166" s="32"/>
    </row>
    <row r="167" spans="1:7" x14ac:dyDescent="0.25">
      <c r="A167" s="4">
        <v>168</v>
      </c>
      <c r="B167" s="4" t="str">
        <f t="shared" si="10"/>
        <v>DIO168</v>
      </c>
      <c r="C167" s="30" t="s">
        <v>551</v>
      </c>
      <c r="D167" s="18" t="str">
        <f t="shared" si="9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!defined(FORCE_IO_HAL_DIRECTION_ONREQUEST)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#ifdef DISABLE_HAL_CONFIG_PROTECTION
#define io168_config_output
#define io168_set_output ic74hc595_set_pin(DIN38);ic74hc595_shift_io_pins()
#define io168_clear_output ic74hc595_clear_pin(DIN38);ic74hc595_shift_io_pins()
#define io168_toggle_output ic74hc595_toggle_pin(DIN38);ic74hc595_shift_io_pins()
#define io168_get_output ic74hc595_get_pin(DIN38)
#endif
#define io168_config_input
#define io168_config_pullup
#define io168_get_input 0
#else
#define io168_config_output
#define io168_set_output
#define io168_clear_output
#define io168_toggle_output
#define io168_get_output 0
#define io168_config_input
#define io168_config_pullup
#define io168_get_input 0
#endif</v>
      </c>
      <c r="E167" s="32"/>
      <c r="F167" s="32"/>
      <c r="G167" s="32"/>
    </row>
    <row r="168" spans="1:7" x14ac:dyDescent="0.25">
      <c r="A168" s="4">
        <v>169</v>
      </c>
      <c r="B168" s="4" t="str">
        <f t="shared" si="10"/>
        <v>DIO169</v>
      </c>
      <c r="C168" s="30" t="s">
        <v>552</v>
      </c>
      <c r="D168" s="18" t="str">
        <f t="shared" si="9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!defined(FORCE_IO_HAL_DIRECTION_ONREQUEST)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#ifdef DISABLE_HAL_CONFIG_PROTECTION
#define io169_config_output
#define io169_set_output ic74hc595_set_pin(DIN39);ic74hc595_shift_io_pins()
#define io169_clear_output ic74hc595_clear_pin(DIN39);ic74hc595_shift_io_pins()
#define io169_toggle_output ic74hc595_toggle_pin(DIN39);ic74hc595_shift_io_pins()
#define io169_get_output ic74hc595_get_pin(DIN39)
#endif
#define io169_config_input
#define io169_config_pullup
#define io169_get_input 0
#else
#define io169_config_output
#define io169_set_output
#define io169_clear_output
#define io169_toggle_output
#define io169_get_output 0
#define io169_config_input
#define io169_config_pullup
#define io169_get_input 0
#endif</v>
      </c>
      <c r="E168" s="32"/>
      <c r="F168" s="32"/>
      <c r="G168" s="32"/>
    </row>
    <row r="169" spans="1:7" x14ac:dyDescent="0.25">
      <c r="A169" s="4">
        <v>170</v>
      </c>
      <c r="B169" s="4" t="str">
        <f t="shared" si="10"/>
        <v>DIO170</v>
      </c>
      <c r="C169" s="30" t="s">
        <v>553</v>
      </c>
      <c r="D169" s="18" t="str">
        <f t="shared" si="9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!defined(FORCE_IO_HAL_DIRECTION_ONREQUEST)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#ifdef DISABLE_HAL_CONFIG_PROTECTION
#define io170_config_output
#define io170_set_output ic74hc595_set_pin(DIN40);ic74hc595_shift_io_pins()
#define io170_clear_output ic74hc595_clear_pin(DIN40);ic74hc595_shift_io_pins()
#define io170_toggle_output ic74hc595_toggle_pin(DIN40);ic74hc595_shift_io_pins()
#define io170_get_output ic74hc595_get_pin(DIN40)
#endif
#define io170_config_input
#define io170_config_pullup
#define io170_get_input 0
#else
#define io170_config_output
#define io170_set_output
#define io170_clear_output
#define io170_toggle_output
#define io170_get_output 0
#define io170_config_input
#define io170_config_pullup
#define io170_get_input 0
#endif</v>
      </c>
      <c r="E169" s="32"/>
      <c r="F169" s="32"/>
      <c r="G169" s="32"/>
    </row>
    <row r="170" spans="1:7" x14ac:dyDescent="0.25">
      <c r="A170" s="4">
        <v>171</v>
      </c>
      <c r="B170" s="4" t="str">
        <f t="shared" si="10"/>
        <v>DIO171</v>
      </c>
      <c r="C170" s="30" t="s">
        <v>554</v>
      </c>
      <c r="D170" s="18" t="str">
        <f t="shared" si="9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!defined(FORCE_IO_HAL_DIRECTION_ONREQUEST)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#ifdef DISABLE_HAL_CONFIG_PROTECTION
#define io171_config_output
#define io171_set_output ic74hc595_set_pin(DIN41);ic74hc595_shift_io_pins()
#define io171_clear_output ic74hc595_clear_pin(DIN41);ic74hc595_shift_io_pins()
#define io171_toggle_output ic74hc595_toggle_pin(DIN41);ic74hc595_shift_io_pins()
#define io171_get_output ic74hc595_get_pin(DIN41)
#endif
#define io171_config_input
#define io171_config_pullup
#define io171_get_input 0
#else
#define io171_config_output
#define io171_set_output
#define io171_clear_output
#define io171_toggle_output
#define io171_get_output 0
#define io171_config_input
#define io171_config_pullup
#define io171_get_input 0
#endif</v>
      </c>
      <c r="E170" s="32"/>
      <c r="F170" s="32"/>
      <c r="G170" s="32"/>
    </row>
    <row r="171" spans="1:7" x14ac:dyDescent="0.25">
      <c r="A171" s="4">
        <v>172</v>
      </c>
      <c r="B171" s="4" t="str">
        <f t="shared" si="10"/>
        <v>DIO172</v>
      </c>
      <c r="C171" s="30" t="s">
        <v>555</v>
      </c>
      <c r="D171" s="18" t="str">
        <f t="shared" si="9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!defined(FORCE_IO_HAL_DIRECTION_ONREQUEST)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#ifdef DISABLE_HAL_CONFIG_PROTECTION
#define io172_config_output
#define io172_set_output ic74hc595_set_pin(DIN42);ic74hc595_shift_io_pins()
#define io172_clear_output ic74hc595_clear_pin(DIN42);ic74hc595_shift_io_pins()
#define io172_toggle_output ic74hc595_toggle_pin(DIN42);ic74hc595_shift_io_pins()
#define io172_get_output ic74hc595_get_pin(DIN42)
#endif
#define io172_config_input
#define io172_config_pullup
#define io172_get_input 0
#else
#define io172_config_output
#define io172_set_output
#define io172_clear_output
#define io172_toggle_output
#define io172_get_output 0
#define io172_config_input
#define io172_config_pullup
#define io172_get_input 0
#endif</v>
      </c>
      <c r="E171" s="32"/>
      <c r="F171" s="32"/>
      <c r="G171" s="32"/>
    </row>
    <row r="172" spans="1:7" x14ac:dyDescent="0.25">
      <c r="A172" s="4">
        <v>173</v>
      </c>
      <c r="B172" s="4" t="str">
        <f t="shared" si="10"/>
        <v>DIO173</v>
      </c>
      <c r="C172" s="30" t="s">
        <v>556</v>
      </c>
      <c r="D172" s="18" t="str">
        <f t="shared" si="9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!defined(FORCE_IO_HAL_DIRECTION_ONREQUEST)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#ifdef DISABLE_HAL_CONFIG_PROTECTION
#define io173_config_output
#define io173_set_output ic74hc595_set_pin(DIN43);ic74hc595_shift_io_pins()
#define io173_clear_output ic74hc595_clear_pin(DIN43);ic74hc595_shift_io_pins()
#define io173_toggle_output ic74hc595_toggle_pin(DIN43);ic74hc595_shift_io_pins()
#define io173_get_output ic74hc595_get_pin(DIN43)
#endif
#define io173_config_input
#define io173_config_pullup
#define io173_get_input 0
#else
#define io173_config_output
#define io173_set_output
#define io173_clear_output
#define io173_toggle_output
#define io173_get_output 0
#define io173_config_input
#define io173_config_pullup
#define io173_get_input 0
#endif</v>
      </c>
      <c r="E172" s="32"/>
      <c r="F172" s="32"/>
      <c r="G172" s="32"/>
    </row>
    <row r="173" spans="1:7" x14ac:dyDescent="0.25">
      <c r="A173" s="4">
        <v>174</v>
      </c>
      <c r="B173" s="4" t="str">
        <f t="shared" si="10"/>
        <v>DIO174</v>
      </c>
      <c r="C173" s="30" t="s">
        <v>557</v>
      </c>
      <c r="D173" s="18" t="str">
        <f t="shared" si="9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!defined(FORCE_IO_HAL_DIRECTION_ONREQUEST)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#ifdef DISABLE_HAL_CONFIG_PROTECTION
#define io174_config_output
#define io174_set_output ic74hc595_set_pin(DIN44);ic74hc595_shift_io_pins()
#define io174_clear_output ic74hc595_clear_pin(DIN44);ic74hc595_shift_io_pins()
#define io174_toggle_output ic74hc595_toggle_pin(DIN44);ic74hc595_shift_io_pins()
#define io174_get_output ic74hc595_get_pin(DIN44)
#endif
#define io174_config_input
#define io174_config_pullup
#define io174_get_input 0
#else
#define io174_config_output
#define io174_set_output
#define io174_clear_output
#define io174_toggle_output
#define io174_get_output 0
#define io174_config_input
#define io174_config_pullup
#define io174_get_input 0
#endif</v>
      </c>
      <c r="E173" s="32"/>
      <c r="F173" s="32"/>
      <c r="G173" s="32"/>
    </row>
    <row r="174" spans="1:7" x14ac:dyDescent="0.25">
      <c r="A174" s="4">
        <v>175</v>
      </c>
      <c r="B174" s="4" t="str">
        <f t="shared" si="10"/>
        <v>DIO175</v>
      </c>
      <c r="C174" s="30" t="s">
        <v>558</v>
      </c>
      <c r="D174" s="18" t="str">
        <f t="shared" si="9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!defined(FORCE_IO_HAL_DIRECTION_ONREQUEST)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#ifdef DISABLE_HAL_CONFIG_PROTECTION
#define io175_config_output
#define io175_set_output ic74hc595_set_pin(DIN45);ic74hc595_shift_io_pins()
#define io175_clear_output ic74hc595_clear_pin(DIN45);ic74hc595_shift_io_pins()
#define io175_toggle_output ic74hc595_toggle_pin(DIN45);ic74hc595_shift_io_pins()
#define io175_get_output ic74hc595_get_pin(DIN45)
#endif
#define io175_config_input
#define io175_config_pullup
#define io175_get_input 0
#else
#define io175_config_output
#define io175_set_output
#define io175_clear_output
#define io175_toggle_output
#define io175_get_output 0
#define io175_config_input
#define io175_config_pullup
#define io175_get_input 0
#endif</v>
      </c>
      <c r="E174" s="32"/>
      <c r="F174" s="32"/>
      <c r="G174" s="32"/>
    </row>
    <row r="175" spans="1:7" x14ac:dyDescent="0.25">
      <c r="A175" s="4">
        <v>176</v>
      </c>
      <c r="B175" s="4" t="str">
        <f t="shared" si="10"/>
        <v>DIO176</v>
      </c>
      <c r="C175" s="30" t="s">
        <v>559</v>
      </c>
      <c r="D175" s="18" t="str">
        <f t="shared" si="9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!defined(FORCE_IO_HAL_DIRECTION_ONREQUEST)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#ifdef DISABLE_HAL_CONFIG_PROTECTION
#define io176_config_output
#define io176_set_output ic74hc595_set_pin(DIN46);ic74hc595_shift_io_pins()
#define io176_clear_output ic74hc595_clear_pin(DIN46);ic74hc595_shift_io_pins()
#define io176_toggle_output ic74hc595_toggle_pin(DIN46);ic74hc595_shift_io_pins()
#define io176_get_output ic74hc595_get_pin(DIN46)
#endif
#define io176_config_input
#define io176_config_pullup
#define io176_get_input 0
#else
#define io176_config_output
#define io176_set_output
#define io176_clear_output
#define io176_toggle_output
#define io176_get_output 0
#define io176_config_input
#define io176_config_pullup
#define io176_get_input 0
#endif</v>
      </c>
      <c r="E175" s="32"/>
      <c r="F175" s="32"/>
      <c r="G175" s="32"/>
    </row>
    <row r="176" spans="1:7" x14ac:dyDescent="0.25">
      <c r="A176" s="4">
        <v>177</v>
      </c>
      <c r="B176" s="4" t="str">
        <f t="shared" si="10"/>
        <v>DIO177</v>
      </c>
      <c r="C176" s="30" t="s">
        <v>560</v>
      </c>
      <c r="D176" s="18" t="str">
        <f t="shared" si="9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!defined(FORCE_IO_HAL_DIRECTION_ONREQUEST)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#ifdef DISABLE_HAL_CONFIG_PROTECTION
#define io177_config_output
#define io177_set_output ic74hc595_set_pin(DIN47);ic74hc595_shift_io_pins()
#define io177_clear_output ic74hc595_clear_pin(DIN47);ic74hc595_shift_io_pins()
#define io177_toggle_output ic74hc595_toggle_pin(DIN47);ic74hc595_shift_io_pins()
#define io177_get_output ic74hc595_get_pin(DIN47)
#endif
#define io177_config_input
#define io177_config_pullup
#define io177_get_input 0
#else
#define io177_config_output
#define io177_set_output
#define io177_clear_output
#define io177_toggle_output
#define io177_get_output 0
#define io177_config_input
#define io177_config_pullup
#define io177_get_input 0
#endif</v>
      </c>
      <c r="E176" s="32"/>
      <c r="F176" s="32"/>
      <c r="G176" s="32"/>
    </row>
    <row r="177" spans="1:7" x14ac:dyDescent="0.25">
      <c r="A177" s="4">
        <v>178</v>
      </c>
      <c r="B177" s="4" t="str">
        <f t="shared" si="10"/>
        <v>DIO178</v>
      </c>
      <c r="C177" s="30" t="s">
        <v>561</v>
      </c>
      <c r="D177" s="18" t="str">
        <f t="shared" si="9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!defined(FORCE_IO_HAL_DIRECTION_ONREQUEST)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#ifdef DISABLE_HAL_CONFIG_PROTECTION
#define io178_config_output
#define io178_set_output ic74hc595_set_pin(DIN48);ic74hc595_shift_io_pins()
#define io178_clear_output ic74hc595_clear_pin(DIN48);ic74hc595_shift_io_pins()
#define io178_toggle_output ic74hc595_toggle_pin(DIN48);ic74hc595_shift_io_pins()
#define io178_get_output ic74hc595_get_pin(DIN48)
#endif
#define io178_config_input
#define io178_config_pullup
#define io178_get_input 0
#else
#define io178_config_output
#define io178_set_output
#define io178_clear_output
#define io178_toggle_output
#define io178_get_output 0
#define io178_config_input
#define io178_config_pullup
#define io178_get_input 0
#endif</v>
      </c>
      <c r="E177" s="32"/>
      <c r="F177" s="32"/>
      <c r="G177" s="32"/>
    </row>
    <row r="178" spans="1:7" x14ac:dyDescent="0.25">
      <c r="A178" s="4">
        <v>179</v>
      </c>
      <c r="B178" s="4" t="str">
        <f t="shared" si="10"/>
        <v>DIO179</v>
      </c>
      <c r="C178" s="30" t="s">
        <v>562</v>
      </c>
      <c r="D178" s="18" t="str">
        <f t="shared" si="9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!defined(FORCE_IO_HAL_DIRECTION_ONREQUEST)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#ifdef DISABLE_HAL_CONFIG_PROTECTION
#define io179_config_output
#define io179_set_output ic74hc595_set_pin(DIN49);ic74hc595_shift_io_pins()
#define io179_clear_output ic74hc595_clear_pin(DIN49);ic74hc595_shift_io_pins()
#define io179_toggle_output ic74hc595_toggle_pin(DIN49);ic74hc595_shift_io_pins()
#define io179_get_output ic74hc595_get_pin(DIN49)
#endif
#define io179_config_input
#define io179_config_pullup
#define io179_get_input 0
#else
#define io179_config_output
#define io179_set_output
#define io179_clear_output
#define io179_toggle_output
#define io179_get_output 0
#define io179_config_input
#define io179_config_pullup
#define io179_get_input 0
#endif</v>
      </c>
      <c r="E178" s="32"/>
      <c r="F178" s="32"/>
      <c r="G178" s="32"/>
    </row>
    <row r="179" spans="1:7" x14ac:dyDescent="0.25">
      <c r="A179" s="4">
        <v>200</v>
      </c>
      <c r="B179" s="4" t="str">
        <f t="shared" si="0"/>
        <v>DIO200</v>
      </c>
      <c r="C179" s="29" t="s">
        <v>105</v>
      </c>
      <c r="D179" s="18"/>
      <c r="E179" s="32"/>
      <c r="F179" s="32"/>
      <c r="G179" s="32"/>
    </row>
    <row r="180" spans="1:7" x14ac:dyDescent="0.25">
      <c r="A180" s="4">
        <v>201</v>
      </c>
      <c r="B180" s="4" t="str">
        <f t="shared" si="0"/>
        <v>DIO201</v>
      </c>
      <c r="C180" s="29" t="s">
        <v>106</v>
      </c>
      <c r="D180" s="18"/>
      <c r="E180" s="32"/>
      <c r="F180" s="32"/>
      <c r="G180" s="32"/>
    </row>
    <row r="181" spans="1:7" x14ac:dyDescent="0.25">
      <c r="A181" s="4">
        <v>202</v>
      </c>
      <c r="B181" s="4" t="str">
        <f t="shared" si="0"/>
        <v>DIO202</v>
      </c>
      <c r="C181" s="29" t="s">
        <v>107</v>
      </c>
      <c r="D181" s="18"/>
      <c r="E181" s="32"/>
      <c r="F181" s="32"/>
      <c r="G181" s="32"/>
    </row>
    <row r="182" spans="1:7" x14ac:dyDescent="0.25">
      <c r="A182" s="4">
        <v>203</v>
      </c>
      <c r="B182" s="4" t="str">
        <f t="shared" si="0"/>
        <v>DIO203</v>
      </c>
      <c r="C182" s="29" t="s">
        <v>108</v>
      </c>
      <c r="D182" s="18"/>
      <c r="E182" s="32"/>
      <c r="F182" s="32"/>
      <c r="G182" s="32"/>
    </row>
    <row r="183" spans="1:7" x14ac:dyDescent="0.25">
      <c r="A183" s="4">
        <v>204</v>
      </c>
      <c r="B183" s="4" t="str">
        <f t="shared" si="0"/>
        <v>DIO204</v>
      </c>
      <c r="C183" s="29" t="s">
        <v>223</v>
      </c>
      <c r="D183" s="18"/>
      <c r="E183" s="32"/>
      <c r="F183" s="32"/>
      <c r="G183" s="32"/>
    </row>
    <row r="184" spans="1:7" x14ac:dyDescent="0.25">
      <c r="A184" s="4">
        <v>205</v>
      </c>
      <c r="B184" s="4" t="str">
        <f t="shared" ref="B184:B190" si="11">"DIO"&amp;A184</f>
        <v>DIO205</v>
      </c>
      <c r="C184" s="29" t="s">
        <v>224</v>
      </c>
      <c r="D184" s="18"/>
      <c r="E184" s="32"/>
      <c r="F184" s="32"/>
      <c r="G184" s="32"/>
    </row>
    <row r="185" spans="1:7" x14ac:dyDescent="0.25">
      <c r="A185" s="4">
        <v>206</v>
      </c>
      <c r="B185" s="4" t="str">
        <f t="shared" si="11"/>
        <v>DIO206</v>
      </c>
      <c r="C185" s="29" t="s">
        <v>225</v>
      </c>
      <c r="D185" s="18"/>
      <c r="E185" s="32"/>
      <c r="F185" s="32"/>
      <c r="G185" s="32"/>
    </row>
    <row r="186" spans="1:7" x14ac:dyDescent="0.25">
      <c r="A186" s="4">
        <v>207</v>
      </c>
      <c r="B186" s="4" t="str">
        <f t="shared" si="11"/>
        <v>DIO207</v>
      </c>
      <c r="C186" s="29" t="s">
        <v>459</v>
      </c>
      <c r="D186" s="18" t="str">
        <f>"#if ASSERT_PIN_IO("&amp;C186&amp;")
#define io"&amp;A186&amp;"_config_output mcu_config_output("&amp;C186&amp;")
#define io"&amp;A186&amp;"_set_output mcu_set_output("&amp;C186&amp;")
#define io"&amp;A186&amp;"_clear_output mcu_clear_output("&amp;C186&amp;")
#define io"&amp;A186&amp;"_toggle_output mcu_toggle_output("&amp;C186&amp;")
#define io"&amp;A186&amp;"_get_output mcu_get_output("&amp;C186&amp;")
#if !defined("&amp;C186&amp;"_PULLUP) &amp;&amp; !defined(FORCE_IO_HAL_DIRECTION_ONREQUEST)
#define io"&amp;A186&amp;"_config_input mcu_config_input("&amp;C186&amp;")
#else
#define io"&amp;A186&amp;"_config_input mcu_config_input("&amp;C186&amp;");mcu_config_pullup("&amp;C186&amp;")
#endif
#define io"&amp;A186&amp;"_config_pullup mcu_config_pullup("&amp;C186&amp;")
#define io"&amp;A186&amp;"_get_input mcu_get_input("&amp;C186&amp;")
#elif ASSERT_PIN_EXTENDED("&amp;C186&amp;")
#define io"&amp;A186&amp;"_config_output
#define io"&amp;A186&amp;"_set_output ic74hc595_set_pin("&amp;C186&amp;");ic74hc595_shift_io_pins()
#define io"&amp;A186&amp;"_clear_output ic74hc595_clear_pin("&amp;C186&amp;");ic74hc595_shift_io_pins()
#define io"&amp;A186&amp;"_toggle_output ic74hc595_toggle_pin("&amp;C186&amp;");ic74hc595_shift_io_pins()
#define io"&amp;A186&amp;"_get_output ic74hc595_get_pin("&amp;C186&amp;")
#define io"&amp;A186&amp;"_config_input
#define io"&amp;A186&amp;"_config_pullup
#define io"&amp;A186&amp;"_get_input 0
#else
#define io"&amp;A186&amp;"_config_output
#define io"&amp;A186&amp;"_set_output
#define io"&amp;A186&amp;"_clear_output
#define io"&amp;A186&amp;"_toggle_output
#define io"&amp;A186&amp;"_get_output 0
#define io"&amp;A186&amp;"_config_input
#define io"&amp;A186&amp;"_config_pullup
#define io"&amp;A186&amp;"_get_input 0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#if !defined(SPI_CS_PULLUP) &amp;&amp; !defined(FORCE_IO_HAL_DIRECTION_ONREQUEST)
#define io207_config_input mcu_config_input(SPI_CS)
#else
#define io207_config_input mcu_config_input(SPI_CS);mcu_config_pullup(SPI_CS)
#endif
#define io207_config_pullup mcu_config_pullup(SPI_CS)
#define io207_get_input mcu_get_input(SPI_CS)
#elif ASSERT_PIN_EXTENDED(SPI_CS)
#define io207_config_output
#define io207_set_output ic74hc595_set_pin(SPI_CS);ic74hc595_shift_io_pins()
#define io207_clear_output ic74hc595_clear_pin(SPI_CS);ic74hc595_shift_io_pins()
#define io207_toggle_output ic74hc595_toggle_pin(SPI_CS);ic74hc595_shift_io_pins()
#define io207_get_output ic74hc595_get_pin(SPI_CS)
#define io207_config_input
#define io207_config_pullup
#define io207_get_input 0
#else
#define io207_config_output
#define io207_set_output
#define io207_clear_output
#define io207_toggle_output
#define io207_get_output 0
#define io207_config_input
#define io207_config_pullup
#define io207_get_input 0
#endif</v>
      </c>
      <c r="E186" s="32"/>
      <c r="F186" s="32"/>
      <c r="G186" s="32"/>
    </row>
    <row r="187" spans="1:7" x14ac:dyDescent="0.25">
      <c r="A187" s="4">
        <v>208</v>
      </c>
      <c r="B187" s="4" t="str">
        <f t="shared" si="11"/>
        <v>DIO208</v>
      </c>
      <c r="C187" s="29" t="s">
        <v>237</v>
      </c>
      <c r="D187" s="18"/>
      <c r="E187" s="32"/>
      <c r="F187" s="32"/>
      <c r="G187" s="32"/>
    </row>
    <row r="188" spans="1:7" x14ac:dyDescent="0.25">
      <c r="A188" s="4">
        <v>209</v>
      </c>
      <c r="B188" s="4" t="str">
        <f t="shared" si="11"/>
        <v>DIO209</v>
      </c>
      <c r="C188" s="29" t="s">
        <v>238</v>
      </c>
      <c r="D188" s="18"/>
      <c r="E188" s="32"/>
      <c r="F188" s="32"/>
      <c r="G188" s="32"/>
    </row>
    <row r="189" spans="1:7" x14ac:dyDescent="0.25">
      <c r="A189" s="4">
        <v>210</v>
      </c>
      <c r="B189" s="4" t="str">
        <f t="shared" si="11"/>
        <v>DIO210</v>
      </c>
      <c r="C189" s="29" t="s">
        <v>467</v>
      </c>
      <c r="D189" s="18"/>
      <c r="E189" s="32"/>
      <c r="F189" s="32"/>
      <c r="G189" s="32"/>
    </row>
    <row r="190" spans="1:7" x14ac:dyDescent="0.25">
      <c r="A190" s="4">
        <v>211</v>
      </c>
      <c r="B190" s="4" t="str">
        <f t="shared" si="11"/>
        <v>DIO211</v>
      </c>
      <c r="C190" s="29" t="s">
        <v>468</v>
      </c>
      <c r="D190" s="18"/>
      <c r="E190" s="32"/>
      <c r="F190" s="32"/>
      <c r="G190" s="32"/>
    </row>
    <row r="191" spans="1:7" x14ac:dyDescent="0.25">
      <c r="A191" s="4">
        <v>212</v>
      </c>
      <c r="B191" s="4" t="s">
        <v>519</v>
      </c>
      <c r="C191" s="29" t="s">
        <v>520</v>
      </c>
      <c r="D191" s="18"/>
      <c r="E191" s="32"/>
      <c r="F191" s="32"/>
      <c r="G191" s="32"/>
    </row>
    <row r="192" spans="1:7" x14ac:dyDescent="0.25">
      <c r="A192" s="4">
        <v>213</v>
      </c>
      <c r="B192" s="4" t="s">
        <v>521</v>
      </c>
      <c r="C192" s="29" t="s">
        <v>522</v>
      </c>
      <c r="D192" s="18"/>
      <c r="E192" s="32"/>
      <c r="F192" s="32"/>
      <c r="G192" s="32"/>
    </row>
    <row r="193" spans="1:7" x14ac:dyDescent="0.25">
      <c r="A193" s="4">
        <v>214</v>
      </c>
      <c r="B193" s="4" t="s">
        <v>523</v>
      </c>
      <c r="C193" s="29" t="s">
        <v>524</v>
      </c>
      <c r="D193" s="18"/>
      <c r="E193" s="32"/>
      <c r="F193" s="32"/>
      <c r="G193" s="32"/>
    </row>
    <row r="194" spans="1:7" x14ac:dyDescent="0.25">
      <c r="A194" s="4">
        <v>215</v>
      </c>
      <c r="B194" s="4" t="s">
        <v>525</v>
      </c>
      <c r="C194" s="29" t="s">
        <v>526</v>
      </c>
      <c r="D194" s="18" t="str">
        <f>"#if ASSERT_PIN_IO("&amp;C194&amp;")
#define io"&amp;A194&amp;"_config_output mcu_config_output("&amp;C194&amp;")
#define io"&amp;A194&amp;"_set_output mcu_set_output("&amp;C194&amp;")
#define io"&amp;A194&amp;"_clear_output mcu_clear_output("&amp;C194&amp;")
#define io"&amp;A194&amp;"_toggle_output mcu_toggle_output("&amp;C194&amp;")
#define io"&amp;A194&amp;"_get_output mcu_get_output("&amp;C194&amp;")
#if !defined("&amp;C194&amp;"_PULLUP) &amp;&amp; !defined(FORCE_IO_HAL_DIRECTION_ONREQUEST)
#define io"&amp;A194&amp;"_config_input mcu_config_input("&amp;C194&amp;")
#else
#define io"&amp;A194&amp;"_config_input mcu_config_input("&amp;C194&amp;");mcu_config_pullup("&amp;C194&amp;")
#endif
#define io"&amp;A194&amp;"_config_pullup mcu_config_pullup("&amp;C194&amp;")
#define io"&amp;A194&amp;"_get_input mcu_get_input("&amp;C194&amp;")
#elif ASSERT_PIN_EXTENDED("&amp;C194&amp;")
#define io"&amp;A194&amp;"_config_output
#define io"&amp;A194&amp;"_set_output ic74hc595_set_pin("&amp;C194&amp;");ic74hc595_shift_io_pins()
#define io"&amp;A194&amp;"_clear_output ic74hc595_clear_pin("&amp;C194&amp;");ic74hc595_shift_io_pins()
#define io"&amp;A194&amp;"_toggle_output ic74hc595_toggle_pin("&amp;C194&amp;");ic74hc595_shift_io_pins()
#define io"&amp;A194&amp;"_get_output ic74hc595_get_pin("&amp;C194&amp;")
#define io"&amp;A194&amp;"_config_input
#define io"&amp;A194&amp;"_config_pullup
#define io"&amp;A194&amp;"_get_input 0
#else
#define io"&amp;A194&amp;"_config_output
#define io"&amp;A194&amp;"_set_output
#define io"&amp;A194&amp;"_clear_output
#define io"&amp;A194&amp;"_toggle_output
#define io"&amp;A194&amp;"_get_output 0
#define io"&amp;A194&amp;"_config_input
#define io"&amp;A194&amp;"_config_pullup
#define io"&amp;A194&amp;"_get_input 0
#endif"</f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#if !defined(SPI2_CS_PULLUP) &amp;&amp; !defined(FORCE_IO_HAL_DIRECTION_ONREQUEST)
#define io215_config_input mcu_config_input(SPI2_CS)
#else
#define io215_config_input mcu_config_input(SPI2_CS);mcu_config_pullup(SPI2_CS)
#endif
#define io215_config_pullup mcu_config_pullup(SPI2_CS)
#define io215_get_input mcu_get_input(SPI2_CS)
#elif ASSERT_PIN_EXTENDED(SPI2_CS)
#define io215_config_output
#define io215_set_output ic74hc595_set_pin(SPI2_CS);ic74hc595_shift_io_pins()
#define io215_clear_output ic74hc595_clear_pin(SPI2_CS);ic74hc595_shift_io_pins()
#define io215_toggle_output ic74hc595_toggle_pin(SPI2_CS);ic74hc595_shift_io_pins()
#define io215_get_output ic74hc595_get_pin(SPI2_CS)
#define io215_config_input
#define io215_config_pullup
#define io215_get_input 0
#else
#define io215_config_output
#define io215_set_output
#define io215_clear_output
#define io215_toggle_output
#define io215_get_output 0
#define io215_config_input
#define io215_config_pullup
#define io215_get_input 0
#endif</v>
      </c>
      <c r="E194" s="32"/>
      <c r="F194" s="32"/>
      <c r="G194" s="32"/>
    </row>
  </sheetData>
  <mergeCells count="1">
    <mergeCell ref="A1:C1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A327B-9572-423A-AAF4-346E366DF1DF}">
  <dimension ref="A1:E158"/>
  <sheetViews>
    <sheetView topLeftCell="A136" workbookViewId="0">
      <selection activeCell="E155" sqref="E155"/>
    </sheetView>
  </sheetViews>
  <sheetFormatPr defaultRowHeight="15" customHeight="1" x14ac:dyDescent="0.25"/>
  <cols>
    <col min="5" max="5" width="25.42578125" customWidth="1"/>
  </cols>
  <sheetData>
    <row r="1" spans="1:5" ht="15" customHeight="1" x14ac:dyDescent="0.25">
      <c r="A1" s="40" t="s">
        <v>0</v>
      </c>
      <c r="B1" s="41"/>
      <c r="C1" s="42"/>
      <c r="D1" s="7"/>
      <c r="E1" s="8"/>
    </row>
    <row r="2" spans="1:5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</row>
    <row r="3" spans="1:5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>"#define "&amp;C3&amp;" "&amp;A3&amp;"
#define "&amp;B3&amp;" "&amp;A3&amp;""</f>
        <v>#define STEP0 1
#define DIO1 1</v>
      </c>
    </row>
    <row r="4" spans="1:5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1">"#define "&amp;C4&amp;" "&amp;A4&amp;"
#define "&amp;B4&amp;" "&amp;A4&amp;""</f>
        <v>#define STEP1 2
#define DIO2 2</v>
      </c>
    </row>
    <row r="5" spans="1:5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#define STEP2 3
#define DIO3 3</v>
      </c>
    </row>
    <row r="6" spans="1:5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#define STEP3 4
#define DIO4 4</v>
      </c>
    </row>
    <row r="7" spans="1:5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#define STEP4 5
#define DIO5 5</v>
      </c>
    </row>
    <row r="8" spans="1:5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#define STEP5 6
#define DIO6 6</v>
      </c>
    </row>
    <row r="9" spans="1:5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#define STEP6 7
#define DIO7 7</v>
      </c>
    </row>
    <row r="10" spans="1:5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#define STEP7 8
#define DIO8 8</v>
      </c>
    </row>
    <row r="11" spans="1:5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#define DIR0 9
#define DIO9 9</v>
      </c>
    </row>
    <row r="12" spans="1:5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#define DIR1 10
#define DIO10 10</v>
      </c>
    </row>
    <row r="13" spans="1:5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#define DIR2 11
#define DIO11 11</v>
      </c>
    </row>
    <row r="14" spans="1:5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#define DIR3 12
#define DIO12 12</v>
      </c>
    </row>
    <row r="15" spans="1:5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#define DIR4 13
#define DIO13 13</v>
      </c>
    </row>
    <row r="16" spans="1:5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#define DIR5 14
#define DIO14 14</v>
      </c>
    </row>
    <row r="17" spans="1:5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#define DIR6 15
#define DIO15 15</v>
      </c>
    </row>
    <row r="18" spans="1:5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#define DIR7 16
#define DIO16 16</v>
      </c>
    </row>
    <row r="19" spans="1:5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#define STEP0_EN 17
#define DIO17 17</v>
      </c>
    </row>
    <row r="20" spans="1:5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#define STEP1_EN 18
#define DIO18 18</v>
      </c>
    </row>
    <row r="21" spans="1:5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#define STEP2_EN 19
#define DIO19 19</v>
      </c>
    </row>
    <row r="22" spans="1:5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#define STEP3_EN 20
#define DIO20 20</v>
      </c>
    </row>
    <row r="23" spans="1:5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#define STEP4_EN 21
#define DIO21 21</v>
      </c>
    </row>
    <row r="24" spans="1:5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#define STEP5_EN 22
#define DIO22 22</v>
      </c>
    </row>
    <row r="25" spans="1:5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#define STEP6_EN 23
#define DIO23 23</v>
      </c>
    </row>
    <row r="26" spans="1:5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#define STEP7_EN 24
#define DIO24 24</v>
      </c>
    </row>
    <row r="27" spans="1:5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#define PWM0 25
#define DIO25 25</v>
      </c>
    </row>
    <row r="28" spans="1:5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#define PWM1 26
#define DIO26 26</v>
      </c>
    </row>
    <row r="29" spans="1:5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#define PWM2 27
#define DIO27 27</v>
      </c>
    </row>
    <row r="30" spans="1:5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#define PWM3 28
#define DIO28 28</v>
      </c>
    </row>
    <row r="31" spans="1:5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#define PWM4 29
#define DIO29 29</v>
      </c>
    </row>
    <row r="32" spans="1:5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#define PWM5 30
#define DIO30 30</v>
      </c>
    </row>
    <row r="33" spans="1:5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#define PWM6 31
#define DIO31 31</v>
      </c>
    </row>
    <row r="34" spans="1:5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#define PWM7 32
#define DIO32 32</v>
      </c>
    </row>
    <row r="35" spans="1:5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#define PWM8 33
#define DIO33 33</v>
      </c>
    </row>
    <row r="36" spans="1:5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#define PWM9 34
#define DIO34 34</v>
      </c>
    </row>
    <row r="37" spans="1:5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#define PWM10 35
#define DIO35 35</v>
      </c>
    </row>
    <row r="38" spans="1:5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#define PWM11 36
#define DIO36 36</v>
      </c>
    </row>
    <row r="39" spans="1:5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#define PWM12 37
#define DIO37 37</v>
      </c>
    </row>
    <row r="40" spans="1:5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#define PWM13 38
#define DIO38 38</v>
      </c>
    </row>
    <row r="41" spans="1:5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#define PWM14 39
#define DIO39 39</v>
      </c>
    </row>
    <row r="42" spans="1:5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#define PWM15 40
#define DIO40 40</v>
      </c>
    </row>
    <row r="43" spans="1:5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#define SERVO0 41
#define DIO41 41</v>
      </c>
    </row>
    <row r="44" spans="1:5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#define SERVO1 42
#define DIO42 42</v>
      </c>
    </row>
    <row r="45" spans="1:5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#define SERVO2 43
#define DIO43 43</v>
      </c>
    </row>
    <row r="46" spans="1:5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#define SERVO3 44
#define DIO44 44</v>
      </c>
    </row>
    <row r="47" spans="1:5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#define SERVO4 45
#define DIO45 45</v>
      </c>
    </row>
    <row r="48" spans="1:5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#define SERVO5 46
#define DIO46 46</v>
      </c>
    </row>
    <row r="49" spans="1:5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#define DOUT0 47
#define DIO47 47</v>
      </c>
    </row>
    <row r="50" spans="1:5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#define DOUT1 48
#define DIO48 48</v>
      </c>
    </row>
    <row r="51" spans="1:5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#define DOUT2 49
#define DIO49 49</v>
      </c>
    </row>
    <row r="52" spans="1:5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#define DOUT3 50
#define DIO50 50</v>
      </c>
    </row>
    <row r="53" spans="1:5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#define DOUT4 51
#define DIO51 51</v>
      </c>
    </row>
    <row r="54" spans="1:5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#define DOUT5 52
#define DIO52 52</v>
      </c>
    </row>
    <row r="55" spans="1:5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#define DOUT6 53
#define DIO53 53</v>
      </c>
    </row>
    <row r="56" spans="1:5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#define DOUT7 54
#define DIO54 54</v>
      </c>
    </row>
    <row r="57" spans="1:5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#define DOUT8 55
#define DIO55 55</v>
      </c>
    </row>
    <row r="58" spans="1:5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#define DOUT9 56
#define DIO56 56</v>
      </c>
    </row>
    <row r="59" spans="1:5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#define DOUT10 57
#define DIO57 57</v>
      </c>
    </row>
    <row r="60" spans="1:5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#define DOUT11 58
#define DIO58 58</v>
      </c>
    </row>
    <row r="61" spans="1:5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#define DOUT12 59
#define DIO59 59</v>
      </c>
    </row>
    <row r="62" spans="1:5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#define DOUT13 60
#define DIO60 60</v>
      </c>
    </row>
    <row r="63" spans="1:5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#define DOUT14 61
#define DIO61 61</v>
      </c>
    </row>
    <row r="64" spans="1:5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#define DOUT15 62
#define DIO62 62</v>
      </c>
    </row>
    <row r="65" spans="1:5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#define DOUT16 63
#define DIO63 63</v>
      </c>
    </row>
    <row r="66" spans="1:5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#define DOUT17 64
#define DIO64 64</v>
      </c>
    </row>
    <row r="67" spans="1:5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"/>
        <v>#define DOUT18 65
#define DIO65 65</v>
      </c>
    </row>
    <row r="68" spans="1:5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2">"#define "&amp;C68&amp;" "&amp;A68&amp;"
#define "&amp;B68&amp;" "&amp;A68&amp;""</f>
        <v>#define DOUT19 66
#define DIO66 66</v>
      </c>
    </row>
    <row r="69" spans="1:5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2"/>
        <v>#define DOUT20 67
#define DIO67 67</v>
      </c>
    </row>
    <row r="70" spans="1:5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2"/>
        <v>#define DOUT21 68
#define DIO68 68</v>
      </c>
    </row>
    <row r="71" spans="1:5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2"/>
        <v>#define DOUT22 69
#define DIO69 69</v>
      </c>
    </row>
    <row r="72" spans="1:5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2"/>
        <v>#define DOUT23 70
#define DIO70 70</v>
      </c>
    </row>
    <row r="73" spans="1:5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2"/>
        <v>#define DOUT24 71
#define DIO71 71</v>
      </c>
    </row>
    <row r="74" spans="1:5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2"/>
        <v>#define DOUT25 72
#define DIO72 72</v>
      </c>
    </row>
    <row r="75" spans="1:5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2"/>
        <v>#define DOUT26 73
#define DIO73 73</v>
      </c>
    </row>
    <row r="76" spans="1:5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2"/>
        <v>#define DOUT27 74
#define DIO74 74</v>
      </c>
    </row>
    <row r="77" spans="1:5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2"/>
        <v>#define DOUT28 75
#define DIO75 75</v>
      </c>
    </row>
    <row r="78" spans="1:5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2"/>
        <v>#define DOUT29 76
#define DIO76 76</v>
      </c>
    </row>
    <row r="79" spans="1:5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2"/>
        <v>#define DOUT30 77
#define DIO77 77</v>
      </c>
    </row>
    <row r="80" spans="1:5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2"/>
        <v>#define DOUT31 78
#define DIO78 78</v>
      </c>
    </row>
    <row r="81" spans="1:5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0</v>
      </c>
      <c r="E81" s="9" t="str">
        <f t="shared" si="2"/>
        <v>#define LIMIT_X 100
#define DIO100 100</v>
      </c>
    </row>
    <row r="82" spans="1:5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</v>
      </c>
      <c r="E82" s="9" t="str">
        <f t="shared" si="2"/>
        <v>#define LIMIT_Y 101
#define DIO101 101</v>
      </c>
    </row>
    <row r="83" spans="1:5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2</v>
      </c>
      <c r="E83" s="9" t="str">
        <f t="shared" si="2"/>
        <v>#define LIMIT_Z 102
#define DIO102 102</v>
      </c>
    </row>
    <row r="84" spans="1:5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3</v>
      </c>
      <c r="E84" s="9" t="str">
        <f t="shared" si="2"/>
        <v>#define LIMIT_X2 103
#define DIO103 103</v>
      </c>
    </row>
    <row r="85" spans="1:5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4</v>
      </c>
      <c r="E85" s="9" t="str">
        <f t="shared" si="2"/>
        <v>#define LIMIT_Y2 104
#define DIO104 104</v>
      </c>
    </row>
    <row r="86" spans="1:5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5</v>
      </c>
      <c r="E86" s="9" t="str">
        <f t="shared" si="2"/>
        <v>#define LIMIT_Z2 105
#define DIO105 105</v>
      </c>
    </row>
    <row r="87" spans="1:5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6</v>
      </c>
      <c r="E87" s="9" t="str">
        <f t="shared" si="2"/>
        <v>#define LIMIT_A 106
#define DIO106 106</v>
      </c>
    </row>
    <row r="88" spans="1:5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7</v>
      </c>
      <c r="E88" s="9" t="str">
        <f t="shared" si="2"/>
        <v>#define LIMIT_B 107
#define DIO107 107</v>
      </c>
    </row>
    <row r="89" spans="1:5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8</v>
      </c>
      <c r="E89" s="9" t="str">
        <f t="shared" si="2"/>
        <v>#define LIMIT_C 108
#define DIO108 108</v>
      </c>
    </row>
    <row r="90" spans="1:5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0</v>
      </c>
      <c r="E90" s="9" t="str">
        <f t="shared" si="2"/>
        <v>#define PROBE 109
#define DIO109 109</v>
      </c>
    </row>
    <row r="91" spans="1:5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0</v>
      </c>
      <c r="E91" s="9" t="str">
        <f t="shared" si="2"/>
        <v>#define ESTOP 110
#define DIO110 110</v>
      </c>
    </row>
    <row r="92" spans="1:5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1</v>
      </c>
      <c r="E92" s="9" t="str">
        <f t="shared" si="2"/>
        <v>#define SAFETY_DOOR 111
#define DIO111 111</v>
      </c>
    </row>
    <row r="93" spans="1:5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2</v>
      </c>
      <c r="E93" s="9" t="str">
        <f t="shared" si="2"/>
        <v>#define FHOLD 112
#define DIO112 112</v>
      </c>
    </row>
    <row r="94" spans="1:5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3</v>
      </c>
      <c r="E94" s="9" t="str">
        <f t="shared" si="2"/>
        <v>#define CS_RES 113
#define DIO113 113</v>
      </c>
    </row>
    <row r="95" spans="1:5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0</v>
      </c>
      <c r="E95" s="9" t="str">
        <f t="shared" si="2"/>
        <v>#define ANALOG0 114
#define DIO114 114</v>
      </c>
    </row>
    <row r="96" spans="1:5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</v>
      </c>
      <c r="E96" s="9" t="str">
        <f t="shared" si="2"/>
        <v>#define ANALOG1 115
#define DIO115 115</v>
      </c>
    </row>
    <row r="97" spans="1:5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2</v>
      </c>
      <c r="E97" s="9" t="str">
        <f t="shared" si="2"/>
        <v>#define ANALOG2 116
#define DIO116 116</v>
      </c>
    </row>
    <row r="98" spans="1:5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3</v>
      </c>
      <c r="E98" s="9" t="str">
        <f t="shared" si="2"/>
        <v>#define ANALOG3 117
#define DIO117 117</v>
      </c>
    </row>
    <row r="99" spans="1:5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4</v>
      </c>
      <c r="E99" s="9" t="str">
        <f t="shared" si="2"/>
        <v>#define ANALOG4 118
#define DIO118 118</v>
      </c>
    </row>
    <row r="100" spans="1:5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5</v>
      </c>
      <c r="E100" s="9" t="str">
        <f t="shared" si="2"/>
        <v>#define ANALOG5 119
#define DIO119 119</v>
      </c>
    </row>
    <row r="101" spans="1:5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6</v>
      </c>
      <c r="E101" s="9" t="str">
        <f t="shared" si="2"/>
        <v>#define ANALOG6 120
#define DIO120 120</v>
      </c>
    </row>
    <row r="102" spans="1:5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4">
        <v>7</v>
      </c>
      <c r="E102" s="9" t="str">
        <f t="shared" si="2"/>
        <v>#define ANALOG7 121
#define DIO121 121</v>
      </c>
    </row>
    <row r="103" spans="1:5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8</v>
      </c>
      <c r="E103" s="9" t="str">
        <f t="shared" si="2"/>
        <v>#define ANALOG8 122
#define DIO122 122</v>
      </c>
    </row>
    <row r="104" spans="1:5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4">
        <v>9</v>
      </c>
      <c r="E104" s="9" t="str">
        <f t="shared" si="2"/>
        <v>#define ANALOG9 123
#define DIO123 123</v>
      </c>
    </row>
    <row r="105" spans="1:5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4">
        <v>10</v>
      </c>
      <c r="E105" s="9" t="str">
        <f t="shared" si="2"/>
        <v>#define ANALOG10 124
#define DIO124 124</v>
      </c>
    </row>
    <row r="106" spans="1:5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4">
        <v>11</v>
      </c>
      <c r="E106" s="9" t="str">
        <f t="shared" si="2"/>
        <v>#define ANALOG11 125
#define DIO125 125</v>
      </c>
    </row>
    <row r="107" spans="1:5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4">
        <v>12</v>
      </c>
      <c r="E107" s="9" t="str">
        <f t="shared" si="2"/>
        <v>#define ANALOG12 126
#define DIO126 126</v>
      </c>
    </row>
    <row r="108" spans="1:5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4">
        <v>13</v>
      </c>
      <c r="E108" s="9" t="str">
        <f t="shared" si="2"/>
        <v>#define ANALOG13 127
#define DIO127 127</v>
      </c>
    </row>
    <row r="109" spans="1:5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4">
        <v>14</v>
      </c>
      <c r="E109" s="9" t="str">
        <f t="shared" si="2"/>
        <v>#define ANALOG14 128
#define DIO128 128</v>
      </c>
    </row>
    <row r="110" spans="1:5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4">
        <v>15</v>
      </c>
      <c r="E110" s="9" t="str">
        <f t="shared" si="2"/>
        <v>#define ANALOG15 129
#define DIO129 129</v>
      </c>
    </row>
    <row r="111" spans="1:5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4">
        <v>0</v>
      </c>
      <c r="E111" s="9" t="str">
        <f t="shared" si="2"/>
        <v>#define DIN0 130
#define DIO130 130</v>
      </c>
    </row>
    <row r="112" spans="1:5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4">
        <v>1</v>
      </c>
      <c r="E112" s="9" t="str">
        <f t="shared" si="2"/>
        <v>#define DIN1 131
#define DIO131 131</v>
      </c>
    </row>
    <row r="113" spans="1:5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4">
        <v>2</v>
      </c>
      <c r="E113" s="9" t="str">
        <f t="shared" si="2"/>
        <v>#define DIN2 132
#define DIO132 132</v>
      </c>
    </row>
    <row r="114" spans="1:5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4">
        <v>3</v>
      </c>
      <c r="E114" s="9" t="str">
        <f t="shared" si="2"/>
        <v>#define DIN3 133
#define DIO133 133</v>
      </c>
    </row>
    <row r="115" spans="1:5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4">
        <v>4</v>
      </c>
      <c r="E115" s="9" t="str">
        <f t="shared" si="2"/>
        <v>#define DIN4 134
#define DIO134 134</v>
      </c>
    </row>
    <row r="116" spans="1:5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4">
        <v>5</v>
      </c>
      <c r="E116" s="9" t="str">
        <f t="shared" si="2"/>
        <v>#define DIN5 135
#define DIO135 135</v>
      </c>
    </row>
    <row r="117" spans="1:5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4">
        <v>6</v>
      </c>
      <c r="E117" s="9" t="str">
        <f t="shared" si="2"/>
        <v>#define DIN6 136
#define DIO136 136</v>
      </c>
    </row>
    <row r="118" spans="1:5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4">
        <v>7</v>
      </c>
      <c r="E118" s="9" t="str">
        <f t="shared" si="2"/>
        <v>#define DIN7 137
#define DIO137 137</v>
      </c>
    </row>
    <row r="119" spans="1:5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4">
        <v>8</v>
      </c>
      <c r="E119" s="9" t="str">
        <f t="shared" si="2"/>
        <v>#define DIN8 138
#define DIO138 138</v>
      </c>
    </row>
    <row r="120" spans="1:5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4">
        <v>9</v>
      </c>
      <c r="E120" s="9" t="str">
        <f t="shared" si="2"/>
        <v>#define DIN9 139
#define DIO139 139</v>
      </c>
    </row>
    <row r="121" spans="1:5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4">
        <v>10</v>
      </c>
      <c r="E121" s="9" t="str">
        <f t="shared" si="2"/>
        <v>#define DIN10 140
#define DIO140 140</v>
      </c>
    </row>
    <row r="122" spans="1:5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4">
        <v>11</v>
      </c>
      <c r="E122" s="9" t="str">
        <f t="shared" si="2"/>
        <v>#define DIN11 141
#define DIO141 141</v>
      </c>
    </row>
    <row r="123" spans="1:5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4">
        <v>12</v>
      </c>
      <c r="E123" s="9" t="str">
        <f t="shared" si="2"/>
        <v>#define DIN12 142
#define DIO142 142</v>
      </c>
    </row>
    <row r="124" spans="1:5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4">
        <v>13</v>
      </c>
      <c r="E124" s="9" t="str">
        <f t="shared" si="2"/>
        <v>#define DIN13 143
#define DIO143 143</v>
      </c>
    </row>
    <row r="125" spans="1:5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4">
        <v>14</v>
      </c>
      <c r="E125" s="9" t="str">
        <f t="shared" si="2"/>
        <v>#define DIN14 144
#define DIO144 144</v>
      </c>
    </row>
    <row r="126" spans="1:5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4">
        <v>15</v>
      </c>
      <c r="E126" s="9" t="str">
        <f t="shared" si="2"/>
        <v>#define DIN15 145
#define DIO145 145</v>
      </c>
    </row>
    <row r="127" spans="1:5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4">
        <v>16</v>
      </c>
      <c r="E127" s="9" t="str">
        <f t="shared" si="2"/>
        <v>#define DIN16 146
#define DIO146 146</v>
      </c>
    </row>
    <row r="128" spans="1:5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4">
        <v>17</v>
      </c>
      <c r="E128" s="9" t="str">
        <f t="shared" si="2"/>
        <v>#define DIN17 147
#define DIO147 147</v>
      </c>
    </row>
    <row r="129" spans="1:5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4">
        <v>18</v>
      </c>
      <c r="E129" s="9" t="str">
        <f t="shared" si="2"/>
        <v>#define DIN18 148
#define DIO148 148</v>
      </c>
    </row>
    <row r="130" spans="1:5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4">
        <v>19</v>
      </c>
      <c r="E130" s="9" t="str">
        <f t="shared" si="2"/>
        <v>#define DIN19 149
#define DIO149 149</v>
      </c>
    </row>
    <row r="131" spans="1:5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4">
        <v>20</v>
      </c>
      <c r="E131" s="9" t="str">
        <f t="shared" si="2"/>
        <v>#define DIN20 150
#define DIO150 150</v>
      </c>
    </row>
    <row r="132" spans="1:5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4">
        <v>21</v>
      </c>
      <c r="E132" s="9" t="str">
        <f t="shared" ref="E132:E154" si="3">"#define "&amp;C132&amp;" "&amp;A132&amp;"
#define "&amp;B132&amp;" "&amp;A132&amp;""</f>
        <v>#define DIN21 151
#define DIO151 151</v>
      </c>
    </row>
    <row r="133" spans="1:5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4">
        <v>22</v>
      </c>
      <c r="E133" s="9" t="str">
        <f t="shared" si="3"/>
        <v>#define DIN22 152
#define DIO152 152</v>
      </c>
    </row>
    <row r="134" spans="1:5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4">
        <v>23</v>
      </c>
      <c r="E134" s="9" t="str">
        <f t="shared" si="3"/>
        <v>#define DIN23 153
#define DIO153 153</v>
      </c>
    </row>
    <row r="135" spans="1:5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4">
        <v>24</v>
      </c>
      <c r="E135" s="9" t="str">
        <f t="shared" si="3"/>
        <v>#define DIN24 154
#define DIO154 154</v>
      </c>
    </row>
    <row r="136" spans="1:5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4">
        <v>25</v>
      </c>
      <c r="E136" s="9" t="str">
        <f t="shared" si="3"/>
        <v>#define DIN25 155
#define DIO155 155</v>
      </c>
    </row>
    <row r="137" spans="1:5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4">
        <v>26</v>
      </c>
      <c r="E137" s="9" t="str">
        <f t="shared" si="3"/>
        <v>#define DIN26 156
#define DIO156 156</v>
      </c>
    </row>
    <row r="138" spans="1:5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4">
        <v>27</v>
      </c>
      <c r="E138" s="9" t="str">
        <f t="shared" si="3"/>
        <v>#define DIN27 157
#define DIO157 157</v>
      </c>
    </row>
    <row r="139" spans="1:5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4">
        <v>28</v>
      </c>
      <c r="E139" s="9" t="str">
        <f t="shared" si="3"/>
        <v>#define DIN28 158
#define DIO158 158</v>
      </c>
    </row>
    <row r="140" spans="1:5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4">
        <v>29</v>
      </c>
      <c r="E140" s="9" t="str">
        <f t="shared" si="3"/>
        <v>#define DIN29 159
#define DIO159 159</v>
      </c>
    </row>
    <row r="141" spans="1:5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4">
        <v>30</v>
      </c>
      <c r="E141" s="9" t="str">
        <f t="shared" si="3"/>
        <v>#define DIN30 160
#define DIO160 160</v>
      </c>
    </row>
    <row r="142" spans="1:5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4">
        <v>31</v>
      </c>
      <c r="E142" s="9" t="str">
        <f t="shared" si="3"/>
        <v>#define DIN31 161
#define DIO161 161</v>
      </c>
    </row>
    <row r="143" spans="1:5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4">
        <v>0</v>
      </c>
      <c r="E143" s="9" t="str">
        <f t="shared" si="3"/>
        <v>#define TX 200
#define DIO200 200</v>
      </c>
    </row>
    <row r="144" spans="1:5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4">
        <v>1</v>
      </c>
      <c r="E144" s="9" t="str">
        <f t="shared" si="3"/>
        <v>#define RX 201
#define DIO201 201</v>
      </c>
    </row>
    <row r="145" spans="1:5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4">
        <v>0</v>
      </c>
      <c r="E145" s="9" t="str">
        <f t="shared" si="3"/>
        <v>#define USB_DM 202
#define DIO202 202</v>
      </c>
    </row>
    <row r="146" spans="1:5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5">
        <v>1</v>
      </c>
      <c r="E146" s="9" t="str">
        <f t="shared" si="3"/>
        <v>#define USB_DP 203
#define DIO203 203</v>
      </c>
    </row>
    <row r="147" spans="1:5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4">
        <v>0</v>
      </c>
      <c r="E147" s="9" t="str">
        <f t="shared" si="3"/>
        <v>#define SPI_CLK 204
#define DIO204 204</v>
      </c>
    </row>
    <row r="148" spans="1:5" ht="15" customHeight="1" x14ac:dyDescent="0.25">
      <c r="A148" s="4">
        <v>205</v>
      </c>
      <c r="B148" s="4" t="str">
        <f t="shared" ref="B148:B154" si="4">"DIO"&amp;A148</f>
        <v>DIO205</v>
      </c>
      <c r="C148" s="4" t="s">
        <v>224</v>
      </c>
      <c r="D148" s="4">
        <v>1</v>
      </c>
      <c r="E148" s="9" t="str">
        <f t="shared" si="3"/>
        <v>#define SPI_SDI 205
#define DIO205 205</v>
      </c>
    </row>
    <row r="149" spans="1:5" ht="15" customHeight="1" x14ac:dyDescent="0.25">
      <c r="A149" s="4">
        <v>206</v>
      </c>
      <c r="B149" s="4" t="str">
        <f t="shared" si="4"/>
        <v>DIO206</v>
      </c>
      <c r="C149" s="4" t="s">
        <v>225</v>
      </c>
      <c r="D149" s="5">
        <v>2</v>
      </c>
      <c r="E149" s="9" t="str">
        <f t="shared" si="3"/>
        <v>#define SPI_SDO 206
#define DIO206 206</v>
      </c>
    </row>
    <row r="150" spans="1:5" ht="15" customHeight="1" x14ac:dyDescent="0.25">
      <c r="A150" s="4">
        <v>207</v>
      </c>
      <c r="B150" s="4" t="str">
        <f t="shared" si="4"/>
        <v>DIO207</v>
      </c>
      <c r="C150" s="4" t="s">
        <v>459</v>
      </c>
      <c r="D150" s="5">
        <v>3</v>
      </c>
      <c r="E150" s="9" t="str">
        <f t="shared" si="3"/>
        <v>#define SPI_CS 207
#define DIO207 207</v>
      </c>
    </row>
    <row r="151" spans="1:5" ht="15" customHeight="1" x14ac:dyDescent="0.25">
      <c r="A151" s="4">
        <v>208</v>
      </c>
      <c r="B151" s="4" t="str">
        <f t="shared" si="4"/>
        <v>DIO208</v>
      </c>
      <c r="C151" s="4" t="s">
        <v>237</v>
      </c>
      <c r="D151" s="5">
        <v>0</v>
      </c>
      <c r="E151" s="9" t="str">
        <f t="shared" si="3"/>
        <v>#define I2C_SCL 208
#define DIO208 208</v>
      </c>
    </row>
    <row r="152" spans="1:5" ht="15" customHeight="1" x14ac:dyDescent="0.25">
      <c r="A152" s="4">
        <v>209</v>
      </c>
      <c r="B152" s="4" t="str">
        <f t="shared" si="4"/>
        <v>DIO209</v>
      </c>
      <c r="C152" s="4" t="s">
        <v>238</v>
      </c>
      <c r="D152" s="5">
        <v>1</v>
      </c>
      <c r="E152" s="9" t="str">
        <f t="shared" si="3"/>
        <v>#define I2C_SDA 209
#define DIO209 209</v>
      </c>
    </row>
    <row r="153" spans="1:5" ht="15" customHeight="1" x14ac:dyDescent="0.25">
      <c r="A153" s="4">
        <v>210</v>
      </c>
      <c r="B153" s="4" t="str">
        <f t="shared" si="4"/>
        <v>DIO210</v>
      </c>
      <c r="C153" s="4" t="s">
        <v>467</v>
      </c>
      <c r="D153" s="4">
        <v>0</v>
      </c>
      <c r="E153" s="9" t="str">
        <f t="shared" si="3"/>
        <v>#define TX2 210
#define DIO210 210</v>
      </c>
    </row>
    <row r="154" spans="1:5" ht="15" customHeight="1" x14ac:dyDescent="0.25">
      <c r="A154" s="4">
        <v>211</v>
      </c>
      <c r="B154" s="4" t="str">
        <f t="shared" si="4"/>
        <v>DIO211</v>
      </c>
      <c r="C154" s="4" t="s">
        <v>468</v>
      </c>
      <c r="D154" s="4">
        <v>1</v>
      </c>
      <c r="E154" s="9" t="str">
        <f t="shared" si="3"/>
        <v>#define RX2 211
#define DIO211 211</v>
      </c>
    </row>
    <row r="155" spans="1:5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9" t="str">
        <f t="shared" ref="E155:E158" si="5">"#define "&amp;C155&amp;" "&amp;A155&amp;"
#define "&amp;B155&amp;" "&amp;A155&amp;""</f>
        <v>#define SPI2_CLK 212
#define DIO212 212</v>
      </c>
    </row>
    <row r="156" spans="1:5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9" t="str">
        <f t="shared" si="5"/>
        <v>#define SPI2_SDI 213
#define DIO213 213</v>
      </c>
    </row>
    <row r="157" spans="1:5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9" t="str">
        <f t="shared" si="5"/>
        <v>#define SPI2_SDO 214
#define DIO214 214</v>
      </c>
    </row>
    <row r="158" spans="1:5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9" t="str">
        <f t="shared" si="5"/>
        <v>#define SPI2_CS 215
#define DIO215 215</v>
      </c>
    </row>
  </sheetData>
  <mergeCells count="1">
    <mergeCell ref="A1:C1"/>
  </mergeCells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BFE7-908F-4410-B5FC-2F79A408E856}">
  <dimension ref="A1:B16"/>
  <sheetViews>
    <sheetView workbookViewId="0">
      <selection activeCell="C27" sqref="C27"/>
    </sheetView>
  </sheetViews>
  <sheetFormatPr defaultRowHeight="15" x14ac:dyDescent="0.25"/>
  <sheetData>
    <row r="1" spans="1:2" x14ac:dyDescent="0.25">
      <c r="A1">
        <v>1</v>
      </c>
      <c r="B1" t="str">
        <f>"#if (TOOL_COUNT &gt;= "&amp;A1&amp;")
#define TOOL"&amp;A1&amp;" spindle_pwm
#endif"</f>
        <v>#if (TOOL_COUNT &gt;= 1)
#define TOOL1 spindle_pwm
#endif</v>
      </c>
    </row>
    <row r="2" spans="1:2" x14ac:dyDescent="0.25">
      <c r="A2">
        <v>2</v>
      </c>
      <c r="B2" t="str">
        <f t="shared" ref="B2:B16" si="0">"#if (TOOL_COUNT &gt;= "&amp;A2&amp;")
#define TOOL"&amp;A2&amp;" spindle_pwm
#endif"</f>
        <v>#if (TOOL_COUNT &gt;= 2)
#define TOOL2 spindle_pwm
#endif</v>
      </c>
    </row>
    <row r="3" spans="1:2" x14ac:dyDescent="0.25">
      <c r="A3">
        <v>3</v>
      </c>
      <c r="B3" t="str">
        <f t="shared" si="0"/>
        <v>#if (TOOL_COUNT &gt;= 3)
#define TOOL3 spindle_pwm
#endif</v>
      </c>
    </row>
    <row r="4" spans="1:2" x14ac:dyDescent="0.25">
      <c r="A4">
        <v>4</v>
      </c>
      <c r="B4" t="str">
        <f t="shared" si="0"/>
        <v>#if (TOOL_COUNT &gt;= 4)
#define TOOL4 spindle_pwm
#endif</v>
      </c>
    </row>
    <row r="5" spans="1:2" x14ac:dyDescent="0.25">
      <c r="A5">
        <v>5</v>
      </c>
      <c r="B5" t="str">
        <f t="shared" si="0"/>
        <v>#if (TOOL_COUNT &gt;= 5)
#define TOOL5 spindle_pwm
#endif</v>
      </c>
    </row>
    <row r="6" spans="1:2" x14ac:dyDescent="0.25">
      <c r="A6">
        <v>6</v>
      </c>
      <c r="B6" t="str">
        <f t="shared" si="0"/>
        <v>#if (TOOL_COUNT &gt;= 6)
#define TOOL6 spindle_pwm
#endif</v>
      </c>
    </row>
    <row r="7" spans="1:2" x14ac:dyDescent="0.25">
      <c r="A7">
        <v>7</v>
      </c>
      <c r="B7" t="str">
        <f t="shared" si="0"/>
        <v>#if (TOOL_COUNT &gt;= 7)
#define TOOL7 spindle_pwm
#endif</v>
      </c>
    </row>
    <row r="8" spans="1:2" x14ac:dyDescent="0.25">
      <c r="A8">
        <v>8</v>
      </c>
      <c r="B8" t="str">
        <f t="shared" si="0"/>
        <v>#if (TOOL_COUNT &gt;= 8)
#define TOOL8 spindle_pwm
#endif</v>
      </c>
    </row>
    <row r="9" spans="1:2" x14ac:dyDescent="0.25">
      <c r="A9">
        <v>9</v>
      </c>
      <c r="B9" t="str">
        <f t="shared" si="0"/>
        <v>#if (TOOL_COUNT &gt;= 9)
#define TOOL9 spindle_pwm
#endif</v>
      </c>
    </row>
    <row r="10" spans="1:2" x14ac:dyDescent="0.25">
      <c r="A10">
        <v>10</v>
      </c>
      <c r="B10" t="str">
        <f t="shared" si="0"/>
        <v>#if (TOOL_COUNT &gt;= 10)
#define TOOL10 spindle_pwm
#endif</v>
      </c>
    </row>
    <row r="11" spans="1:2" x14ac:dyDescent="0.25">
      <c r="A11">
        <v>11</v>
      </c>
      <c r="B11" t="str">
        <f t="shared" si="0"/>
        <v>#if (TOOL_COUNT &gt;= 11)
#define TOOL11 spindle_pwm
#endif</v>
      </c>
    </row>
    <row r="12" spans="1:2" x14ac:dyDescent="0.25">
      <c r="A12">
        <v>12</v>
      </c>
      <c r="B12" t="str">
        <f t="shared" si="0"/>
        <v>#if (TOOL_COUNT &gt;= 12)
#define TOOL12 spindle_pwm
#endif</v>
      </c>
    </row>
    <row r="13" spans="1:2" x14ac:dyDescent="0.25">
      <c r="A13">
        <v>13</v>
      </c>
      <c r="B13" t="str">
        <f t="shared" si="0"/>
        <v>#if (TOOL_COUNT &gt;= 13)
#define TOOL13 spindle_pwm
#endif</v>
      </c>
    </row>
    <row r="14" spans="1:2" x14ac:dyDescent="0.25">
      <c r="A14">
        <v>14</v>
      </c>
      <c r="B14" t="str">
        <f t="shared" si="0"/>
        <v>#if (TOOL_COUNT &gt;= 14)
#define TOOL14 spindle_pwm
#endif</v>
      </c>
    </row>
    <row r="15" spans="1:2" x14ac:dyDescent="0.25">
      <c r="A15">
        <v>15</v>
      </c>
      <c r="B15" t="str">
        <f t="shared" si="0"/>
        <v>#if (TOOL_COUNT &gt;= 15)
#define TOOL15 spindle_pwm
#endif</v>
      </c>
    </row>
    <row r="16" spans="1:2" x14ac:dyDescent="0.25">
      <c r="A16">
        <v>16</v>
      </c>
      <c r="B16" t="str">
        <f t="shared" si="0"/>
        <v>#if (TOOL_COUNT &gt;= 16)
#define TOOL16 spindle_pwm
#endif</v>
      </c>
    </row>
  </sheetData>
  <pageMargins left="0.7" right="0.7" top="0.75" bottom="0.75" header="0.3" footer="0.3"/>
  <pageSetup orientation="portrait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68"/>
  <sheetViews>
    <sheetView topLeftCell="A119" workbookViewId="0">
      <selection activeCell="F99" sqref="F99:F136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14" width="22.140625" customWidth="1"/>
    <col min="15" max="15" width="6.28515625" customWidth="1"/>
    <col min="16" max="16" width="2.28515625" customWidth="1"/>
    <col min="17" max="26" width="22.140625" customWidth="1"/>
  </cols>
  <sheetData>
    <row r="1" spans="1:17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7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  <c r="O2" s="3">
        <v>0</v>
      </c>
      <c r="P2" s="3" t="s">
        <v>119</v>
      </c>
      <c r="Q2" s="3" t="str">
        <f t="shared" ref="Q2:Q13" si="0">"#ifdef TCCR"&amp;O2&amp;P2&amp;"
TCCR"&amp;O2&amp;P2&amp;"=0;
#endif"</f>
        <v>#ifdef TCCR0A
TCCR0A=0;
#endif</v>
      </c>
    </row>
    <row r="3" spans="1:17" ht="15.75" customHeight="1" x14ac:dyDescent="0.25">
      <c r="A3" s="4">
        <v>1</v>
      </c>
      <c r="B3" s="4" t="str">
        <f t="shared" ref="B3:B183" si="1">"DIO"&amp;A3</f>
        <v>DIO1</v>
      </c>
      <c r="C3" s="4" t="s">
        <v>7</v>
      </c>
      <c r="D3" s="4">
        <v>0</v>
      </c>
      <c r="E3" s="9" t="str">
        <f t="shared" ref="E3:E180" si="2">"#if(defined("&amp;C3&amp;"_PORT) &amp;&amp; defined("&amp;C3&amp;"_BIT))
#define "&amp;B3&amp;" "&amp;A3&amp;"
#define "&amp;C3&amp;" "&amp;A3&amp;"
#define "&amp;B3&amp;"_PORT ("&amp;C3&amp;"_PORT)
#define "&amp;B3&amp;"_BIT ("&amp;C3&amp;"_BIT)
#define "&amp;C3&amp;"_OUTREG (__outreg__("&amp;C3&amp;"_PORT))
#define "&amp;C3&amp;"_INREG (__inreg__("&amp;C3&amp;"_PORT))
#define "&amp;C3&amp;"_DIRREG (__dirreg__("&amp;C3&amp;"_PORT))
#define "&amp;B3&amp;"_OUTREG (__outreg__("&amp;C3&amp;"_PORT))
#define "&amp;B3&amp;"_INREG (__inreg__("&amp;C3&amp;"_PORT))
#define "&amp;B3&amp;"_DIRREG (__dirreg__("&amp;C3&amp;"_PORT))
#endif"</f>
        <v>#if(defined(STEP0_PORT) &amp;&amp; defined(STEP0_BIT))
#define DIO1 1
#define STEP0 1
#define DIO1_PORT (STEP0_PORT)
#define DIO1_BIT (STEP0_BIT)
#define STEP0_OUTREG (__outreg__(STEP0_PORT))
#define STEP0_INREG (__inreg__(STEP0_PORT))
#define STEP0_DIRREG (__dirreg__(STEP0_PORT))
#define DIO1_OUTREG (__outreg__(STEP0_PORT))
#define DIO1_INREG (__inreg__(STEP0_PORT))
#define DIO1_DIRREG (__dirreg__(STEP0_PORT))
#endif</v>
      </c>
      <c r="F3" s="9"/>
      <c r="G3" s="9"/>
      <c r="H3" s="9"/>
      <c r="I3" s="4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  <c r="O3" s="3">
        <v>0</v>
      </c>
      <c r="P3" s="3" t="s">
        <v>120</v>
      </c>
      <c r="Q3" s="3" t="str">
        <f t="shared" si="0"/>
        <v>#ifdef TCCR0B
TCCR0B=0;
#endif</v>
      </c>
    </row>
    <row r="4" spans="1:17" ht="15" customHeight="1" x14ac:dyDescent="0.25">
      <c r="A4" s="4">
        <v>2</v>
      </c>
      <c r="B4" s="4" t="str">
        <f t="shared" si="1"/>
        <v>DIO2</v>
      </c>
      <c r="C4" s="4" t="s">
        <v>8</v>
      </c>
      <c r="D4" s="4">
        <v>1</v>
      </c>
      <c r="E4" s="9" t="str">
        <f t="shared" si="2"/>
        <v>#if(defined(STEP1_PORT) &amp;&amp; defined(STEP1_BIT))
#define DIO2 2
#define STEP1 2
#define DIO2_PORT (STEP1_PORT)
#define DIO2_BIT (STEP1_BIT)
#define STEP1_OUTREG (__outreg__(STEP1_PORT))
#define STEP1_INREG (__inreg__(STEP1_PORT))
#define STEP1_DIRREG (__dirreg__(STEP1_PORT))
#define DIO2_OUTREG (__outreg__(STEP1_PORT))
#define DIO2_INREG (__inreg__(STEP1_PORT))
#define DIO2_DIRREG (__dirreg__(STEP1_PORT))
#endif</v>
      </c>
      <c r="F4" s="9"/>
      <c r="G4" s="9"/>
      <c r="H4" s="9"/>
      <c r="I4" s="4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ref="M4:M10" si="4">"#if(PCINT"&amp;K4&amp;"_MASK=="&amp;L4&amp;")
ISR(INT"&amp;J4&amp;"_vect, ISR_BLOCK) // input pin on change service routine
{
#if(PCINT"&amp;K4&amp;"_LIMITS_MASK=="&amp;L4&amp;")
    io_limits_isr();
#endif
#if(PCINT"&amp;K4&amp;"_CONTROLS_MASK=="&amp;L4&amp;")
    io_controls_isr();
#endif
#if(PROBE_ISR"&amp;K4&amp;"=="&amp;L4&amp;")
    io_probe_isr();
#endif
}
#endif"</f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  <c r="O4" s="3">
        <v>1</v>
      </c>
      <c r="P4" s="3" t="s">
        <v>119</v>
      </c>
      <c r="Q4" s="3" t="str">
        <f t="shared" si="0"/>
        <v>#ifdef TCCR1A
TCCR1A=0;
#endif</v>
      </c>
    </row>
    <row r="5" spans="1:17" ht="15" customHeight="1" x14ac:dyDescent="0.25">
      <c r="A5" s="4">
        <v>3</v>
      </c>
      <c r="B5" s="4" t="str">
        <f t="shared" si="1"/>
        <v>DIO3</v>
      </c>
      <c r="C5" s="4" t="s">
        <v>9</v>
      </c>
      <c r="D5" s="4">
        <v>2</v>
      </c>
      <c r="E5" s="9" t="str">
        <f t="shared" si="2"/>
        <v>#if(defined(STEP2_PORT) &amp;&amp; defined(STEP2_BIT))
#define DIO3 3
#define STEP2 3
#define DIO3_PORT (STEP2_PORT)
#define DIO3_BIT (STEP2_BIT)
#define STEP2_OUTREG (__outreg__(STEP2_PORT))
#define STEP2_INREG (__inreg__(STEP2_PORT))
#define STEP2_DIRREG (__dirreg__(STEP2_PORT))
#define DIO3_OUTREG (__outreg__(STEP2_PORT))
#define DIO3_INREG (__inreg__(STEP2_PORT))
#define DIO3_DIRREG (__dirreg__(STEP2_PORT))
#endif</v>
      </c>
      <c r="F5" s="9"/>
      <c r="G5" s="9"/>
      <c r="H5" s="9"/>
      <c r="I5" s="4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4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  <c r="O5" s="3">
        <v>1</v>
      </c>
      <c r="P5" s="3" t="s">
        <v>120</v>
      </c>
      <c r="Q5" s="3" t="str">
        <f t="shared" si="0"/>
        <v>#ifdef TCCR1B
TCCR1B=0;
#endif</v>
      </c>
    </row>
    <row r="6" spans="1:17" ht="15" customHeight="1" x14ac:dyDescent="0.25">
      <c r="A6" s="4">
        <v>4</v>
      </c>
      <c r="B6" s="4" t="str">
        <f t="shared" si="1"/>
        <v>DIO4</v>
      </c>
      <c r="C6" s="4" t="s">
        <v>10</v>
      </c>
      <c r="D6" s="4">
        <v>3</v>
      </c>
      <c r="E6" s="9" t="str">
        <f t="shared" si="2"/>
        <v>#if(defined(STEP3_PORT) &amp;&amp; defined(STEP3_BIT))
#define DIO4 4
#define STEP3 4
#define DIO4_PORT (STEP3_PORT)
#define DIO4_BIT (STEP3_BIT)
#define STEP3_OUTREG (__outreg__(STEP3_PORT))
#define STEP3_INREG (__inreg__(STEP3_PORT))
#define STEP3_DIRREG (__dirreg__(STEP3_PORT))
#define DIO4_OUTREG (__outreg__(STEP3_PORT))
#define DIO4_INREG (__inreg__(STEP3_PORT))
#define DIO4_DIRREG (__dirreg__(STEP3_PORT))
#endif</v>
      </c>
      <c r="F6" s="9"/>
      <c r="G6" s="9"/>
      <c r="H6" s="9"/>
      <c r="I6" s="4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4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  <c r="O6" s="3">
        <v>2</v>
      </c>
      <c r="P6" s="3" t="s">
        <v>119</v>
      </c>
      <c r="Q6" s="3" t="str">
        <f t="shared" si="0"/>
        <v>#ifdef TCCR2A
TCCR2A=0;
#endif</v>
      </c>
    </row>
    <row r="7" spans="1:17" ht="15" customHeight="1" x14ac:dyDescent="0.25">
      <c r="A7" s="4">
        <v>5</v>
      </c>
      <c r="B7" s="4" t="str">
        <f t="shared" si="1"/>
        <v>DIO5</v>
      </c>
      <c r="C7" s="4" t="s">
        <v>11</v>
      </c>
      <c r="D7" s="4">
        <v>4</v>
      </c>
      <c r="E7" s="9" t="str">
        <f t="shared" si="2"/>
        <v>#if(defined(STEP4_PORT) &amp;&amp; defined(STEP4_BIT))
#define DIO5 5
#define STEP4 5
#define DIO5_PORT (STEP4_PORT)
#define DIO5_BIT (STEP4_BIT)
#define STEP4_OUTREG (__outreg__(STEP4_PORT))
#define STEP4_INREG (__inreg__(STEP4_PORT))
#define STEP4_DIRREG (__dirreg__(STEP4_PORT))
#define DIO5_OUTREG (__outreg__(STEP4_PORT))
#define DIO5_INREG (__inreg__(STEP4_PORT))
#define DIO5_DIRREG (__dirreg__(STEP4_PORT))
#endif</v>
      </c>
      <c r="F7" s="9"/>
      <c r="G7" s="9"/>
      <c r="H7" s="9"/>
      <c r="I7" s="4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4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  <c r="O7" s="3">
        <v>2</v>
      </c>
      <c r="P7" s="3" t="s">
        <v>120</v>
      </c>
      <c r="Q7" s="3" t="str">
        <f t="shared" si="0"/>
        <v>#ifdef TCCR2B
TCCR2B=0;
#endif</v>
      </c>
    </row>
    <row r="8" spans="1:17" ht="15" customHeight="1" x14ac:dyDescent="0.25">
      <c r="A8" s="4">
        <v>6</v>
      </c>
      <c r="B8" s="4" t="str">
        <f t="shared" si="1"/>
        <v>DIO6</v>
      </c>
      <c r="C8" s="4" t="s">
        <v>12</v>
      </c>
      <c r="D8" s="4">
        <v>5</v>
      </c>
      <c r="E8" s="9" t="str">
        <f t="shared" si="2"/>
        <v>#if(defined(STEP5_PORT) &amp;&amp; defined(STEP5_BIT))
#define DIO6 6
#define STEP5 6
#define DIO6_PORT (STEP5_PORT)
#define DIO6_BIT (STEP5_BIT)
#define STEP5_OUTREG (__outreg__(STEP5_PORT))
#define STEP5_INREG (__inreg__(STEP5_PORT))
#define STEP5_DIRREG (__dirreg__(STEP5_PORT))
#define DIO6_OUTREG (__outreg__(STEP5_PORT))
#define DIO6_INREG (__inreg__(STEP5_PORT))
#define DIO6_DIRREG (__dirreg__(STEP5_PORT))
#endif</v>
      </c>
      <c r="F8" s="9"/>
      <c r="G8" s="9"/>
      <c r="H8" s="9"/>
      <c r="I8" s="4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4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  <c r="O8" s="3">
        <v>3</v>
      </c>
      <c r="P8" s="3" t="s">
        <v>119</v>
      </c>
      <c r="Q8" s="3" t="str">
        <f t="shared" si="0"/>
        <v>#ifdef TCCR3A
TCCR3A=0;
#endif</v>
      </c>
    </row>
    <row r="9" spans="1:17" ht="15" customHeight="1" x14ac:dyDescent="0.25">
      <c r="A9" s="4">
        <v>7</v>
      </c>
      <c r="B9" s="4" t="str">
        <f t="shared" si="1"/>
        <v>DIO7</v>
      </c>
      <c r="C9" s="4" t="s">
        <v>13</v>
      </c>
      <c r="D9" s="4">
        <v>6</v>
      </c>
      <c r="E9" s="9" t="str">
        <f t="shared" si="2"/>
        <v>#if(defined(STEP6_PORT) &amp;&amp; defined(STEP6_BIT))
#define DIO7 7
#define STEP6 7
#define DIO7_PORT (STEP6_PORT)
#define DIO7_BIT (STEP6_BIT)
#define STEP6_OUTREG (__outreg__(STEP6_PORT))
#define STEP6_INREG (__inreg__(STEP6_PORT))
#define STEP6_DIRREG (__dirreg__(STEP6_PORT))
#define DIO7_OUTREG (__outreg__(STEP6_PORT))
#define DIO7_INREG (__inreg__(STEP6_PORT))
#define DIO7_DIRREG (__dirreg__(STEP6_PORT))
#endif</v>
      </c>
      <c r="F9" s="9"/>
      <c r="G9" s="9"/>
      <c r="H9" s="9"/>
      <c r="I9" s="4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4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  <c r="O9" s="3">
        <v>3</v>
      </c>
      <c r="P9" s="3" t="s">
        <v>120</v>
      </c>
      <c r="Q9" s="3" t="str">
        <f t="shared" si="0"/>
        <v>#ifdef TCCR3B
TCCR3B=0;
#endif</v>
      </c>
    </row>
    <row r="10" spans="1:17" ht="15" customHeight="1" x14ac:dyDescent="0.25">
      <c r="A10" s="4">
        <v>8</v>
      </c>
      <c r="B10" s="4" t="str">
        <f t="shared" si="1"/>
        <v>DIO8</v>
      </c>
      <c r="C10" s="4" t="s">
        <v>14</v>
      </c>
      <c r="D10" s="4">
        <v>7</v>
      </c>
      <c r="E10" s="9" t="str">
        <f t="shared" si="2"/>
        <v>#if(defined(STEP7_PORT) &amp;&amp; defined(STEP7_BIT))
#define DIO8 8
#define STEP7 8
#define DIO8_PORT (STEP7_PORT)
#define DIO8_BIT (STEP7_BIT)
#define STEP7_OUTREG (__outreg__(STEP7_PORT))
#define STEP7_INREG (__inreg__(STEP7_PORT))
#define STEP7_DIRREG (__dirreg__(STEP7_PORT))
#define DIO8_OUTREG (__outreg__(STEP7_PORT))
#define DIO8_INREG (__inreg__(STEP7_PORT))
#define DIO8_DIRREG (__dirreg__(STEP7_PORT))
#endif</v>
      </c>
      <c r="F10" s="9"/>
      <c r="G10" s="9"/>
      <c r="H10" s="9"/>
      <c r="I10" s="4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4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  <c r="O10" s="3">
        <v>4</v>
      </c>
      <c r="P10" s="3" t="s">
        <v>119</v>
      </c>
      <c r="Q10" s="3" t="str">
        <f t="shared" si="0"/>
        <v>#ifdef TCCR4A
TCCR4A=0;
#endif</v>
      </c>
    </row>
    <row r="11" spans="1:17" ht="15" customHeight="1" x14ac:dyDescent="0.25">
      <c r="A11" s="4">
        <v>9</v>
      </c>
      <c r="B11" s="4" t="str">
        <f t="shared" si="1"/>
        <v>DIO9</v>
      </c>
      <c r="C11" s="4" t="s">
        <v>15</v>
      </c>
      <c r="D11" s="4">
        <v>0</v>
      </c>
      <c r="E11" s="9" t="str">
        <f t="shared" si="2"/>
        <v>#if(defined(DIR0_PORT) &amp;&amp; defined(DIR0_BIT))
#define DIO9 9
#define DIR0 9
#define DIO9_PORT (DIR0_PORT)
#define DIO9_BIT (DIR0_BIT)
#define DIR0_OUTREG (__outreg__(DIR0_PORT))
#define DIR0_INREG (__inreg__(DIR0_PORT))
#define DIR0_DIRREG (__dirreg__(DIR0_PORT))
#define DIO9_OUTREG (__outreg__(DIR0_PORT))
#define DIO9_INREG (__inreg__(DIR0_PORT))
#define DIO9_DIRREG (__dirreg__(DIR0_PORT))
#endif</v>
      </c>
      <c r="F11" s="9"/>
      <c r="G11" s="9"/>
      <c r="H11" s="9"/>
      <c r="I11" s="4" t="str">
        <f t="shared" si="3"/>
        <v>#if !(DIR0&lt;0)
mcu_config_output(DIR0);
#endif</v>
      </c>
      <c r="J11" s="10"/>
      <c r="K11" s="10"/>
      <c r="L11" s="10"/>
      <c r="M11" s="10"/>
      <c r="O11" s="3">
        <v>4</v>
      </c>
      <c r="P11" s="3" t="s">
        <v>120</v>
      </c>
      <c r="Q11" s="3" t="str">
        <f t="shared" si="0"/>
        <v>#ifdef TCCR4B
TCCR4B=0;
#endif</v>
      </c>
    </row>
    <row r="12" spans="1:17" ht="15" customHeight="1" x14ac:dyDescent="0.25">
      <c r="A12" s="4">
        <v>10</v>
      </c>
      <c r="B12" s="4" t="str">
        <f t="shared" si="1"/>
        <v>DIO10</v>
      </c>
      <c r="C12" s="4" t="s">
        <v>16</v>
      </c>
      <c r="D12" s="4">
        <v>1</v>
      </c>
      <c r="E12" s="9" t="str">
        <f t="shared" si="2"/>
        <v>#if(defined(DIR1_PORT) &amp;&amp; defined(DIR1_BIT))
#define DIO10 10
#define DIR1 10
#define DIO10_PORT (DIR1_PORT)
#define DIO10_BIT (DIR1_BIT)
#define DIR1_OUTREG (__outreg__(DIR1_PORT))
#define DIR1_INREG (__inreg__(DIR1_PORT))
#define DIR1_DIRREG (__dirreg__(DIR1_PORT))
#define DIO10_OUTREG (__outreg__(DIR1_PORT))
#define DIO10_INREG (__inreg__(DIR1_PORT))
#define DIO10_DIRREG (__dirreg__(DIR1_PORT))
#endif</v>
      </c>
      <c r="F12" s="9"/>
      <c r="G12" s="9"/>
      <c r="H12" s="9"/>
      <c r="I12" s="4" t="str">
        <f t="shared" si="3"/>
        <v>#if !(DIR1&lt;0)
mcu_config_output(DIR1);
#endif</v>
      </c>
      <c r="J12" s="4"/>
      <c r="K12" s="4"/>
      <c r="L12" s="4"/>
      <c r="M12" s="4"/>
      <c r="O12" s="3">
        <v>5</v>
      </c>
      <c r="P12" s="3" t="s">
        <v>119</v>
      </c>
      <c r="Q12" s="3" t="str">
        <f t="shared" si="0"/>
        <v>#ifdef TCCR5A
TCCR5A=0;
#endif</v>
      </c>
    </row>
    <row r="13" spans="1:17" ht="15" customHeight="1" x14ac:dyDescent="0.25">
      <c r="A13" s="4">
        <v>11</v>
      </c>
      <c r="B13" s="4" t="str">
        <f t="shared" si="1"/>
        <v>DIO11</v>
      </c>
      <c r="C13" s="4" t="s">
        <v>17</v>
      </c>
      <c r="D13" s="4">
        <v>2</v>
      </c>
      <c r="E13" s="9" t="str">
        <f t="shared" si="2"/>
        <v>#if(defined(DIR2_PORT) &amp;&amp; defined(DIR2_BIT))
#define DIO11 11
#define DIR2 11
#define DIO11_PORT (DIR2_PORT)
#define DIO11_BIT (DIR2_BIT)
#define DIR2_OUTREG (__outreg__(DIR2_PORT))
#define DIR2_INREG (__inreg__(DIR2_PORT))
#define DIR2_DIRREG (__dirreg__(DIR2_PORT))
#define DIO11_OUTREG (__outreg__(DIR2_PORT))
#define DIO11_INREG (__inreg__(DIR2_PORT))
#define DIO11_DIRREG (__dirreg__(DIR2_PORT))
#endif</v>
      </c>
      <c r="F13" s="9"/>
      <c r="G13" s="9"/>
      <c r="H13" s="9"/>
      <c r="I13" s="4" t="str">
        <f t="shared" si="3"/>
        <v>#if !(DIR2&lt;0)
mcu_config_output(DIR2);
#endif</v>
      </c>
      <c r="J13" s="4"/>
      <c r="K13" s="4"/>
      <c r="L13" s="4"/>
      <c r="M13" s="4"/>
      <c r="O13" s="3">
        <v>5</v>
      </c>
      <c r="P13" s="3" t="s">
        <v>120</v>
      </c>
      <c r="Q13" s="3" t="str">
        <f t="shared" si="0"/>
        <v>#ifdef TCCR5B
TCCR5B=0;
#endif</v>
      </c>
    </row>
    <row r="14" spans="1:17" ht="15" customHeight="1" x14ac:dyDescent="0.25">
      <c r="A14" s="4">
        <v>12</v>
      </c>
      <c r="B14" s="4" t="str">
        <f t="shared" si="1"/>
        <v>DIO12</v>
      </c>
      <c r="C14" s="4" t="s">
        <v>18</v>
      </c>
      <c r="D14" s="4">
        <v>3</v>
      </c>
      <c r="E14" s="9" t="str">
        <f t="shared" si="2"/>
        <v>#if(defined(DIR3_PORT) &amp;&amp; defined(DIR3_BIT))
#define DIO12 12
#define DIR3 12
#define DIO12_PORT (DIR3_PORT)
#define DIO12_BIT (DIR3_BIT)
#define DIR3_OUTREG (__outreg__(DIR3_PORT))
#define DIR3_INREG (__inreg__(DIR3_PORT))
#define DIR3_DIRREG (__dirreg__(DIR3_PORT))
#define DIO12_OUTREG (__outreg__(DIR3_PORT))
#define DIO12_INREG (__inreg__(DIR3_PORT))
#define DIO12_DIRREG (__dirreg__(DIR3_PORT))
#endif</v>
      </c>
      <c r="F14" s="9"/>
      <c r="G14" s="9"/>
      <c r="H14" s="9"/>
      <c r="I14" s="4" t="str">
        <f t="shared" si="3"/>
        <v>#if !(DIR3&lt;0)
mcu_config_output(DIR3);
#endif</v>
      </c>
      <c r="J14" s="4"/>
      <c r="K14" s="4"/>
      <c r="L14" s="4"/>
      <c r="M14" s="4"/>
    </row>
    <row r="15" spans="1:17" ht="15" customHeight="1" x14ac:dyDescent="0.25">
      <c r="A15" s="4">
        <v>13</v>
      </c>
      <c r="B15" s="4" t="str">
        <f t="shared" si="1"/>
        <v>DIO13</v>
      </c>
      <c r="C15" s="4" t="s">
        <v>19</v>
      </c>
      <c r="D15" s="4">
        <v>4</v>
      </c>
      <c r="E15" s="9" t="str">
        <f t="shared" si="2"/>
        <v>#if(defined(DIR4_PORT) &amp;&amp; defined(DIR4_BIT))
#define DIO13 13
#define DIR4 13
#define DIO13_PORT (DIR4_PORT)
#define DIO13_BIT (DIR4_BIT)
#define DIR4_OUTREG (__outreg__(DIR4_PORT))
#define DIR4_INREG (__inreg__(DIR4_PORT))
#define DIR4_DIRREG (__dirreg__(DIR4_PORT))
#define DIO13_OUTREG (__outreg__(DIR4_PORT))
#define DIO13_INREG (__inreg__(DIR4_PORT))
#define DIO13_DIRREG (__dirreg__(DIR4_PORT))
#endif</v>
      </c>
      <c r="F15" s="9"/>
      <c r="G15" s="9"/>
      <c r="H15" s="9"/>
      <c r="I15" s="4" t="str">
        <f t="shared" si="3"/>
        <v>#if !(DIR4&lt;0)
mcu_config_output(DIR4);
#endif</v>
      </c>
      <c r="J15" s="4"/>
      <c r="K15" s="4"/>
      <c r="L15" s="4"/>
      <c r="M15" s="4"/>
    </row>
    <row r="16" spans="1:17" ht="15" customHeight="1" x14ac:dyDescent="0.25">
      <c r="A16" s="4">
        <v>14</v>
      </c>
      <c r="B16" s="4" t="str">
        <f t="shared" si="1"/>
        <v>DIO14</v>
      </c>
      <c r="C16" s="4" t="s">
        <v>20</v>
      </c>
      <c r="D16" s="4">
        <v>5</v>
      </c>
      <c r="E16" s="9" t="str">
        <f t="shared" si="2"/>
        <v>#if(defined(DIR5_PORT) &amp;&amp; defined(DIR5_BIT))
#define DIO14 14
#define DIR5 14
#define DIO14_PORT (DIR5_PORT)
#define DIO14_BIT (DIR5_BIT)
#define DIR5_OUTREG (__outreg__(DIR5_PORT))
#define DIR5_INREG (__inreg__(DIR5_PORT))
#define DIR5_DIRREG (__dirreg__(DIR5_PORT))
#define DIO14_OUTREG (__outreg__(DIR5_PORT))
#define DIO14_INREG (__inreg__(DIR5_PORT))
#define DIO14_DIRREG (__dirreg__(DIR5_PORT))
#endif</v>
      </c>
      <c r="F16" s="9"/>
      <c r="G16" s="9"/>
      <c r="H16" s="9"/>
      <c r="I16" s="4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1"/>
        <v>DIO15</v>
      </c>
      <c r="C17" s="4" t="s">
        <v>228</v>
      </c>
      <c r="D17" s="4">
        <v>6</v>
      </c>
      <c r="E17" s="9" t="str">
        <f t="shared" si="2"/>
        <v>#if(defined(DIR6_PORT) &amp;&amp; defined(DIR6_BIT))
#define DIO15 15
#define DIR6 15
#define DIO15_PORT (DIR6_PORT)
#define DIO15_BIT (DIR6_BIT)
#define DIR6_OUTREG (__outreg__(DIR6_PORT))
#define DIR6_INREG (__inreg__(DIR6_PORT))
#define DIR6_DIRREG (__dirreg__(DIR6_PORT))
#define DIO15_OUTREG (__outreg__(DIR6_PORT))
#define DIO15_INREG (__inreg__(DIR6_PORT))
#define DIO15_DIRREG (__dirreg__(DIR6_PORT))
#endif</v>
      </c>
      <c r="F17" s="9"/>
      <c r="G17" s="9"/>
      <c r="H17" s="9"/>
      <c r="I17" s="4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1"/>
        <v>DIO16</v>
      </c>
      <c r="C18" s="4" t="s">
        <v>229</v>
      </c>
      <c r="D18" s="4">
        <v>7</v>
      </c>
      <c r="E18" s="9" t="str">
        <f t="shared" si="2"/>
        <v>#if(defined(DIR7_PORT) &amp;&amp; defined(DIR7_BIT))
#define DIO16 16
#define DIR7 16
#define DIO16_PORT (DIR7_PORT)
#define DIO16_BIT (DIR7_BIT)
#define DIR7_OUTREG (__outreg__(DIR7_PORT))
#define DIR7_INREG (__inreg__(DIR7_PORT))
#define DIR7_DIRREG (__dirreg__(DIR7_PORT))
#define DIO16_OUTREG (__outreg__(DIR7_PORT))
#define DIO16_INREG (__inreg__(DIR7_PORT))
#define DIO16_DIRREG (__dirreg__(DIR7_PORT))
#endif</v>
      </c>
      <c r="F18" s="9"/>
      <c r="G18" s="9"/>
      <c r="H18" s="9"/>
      <c r="I18" s="4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1"/>
        <v>DIO17</v>
      </c>
      <c r="C19" s="4" t="s">
        <v>21</v>
      </c>
      <c r="D19" s="4">
        <v>0</v>
      </c>
      <c r="E19" s="9" t="str">
        <f t="shared" si="2"/>
        <v>#if(defined(STEP0_EN_PORT) &amp;&amp; defined(STEP0_EN_BIT))
#define DIO17 17
#define STEP0_EN 17
#define DIO17_PORT (STEP0_EN_PORT)
#define DIO17_BIT (STEP0_EN_BIT)
#define STEP0_EN_OUTREG (__outreg__(STEP0_EN_PORT))
#define STEP0_EN_INREG (__inreg__(STEP0_EN_PORT))
#define STEP0_EN_DIRREG (__dirreg__(STEP0_EN_PORT))
#define DIO17_OUTREG (__outreg__(STEP0_EN_PORT))
#define DIO17_INREG (__inreg__(STEP0_EN_PORT))
#define DIO17_DIRREG (__dirreg__(STEP0_EN_PORT))
#endif</v>
      </c>
      <c r="F19" s="9"/>
      <c r="G19" s="9"/>
      <c r="H19" s="10"/>
      <c r="I19" s="4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1"/>
        <v>DIO18</v>
      </c>
      <c r="C20" s="4" t="s">
        <v>22</v>
      </c>
      <c r="D20" s="4">
        <v>1</v>
      </c>
      <c r="E20" s="9" t="str">
        <f t="shared" si="2"/>
        <v>#if(defined(STEP1_EN_PORT) &amp;&amp; defined(STEP1_EN_BIT))
#define DIO18 18
#define STEP1_EN 18
#define DIO18_PORT (STEP1_EN_PORT)
#define DIO18_BIT (STEP1_EN_BIT)
#define STEP1_EN_OUTREG (__outreg__(STEP1_EN_PORT))
#define STEP1_EN_INREG (__inreg__(STEP1_EN_PORT))
#define STEP1_EN_DIRREG (__dirreg__(STEP1_EN_PORT))
#define DIO18_OUTREG (__outreg__(STEP1_EN_PORT))
#define DIO18_INREG (__inreg__(STEP1_EN_PORT))
#define DIO18_DIRREG (__dirreg__(STEP1_EN_PORT))
#endif</v>
      </c>
      <c r="F20" s="9"/>
      <c r="G20" s="9"/>
      <c r="H20" s="9"/>
      <c r="I20" s="4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1"/>
        <v>DIO19</v>
      </c>
      <c r="C21" s="4" t="s">
        <v>23</v>
      </c>
      <c r="D21" s="4">
        <v>2</v>
      </c>
      <c r="E21" s="9" t="str">
        <f t="shared" si="2"/>
        <v>#if(defined(STEP2_EN_PORT) &amp;&amp; defined(STEP2_EN_BIT))
#define DIO19 19
#define STEP2_EN 19
#define DIO19_PORT (STEP2_EN_PORT)
#define DIO19_BIT (STEP2_EN_BIT)
#define STEP2_EN_OUTREG (__outreg__(STEP2_EN_PORT))
#define STEP2_EN_INREG (__inreg__(STEP2_EN_PORT))
#define STEP2_EN_DIRREG (__dirreg__(STEP2_EN_PORT))
#define DIO19_OUTREG (__outreg__(STEP2_EN_PORT))
#define DIO19_INREG (__inreg__(STEP2_EN_PORT))
#define DIO19_DIRREG (__dirreg__(STEP2_EN_PORT))
#endif</v>
      </c>
      <c r="F21" s="9"/>
      <c r="G21" s="9"/>
      <c r="H21" s="9"/>
      <c r="I21" s="4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1"/>
        <v>DIO20</v>
      </c>
      <c r="C22" s="4" t="s">
        <v>24</v>
      </c>
      <c r="D22" s="4">
        <v>3</v>
      </c>
      <c r="E22" s="9" t="str">
        <f t="shared" si="2"/>
        <v>#if(defined(STEP3_EN_PORT) &amp;&amp; defined(STEP3_EN_BIT))
#define DIO20 20
#define STEP3_EN 20
#define DIO20_PORT (STEP3_EN_PORT)
#define DIO20_BIT (STEP3_EN_BIT)
#define STEP3_EN_OUTREG (__outreg__(STEP3_EN_PORT))
#define STEP3_EN_INREG (__inreg__(STEP3_EN_PORT))
#define STEP3_EN_DIRREG (__dirreg__(STEP3_EN_PORT))
#define DIO20_OUTREG (__outreg__(STEP3_EN_PORT))
#define DIO20_INREG (__inreg__(STEP3_EN_PORT))
#define DIO20_DIRREG (__dirreg__(STEP3_EN_PORT))
#endif</v>
      </c>
      <c r="F22" s="9"/>
      <c r="G22" s="9"/>
      <c r="H22" s="9"/>
      <c r="I22" s="4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1"/>
        <v>DIO21</v>
      </c>
      <c r="C23" s="4" t="s">
        <v>25</v>
      </c>
      <c r="D23" s="4">
        <v>4</v>
      </c>
      <c r="E23" s="9" t="str">
        <f t="shared" si="2"/>
        <v>#if(defined(STEP4_EN_PORT) &amp;&amp; defined(STEP4_EN_BIT))
#define DIO21 21
#define STEP4_EN 21
#define DIO21_PORT (STEP4_EN_PORT)
#define DIO21_BIT (STEP4_EN_BIT)
#define STEP4_EN_OUTREG (__outreg__(STEP4_EN_PORT))
#define STEP4_EN_INREG (__inreg__(STEP4_EN_PORT))
#define STEP4_EN_DIRREG (__dirreg__(STEP4_EN_PORT))
#define DIO21_OUTREG (__outreg__(STEP4_EN_PORT))
#define DIO21_INREG (__inreg__(STEP4_EN_PORT))
#define DIO21_DIRREG (__dirreg__(STEP4_EN_PORT))
#endif</v>
      </c>
      <c r="F23" s="9"/>
      <c r="G23" s="9"/>
      <c r="H23" s="9"/>
      <c r="I23" s="4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1"/>
        <v>DIO22</v>
      </c>
      <c r="C24" s="4" t="s">
        <v>26</v>
      </c>
      <c r="D24" s="4">
        <v>5</v>
      </c>
      <c r="E24" s="9" t="str">
        <f t="shared" si="2"/>
        <v>#if(defined(STEP5_EN_PORT) &amp;&amp; defined(STEP5_EN_BIT))
#define DIO22 22
#define STEP5_EN 22
#define DIO22_PORT (STEP5_EN_PORT)
#define DIO22_BIT (STEP5_EN_BIT)
#define STEP5_EN_OUTREG (__outreg__(STEP5_EN_PORT))
#define STEP5_EN_INREG (__inreg__(STEP5_EN_PORT))
#define STEP5_EN_DIRREG (__dirreg__(STEP5_EN_PORT))
#define DIO22_OUTREG (__outreg__(STEP5_EN_PORT))
#define DIO22_INREG (__inreg__(STEP5_EN_PORT))
#define DIO22_DIRREG (__dirreg__(STEP5_EN_PORT))
#endif</v>
      </c>
      <c r="F24" s="9"/>
      <c r="G24" s="9"/>
      <c r="I24" s="4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1"/>
        <v>DIO23</v>
      </c>
      <c r="C25" s="4" t="s">
        <v>226</v>
      </c>
      <c r="D25" s="4">
        <v>6</v>
      </c>
      <c r="E25" s="9" t="str">
        <f t="shared" si="2"/>
        <v>#if(defined(STEP6_EN_PORT) &amp;&amp; defined(STEP6_EN_BIT))
#define DIO23 23
#define STEP6_EN 23
#define DIO23_PORT (STEP6_EN_PORT)
#define DIO23_BIT (STEP6_EN_BIT)
#define STEP6_EN_OUTREG (__outreg__(STEP6_EN_PORT))
#define STEP6_EN_INREG (__inreg__(STEP6_EN_PORT))
#define STEP6_EN_DIRREG (__dirreg__(STEP6_EN_PORT))
#define DIO23_OUTREG (__outreg__(STEP6_EN_PORT))
#define DIO23_INREG (__inreg__(STEP6_EN_PORT))
#define DIO23_DIRREG (__dirreg__(STEP6_EN_PORT))
#endif</v>
      </c>
      <c r="F25" s="9"/>
      <c r="G25" s="9"/>
      <c r="I25" s="4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1"/>
        <v>DIO24</v>
      </c>
      <c r="C26" s="4" t="s">
        <v>227</v>
      </c>
      <c r="D26" s="4">
        <v>7</v>
      </c>
      <c r="E26" s="9" t="str">
        <f t="shared" si="2"/>
        <v>#if(defined(STEP7_EN_PORT) &amp;&amp; defined(STEP7_EN_BIT))
#define DIO24 24
#define STEP7_EN 24
#define DIO24_PORT (STEP7_EN_PORT)
#define DIO24_BIT (STEP7_EN_BIT)
#define STEP7_EN_OUTREG (__outreg__(STEP7_EN_PORT))
#define STEP7_EN_INREG (__inreg__(STEP7_EN_PORT))
#define STEP7_EN_DIRREG (__dirreg__(STEP7_EN_PORT))
#define DIO24_OUTREG (__outreg__(STEP7_EN_PORT))
#define DIO24_INREG (__inreg__(STEP7_EN_PORT))
#define DIO24_DIRREG (__dirreg__(STEP7_EN_PORT))
#endif</v>
      </c>
      <c r="F26" s="9"/>
      <c r="G26" s="9"/>
      <c r="H26" s="11" t="s">
        <v>121</v>
      </c>
      <c r="I26" s="4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1"/>
        <v>DIO25</v>
      </c>
      <c r="C27" s="4" t="s">
        <v>27</v>
      </c>
      <c r="D27" s="4">
        <v>0</v>
      </c>
      <c r="E27" s="9" t="str">
        <f t="shared" si="2"/>
        <v>#if(defined(PWM0_PORT) &amp;&amp; defined(PWM0_BIT))
#define DIO25 25
#define PWM0 25
#define DIO25_PORT (PWM0_PORT)
#define DIO25_BIT (PWM0_BIT)
#define PWM0_OUTREG (__outreg__(PWM0_PORT))
#define PWM0_INREG (__inreg__(PWM0_PORT))
#define PWM0_DIRREG (__dirreg__(PWM0_PORT))
#define DIO25_OUTREG (__outreg__(PWM0_PORT))
#define DIO25_INREG (__inreg__(PWM0_PORT))
#define DIO25_DIRREG (__dirreg__(PWM0_PORT))
#endif</v>
      </c>
      <c r="F27" s="9"/>
      <c r="G27" s="9"/>
      <c r="H27" s="9" t="str">
        <f t="shared" ref="H27:H42" si="5">"#if (defined("&amp;C27&amp;"_CHANNEL) &amp;&amp; defined("&amp;C27&amp;"_TIMER) &amp;&amp; defined("&amp;C27&amp;"))
#define "&amp;C27&amp;"_OCRREG (__ocrreg__("&amp;C27&amp;"_TIMER, "&amp;C27&amp;"_CHANNEL))
#define "&amp;C27&amp;"_TMRAREG (__tmrareg__("&amp;C27&amp;"_TIMER))
#define "&amp;C27&amp;"_TMRBREG (__tmrbreg__("&amp;C27&amp;"_TIMER))
#define "&amp;C27&amp;"_ENABLE_MASK __pwmenmask__("&amp;C27&amp;"_CHANNEL)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"&amp;B27&amp;"_CHANNEL "&amp;C27&amp;"_CHANNEL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(defined(PWM0_CHANNEL) &amp;&amp; defined(PWM0_TIMER) &amp;&amp; defined(PWM0))
#define PWM0_OCRREG (__ocrreg__(PWM0_TIMER, PWM0_CHANNEL))
#define PWM0_TMRAREG (__tmrareg__(PWM0_TIMER))
#define PWM0_TMRBREG (__tmrbreg__(PWM0_TIMER))
#define PWM0_ENABLE_MASK __pwmenmask__(PWM0_CHANNEL)
#if (PWM0_TIMER == 2)
#define PWM0_PRESCALLER 0x04
#elif (PWM0_TIMER == 0)
#define PWM0_PRESCALLER 0x03
#else
#define PWM0_PRESCALLER 0x0B
#endif
#if (PWM0_TIMER == 0 || PWM0_TIMER == 2)
#define PWM0_MODE 0x03
#else
#define PWM0_MODE 0x01
#endif
#define DIO25_CHANNEL PWM0_CHANNEL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1"/>
        <v>DIO26</v>
      </c>
      <c r="C28" s="4" t="s">
        <v>28</v>
      </c>
      <c r="D28" s="4">
        <v>1</v>
      </c>
      <c r="E28" s="9" t="str">
        <f t="shared" si="2"/>
        <v>#if(defined(PWM1_PORT) &amp;&amp; defined(PWM1_BIT))
#define DIO26 26
#define PWM1 26
#define DIO26_PORT (PWM1_PORT)
#define DIO26_BIT (PWM1_BIT)
#define PWM1_OUTREG (__outreg__(PWM1_PORT))
#define PWM1_INREG (__inreg__(PWM1_PORT))
#define PWM1_DIRREG (__dirreg__(PWM1_PORT))
#define DIO26_OUTREG (__outreg__(PWM1_PORT))
#define DIO26_INREG (__inreg__(PWM1_PORT))
#define DIO26_DIRREG (__dirreg__(PWM1_PORT))
#endif</v>
      </c>
      <c r="F28" s="9"/>
      <c r="G28" s="9"/>
      <c r="H28" s="9" t="str">
        <f t="shared" si="5"/>
        <v>#if (defined(PWM1_CHANNEL) &amp;&amp; defined(PWM1_TIMER) &amp;&amp; defined(PWM1))
#define PWM1_OCRREG (__ocrreg__(PWM1_TIMER, PWM1_CHANNEL))
#define PWM1_TMRAREG (__tmrareg__(PWM1_TIMER))
#define PWM1_TMRBREG (__tmrbreg__(PWM1_TIMER))
#define PWM1_ENABLE_MASK __pwmenmask__(PWM1_CHANNEL)
#if (PWM1_TIMER == 2)
#define PWM1_PRESCALLER 0x04
#elif (PWM1_TIMER == 0)
#define PWM1_PRESCALLER 0x03
#else
#define PWM1_PRESCALLER 0x0B
#endif
#if (PWM1_TIMER == 0 || PWM1_TIMER == 2)
#define PWM1_MODE 0x03
#else
#define PWM1_MODE 0x01
#endif
#define DIO26_CHANNEL PWM1_CHANNEL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ref="I28:I42" si="6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1"/>
        <v>DIO27</v>
      </c>
      <c r="C29" s="4" t="s">
        <v>29</v>
      </c>
      <c r="D29" s="4">
        <v>2</v>
      </c>
      <c r="E29" s="9" t="str">
        <f t="shared" si="2"/>
        <v>#if(defined(PWM2_PORT) &amp;&amp; defined(PWM2_BIT))
#define DIO27 27
#define PWM2 27
#define DIO27_PORT (PWM2_PORT)
#define DIO27_BIT (PWM2_BIT)
#define PWM2_OUTREG (__outreg__(PWM2_PORT))
#define PWM2_INREG (__inreg__(PWM2_PORT))
#define PWM2_DIRREG (__dirreg__(PWM2_PORT))
#define DIO27_OUTREG (__outreg__(PWM2_PORT))
#define DIO27_INREG (__inreg__(PWM2_PORT))
#define DIO27_DIRREG (__dirreg__(PWM2_PORT))
#endif</v>
      </c>
      <c r="F29" s="9"/>
      <c r="G29" s="9"/>
      <c r="H29" s="9" t="str">
        <f t="shared" si="5"/>
        <v>#if (defined(PWM2_CHANNEL) &amp;&amp; defined(PWM2_TIMER) &amp;&amp; defined(PWM2))
#define PWM2_OCRREG (__ocrreg__(PWM2_TIMER, PWM2_CHANNEL))
#define PWM2_TMRAREG (__tmrareg__(PWM2_TIMER))
#define PWM2_TMRBREG (__tmrbreg__(PWM2_TIMER))
#define PWM2_ENABLE_MASK __pwmenmask__(PWM2_CHANNEL)
#if (PWM2_TIMER == 2)
#define PWM2_PRESCALLER 0x04
#elif (PWM2_TIMER == 0)
#define PWM2_PRESCALLER 0x03
#else
#define PWM2_PRESCALLER 0x0B
#endif
#if (PWM2_TIMER == 0 || PWM2_TIMER == 2)
#define PWM2_MODE 0x03
#else
#define PWM2_MODE 0x01
#endif
#define DIO27_CHANNEL PWM2_CHANNEL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6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1"/>
        <v>DIO28</v>
      </c>
      <c r="C30" s="4" t="s">
        <v>30</v>
      </c>
      <c r="D30" s="4">
        <v>3</v>
      </c>
      <c r="E30" s="9" t="str">
        <f t="shared" si="2"/>
        <v>#if(defined(PWM3_PORT) &amp;&amp; defined(PWM3_BIT))
#define DIO28 28
#define PWM3 28
#define DIO28_PORT (PWM3_PORT)
#define DIO28_BIT (PWM3_BIT)
#define PWM3_OUTREG (__outreg__(PWM3_PORT))
#define PWM3_INREG (__inreg__(PWM3_PORT))
#define PWM3_DIRREG (__dirreg__(PWM3_PORT))
#define DIO28_OUTREG (__outreg__(PWM3_PORT))
#define DIO28_INREG (__inreg__(PWM3_PORT))
#define DIO28_DIRREG (__dirreg__(PWM3_PORT))
#endif</v>
      </c>
      <c r="F30" s="9"/>
      <c r="G30" s="9"/>
      <c r="H30" s="9" t="str">
        <f t="shared" si="5"/>
        <v>#if (defined(PWM3_CHANNEL) &amp;&amp; defined(PWM3_TIMER) &amp;&amp; defined(PWM3))
#define PWM3_OCRREG (__ocrreg__(PWM3_TIMER, PWM3_CHANNEL))
#define PWM3_TMRAREG (__tmrareg__(PWM3_TIMER))
#define PWM3_TMRBREG (__tmrbreg__(PWM3_TIMER))
#define PWM3_ENABLE_MASK __pwmenmask__(PWM3_CHANNEL)
#if (PWM3_TIMER == 2)
#define PWM3_PRESCALLER 0x04
#elif (PWM3_TIMER == 0)
#define PWM3_PRESCALLER 0x03
#else
#define PWM3_PRESCALLER 0x0B
#endif
#if (PWM3_TIMER == 0 || PWM3_TIMER == 2)
#define PWM3_MODE 0x03
#else
#define PWM3_MODE 0x01
#endif
#define DIO28_CHANNEL PWM3_CHANNEL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6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1"/>
        <v>DIO29</v>
      </c>
      <c r="C31" s="4" t="s">
        <v>31</v>
      </c>
      <c r="D31" s="4">
        <v>4</v>
      </c>
      <c r="E31" s="9" t="str">
        <f t="shared" si="2"/>
        <v>#if(defined(PWM4_PORT) &amp;&amp; defined(PWM4_BIT))
#define DIO29 29
#define PWM4 29
#define DIO29_PORT (PWM4_PORT)
#define DIO29_BIT (PWM4_BIT)
#define PWM4_OUTREG (__outreg__(PWM4_PORT))
#define PWM4_INREG (__inreg__(PWM4_PORT))
#define PWM4_DIRREG (__dirreg__(PWM4_PORT))
#define DIO29_OUTREG (__outreg__(PWM4_PORT))
#define DIO29_INREG (__inreg__(PWM4_PORT))
#define DIO29_DIRREG (__dirreg__(PWM4_PORT))
#endif</v>
      </c>
      <c r="F31" s="9"/>
      <c r="G31" s="9"/>
      <c r="H31" s="9" t="str">
        <f t="shared" si="5"/>
        <v>#if (defined(PWM4_CHANNEL) &amp;&amp; defined(PWM4_TIMER) &amp;&amp; defined(PWM4))
#define PWM4_OCRREG (__ocrreg__(PWM4_TIMER, PWM4_CHANNEL))
#define PWM4_TMRAREG (__tmrareg__(PWM4_TIMER))
#define PWM4_TMRBREG (__tmrbreg__(PWM4_TIMER))
#define PWM4_ENABLE_MASK __pwmenmask__(PWM4_CHANNEL)
#if (PWM4_TIMER == 2)
#define PWM4_PRESCALLER 0x04
#elif (PWM4_TIMER == 0)
#define PWM4_PRESCALLER 0x03
#else
#define PWM4_PRESCALLER 0x0B
#endif
#if (PWM4_TIMER == 0 || PWM4_TIMER == 2)
#define PWM4_MODE 0x03
#else
#define PWM4_MODE 0x01
#endif
#define DIO29_CHANNEL PWM4_CHANNEL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6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1"/>
        <v>DIO30</v>
      </c>
      <c r="C32" s="4" t="s">
        <v>32</v>
      </c>
      <c r="D32" s="4">
        <v>5</v>
      </c>
      <c r="E32" s="9" t="str">
        <f t="shared" si="2"/>
        <v>#if(defined(PWM5_PORT) &amp;&amp; defined(PWM5_BIT))
#define DIO30 30
#define PWM5 30
#define DIO30_PORT (PWM5_PORT)
#define DIO30_BIT (PWM5_BIT)
#define PWM5_OUTREG (__outreg__(PWM5_PORT))
#define PWM5_INREG (__inreg__(PWM5_PORT))
#define PWM5_DIRREG (__dirreg__(PWM5_PORT))
#define DIO30_OUTREG (__outreg__(PWM5_PORT))
#define DIO30_INREG (__inreg__(PWM5_PORT))
#define DIO30_DIRREG (__dirreg__(PWM5_PORT))
#endif</v>
      </c>
      <c r="F32" s="9"/>
      <c r="G32" s="9"/>
      <c r="H32" s="9" t="str">
        <f t="shared" si="5"/>
        <v>#if (defined(PWM5_CHANNEL) &amp;&amp; defined(PWM5_TIMER) &amp;&amp; defined(PWM5))
#define PWM5_OCRREG (__ocrreg__(PWM5_TIMER, PWM5_CHANNEL))
#define PWM5_TMRAREG (__tmrareg__(PWM5_TIMER))
#define PWM5_TMRBREG (__tmrbreg__(PWM5_TIMER))
#define PWM5_ENABLE_MASK __pwmenmask__(PWM5_CHANNEL)
#if (PWM5_TIMER == 2)
#define PWM5_PRESCALLER 0x04
#elif (PWM5_TIMER == 0)
#define PWM5_PRESCALLER 0x03
#else
#define PWM5_PRESCALLER 0x0B
#endif
#if (PWM5_TIMER == 0 || PWM5_TIMER == 2)
#define PWM5_MODE 0x03
#else
#define PWM5_MODE 0x01
#endif
#define DIO30_CHANNEL PWM5_CHANNEL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6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1"/>
        <v>DIO31</v>
      </c>
      <c r="C33" s="4" t="s">
        <v>33</v>
      </c>
      <c r="D33" s="4">
        <v>6</v>
      </c>
      <c r="E33" s="9" t="str">
        <f t="shared" si="2"/>
        <v>#if(defined(PWM6_PORT) &amp;&amp; defined(PWM6_BIT))
#define DIO31 31
#define PWM6 31
#define DIO31_PORT (PWM6_PORT)
#define DIO31_BIT (PWM6_BIT)
#define PWM6_OUTREG (__outreg__(PWM6_PORT))
#define PWM6_INREG (__inreg__(PWM6_PORT))
#define PWM6_DIRREG (__dirreg__(PWM6_PORT))
#define DIO31_OUTREG (__outreg__(PWM6_PORT))
#define DIO31_INREG (__inreg__(PWM6_PORT))
#define DIO31_DIRREG (__dirreg__(PWM6_PORT))
#endif</v>
      </c>
      <c r="F33" s="9"/>
      <c r="G33" s="9"/>
      <c r="H33" s="9" t="str">
        <f t="shared" si="5"/>
        <v>#if (defined(PWM6_CHANNEL) &amp;&amp; defined(PWM6_TIMER) &amp;&amp; defined(PWM6))
#define PWM6_OCRREG (__ocrreg__(PWM6_TIMER, PWM6_CHANNEL))
#define PWM6_TMRAREG (__tmrareg__(PWM6_TIMER))
#define PWM6_TMRBREG (__tmrbreg__(PWM6_TIMER))
#define PWM6_ENABLE_MASK __pwmenmask__(PWM6_CHANNEL)
#if (PWM6_TIMER == 2)
#define PWM6_PRESCALLER 0x04
#elif (PWM6_TIMER == 0)
#define PWM6_PRESCALLER 0x03
#else
#define PWM6_PRESCALLER 0x0B
#endif
#if (PWM6_TIMER == 0 || PWM6_TIMER == 2)
#define PWM6_MODE 0x03
#else
#define PWM6_MODE 0x01
#endif
#define DIO31_CHANNEL PWM6_CHANNEL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6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1"/>
        <v>DIO32</v>
      </c>
      <c r="C34" s="4" t="s">
        <v>34</v>
      </c>
      <c r="D34" s="4">
        <v>7</v>
      </c>
      <c r="E34" s="9" t="str">
        <f t="shared" si="2"/>
        <v>#if(defined(PWM7_PORT) &amp;&amp; defined(PWM7_BIT))
#define DIO32 32
#define PWM7 32
#define DIO32_PORT (PWM7_PORT)
#define DIO32_BIT (PWM7_BIT)
#define PWM7_OUTREG (__outreg__(PWM7_PORT))
#define PWM7_INREG (__inreg__(PWM7_PORT))
#define PWM7_DIRREG (__dirreg__(PWM7_PORT))
#define DIO32_OUTREG (__outreg__(PWM7_PORT))
#define DIO32_INREG (__inreg__(PWM7_PORT))
#define DIO32_DIRREG (__dirreg__(PWM7_PORT))
#endif</v>
      </c>
      <c r="F34" s="9"/>
      <c r="G34" s="9"/>
      <c r="H34" s="9" t="str">
        <f t="shared" si="5"/>
        <v>#if (defined(PWM7_CHANNEL) &amp;&amp; defined(PWM7_TIMER) &amp;&amp; defined(PWM7))
#define PWM7_OCRREG (__ocrreg__(PWM7_TIMER, PWM7_CHANNEL))
#define PWM7_TMRAREG (__tmrareg__(PWM7_TIMER))
#define PWM7_TMRBREG (__tmrbreg__(PWM7_TIMER))
#define PWM7_ENABLE_MASK __pwmenmask__(PWM7_CHANNEL)
#if (PWM7_TIMER == 2)
#define PWM7_PRESCALLER 0x04
#elif (PWM7_TIMER == 0)
#define PWM7_PRESCALLER 0x03
#else
#define PWM7_PRESCALLER 0x0B
#endif
#if (PWM7_TIMER == 0 || PWM7_TIMER == 2)
#define PWM7_MODE 0x03
#else
#define PWM7_MODE 0x01
#endif
#define DIO32_CHANNEL PWM7_CHANNEL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6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1"/>
        <v>DIO33</v>
      </c>
      <c r="C35" s="4" t="s">
        <v>35</v>
      </c>
      <c r="D35" s="4">
        <v>8</v>
      </c>
      <c r="E35" s="9" t="str">
        <f t="shared" si="2"/>
        <v>#if(defined(PWM8_PORT) &amp;&amp; defined(PWM8_BIT))
#define DIO33 33
#define PWM8 33
#define DIO33_PORT (PWM8_PORT)
#define DIO33_BIT (PWM8_BIT)
#define PWM8_OUTREG (__outreg__(PWM8_PORT))
#define PWM8_INREG (__inreg__(PWM8_PORT))
#define PWM8_DIRREG (__dirreg__(PWM8_PORT))
#define DIO33_OUTREG (__outreg__(PWM8_PORT))
#define DIO33_INREG (__inreg__(PWM8_PORT))
#define DIO33_DIRREG (__dirreg__(PWM8_PORT))
#endif</v>
      </c>
      <c r="F35" s="9"/>
      <c r="G35" s="9"/>
      <c r="H35" s="9" t="str">
        <f t="shared" si="5"/>
        <v>#if (defined(PWM8_CHANNEL) &amp;&amp; defined(PWM8_TIMER) &amp;&amp; defined(PWM8))
#define PWM8_OCRREG (__ocrreg__(PWM8_TIMER, PWM8_CHANNEL))
#define PWM8_TMRAREG (__tmrareg__(PWM8_TIMER))
#define PWM8_TMRBREG (__tmrbreg__(PWM8_TIMER))
#define PWM8_ENABLE_MASK __pwmenmask__(PWM8_CHANNEL)
#if (PWM8_TIMER == 2)
#define PWM8_PRESCALLER 0x04
#elif (PWM8_TIMER == 0)
#define PWM8_PRESCALLER 0x03
#else
#define PWM8_PRESCALLER 0x0B
#endif
#if (PWM8_TIMER == 0 || PWM8_TIMER == 2)
#define PWM8_MODE 0x03
#else
#define PWM8_MODE 0x01
#endif
#define DIO33_CHANNEL PWM8_CHANNEL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6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1"/>
        <v>DIO34</v>
      </c>
      <c r="C36" s="4" t="s">
        <v>36</v>
      </c>
      <c r="D36" s="4">
        <v>9</v>
      </c>
      <c r="E36" s="9" t="str">
        <f t="shared" si="2"/>
        <v>#if(defined(PWM9_PORT) &amp;&amp; defined(PWM9_BIT))
#define DIO34 34
#define PWM9 34
#define DIO34_PORT (PWM9_PORT)
#define DIO34_BIT (PWM9_BIT)
#define PWM9_OUTREG (__outreg__(PWM9_PORT))
#define PWM9_INREG (__inreg__(PWM9_PORT))
#define PWM9_DIRREG (__dirreg__(PWM9_PORT))
#define DIO34_OUTREG (__outreg__(PWM9_PORT))
#define DIO34_INREG (__inreg__(PWM9_PORT))
#define DIO34_DIRREG (__dirreg__(PWM9_PORT))
#endif</v>
      </c>
      <c r="F36" s="9"/>
      <c r="G36" s="9"/>
      <c r="H36" s="9" t="str">
        <f t="shared" si="5"/>
        <v>#if (defined(PWM9_CHANNEL) &amp;&amp; defined(PWM9_TIMER) &amp;&amp; defined(PWM9))
#define PWM9_OCRREG (__ocrreg__(PWM9_TIMER, PWM9_CHANNEL))
#define PWM9_TMRAREG (__tmrareg__(PWM9_TIMER))
#define PWM9_TMRBREG (__tmrbreg__(PWM9_TIMER))
#define PWM9_ENABLE_MASK __pwmenmask__(PWM9_CHANNEL)
#if (PWM9_TIMER == 2)
#define PWM9_PRESCALLER 0x04
#elif (PWM9_TIMER == 0)
#define PWM9_PRESCALLER 0x03
#else
#define PWM9_PRESCALLER 0x0B
#endif
#if (PWM9_TIMER == 0 || PWM9_TIMER == 2)
#define PWM9_MODE 0x03
#else
#define PWM9_MODE 0x01
#endif
#define DIO34_CHANNEL PWM9_CHANNEL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6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1"/>
        <v>DIO35</v>
      </c>
      <c r="C37" s="4" t="s">
        <v>37</v>
      </c>
      <c r="D37" s="4">
        <v>10</v>
      </c>
      <c r="E37" s="9" t="str">
        <f t="shared" si="2"/>
        <v>#if(defined(PWM10_PORT) &amp;&amp; defined(PWM10_BIT))
#define DIO35 35
#define PWM10 35
#define DIO35_PORT (PWM10_PORT)
#define DIO35_BIT (PWM10_BIT)
#define PWM10_OUTREG (__outreg__(PWM10_PORT))
#define PWM10_INREG (__inreg__(PWM10_PORT))
#define PWM10_DIRREG (__dirreg__(PWM10_PORT))
#define DIO35_OUTREG (__outreg__(PWM10_PORT))
#define DIO35_INREG (__inreg__(PWM10_PORT))
#define DIO35_DIRREG (__dirreg__(PWM10_PORT))
#endif</v>
      </c>
      <c r="F37" s="9"/>
      <c r="G37" s="9"/>
      <c r="H37" s="9" t="str">
        <f t="shared" si="5"/>
        <v>#if (defined(PWM10_CHANNEL) &amp;&amp; defined(PWM10_TIMER) &amp;&amp; defined(PWM10))
#define PWM10_OCRREG (__ocrreg__(PWM10_TIMER, PWM10_CHANNEL))
#define PWM10_TMRAREG (__tmrareg__(PWM10_TIMER))
#define PWM10_TMRBREG (__tmrbreg__(PWM10_TIMER))
#define PWM10_ENABLE_MASK __pwmenmask__(PWM10_CHANNEL)
#if (PWM10_TIMER == 2)
#define PWM10_PRESCALLER 0x04
#elif (PWM10_TIMER == 0)
#define PWM10_PRESCALLER 0x03
#else
#define PWM10_PRESCALLER 0x0B
#endif
#if (PWM10_TIMER == 0 || PWM10_TIMER == 2)
#define PWM10_MODE 0x03
#else
#define PWM10_MODE 0x01
#endif
#define DIO35_CHANNEL PWM10_CHANNEL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6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1"/>
        <v>DIO36</v>
      </c>
      <c r="C38" s="4" t="s">
        <v>38</v>
      </c>
      <c r="D38" s="4">
        <v>11</v>
      </c>
      <c r="E38" s="9" t="str">
        <f t="shared" si="2"/>
        <v>#if(defined(PWM11_PORT) &amp;&amp; defined(PWM11_BIT))
#define DIO36 36
#define PWM11 36
#define DIO36_PORT (PWM11_PORT)
#define DIO36_BIT (PWM11_BIT)
#define PWM11_OUTREG (__outreg__(PWM11_PORT))
#define PWM11_INREG (__inreg__(PWM11_PORT))
#define PWM11_DIRREG (__dirreg__(PWM11_PORT))
#define DIO36_OUTREG (__outreg__(PWM11_PORT))
#define DIO36_INREG (__inreg__(PWM11_PORT))
#define DIO36_DIRREG (__dirreg__(PWM11_PORT))
#endif</v>
      </c>
      <c r="F38" s="9"/>
      <c r="G38" s="9"/>
      <c r="H38" s="9" t="str">
        <f t="shared" si="5"/>
        <v>#if (defined(PWM11_CHANNEL) &amp;&amp; defined(PWM11_TIMER) &amp;&amp; defined(PWM11))
#define PWM11_OCRREG (__ocrreg__(PWM11_TIMER, PWM11_CHANNEL))
#define PWM11_TMRAREG (__tmrareg__(PWM11_TIMER))
#define PWM11_TMRBREG (__tmrbreg__(PWM11_TIMER))
#define PWM11_ENABLE_MASK __pwmenmask__(PWM11_CHANNEL)
#if (PWM11_TIMER == 2)
#define PWM11_PRESCALLER 0x04
#elif (PWM11_TIMER == 0)
#define PWM11_PRESCALLER 0x03
#else
#define PWM11_PRESCALLER 0x0B
#endif
#if (PWM11_TIMER == 0 || PWM11_TIMER == 2)
#define PWM11_MODE 0x03
#else
#define PWM11_MODE 0x01
#endif
#define DIO36_CHANNEL PWM11_CHANNEL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6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1"/>
        <v>DIO37</v>
      </c>
      <c r="C39" s="4" t="s">
        <v>39</v>
      </c>
      <c r="D39" s="4">
        <v>12</v>
      </c>
      <c r="E39" s="9" t="str">
        <f t="shared" si="2"/>
        <v>#if(defined(PWM12_PORT) &amp;&amp; defined(PWM12_BIT))
#define DIO37 37
#define PWM12 37
#define DIO37_PORT (PWM12_PORT)
#define DIO37_BIT (PWM12_BIT)
#define PWM12_OUTREG (__outreg__(PWM12_PORT))
#define PWM12_INREG (__inreg__(PWM12_PORT))
#define PWM12_DIRREG (__dirreg__(PWM12_PORT))
#define DIO37_OUTREG (__outreg__(PWM12_PORT))
#define DIO37_INREG (__inreg__(PWM12_PORT))
#define DIO37_DIRREG (__dirreg__(PWM12_PORT))
#endif</v>
      </c>
      <c r="F39" s="9"/>
      <c r="G39" s="9"/>
      <c r="H39" s="9" t="str">
        <f t="shared" si="5"/>
        <v>#if (defined(PWM12_CHANNEL) &amp;&amp; defined(PWM12_TIMER) &amp;&amp; defined(PWM12))
#define PWM12_OCRREG (__ocrreg__(PWM12_TIMER, PWM12_CHANNEL))
#define PWM12_TMRAREG (__tmrareg__(PWM12_TIMER))
#define PWM12_TMRBREG (__tmrbreg__(PWM12_TIMER))
#define PWM12_ENABLE_MASK __pwmenmask__(PWM12_CHANNEL)
#if (PWM12_TIMER == 2)
#define PWM12_PRESCALLER 0x04
#elif (PWM12_TIMER == 0)
#define PWM12_PRESCALLER 0x03
#else
#define PWM12_PRESCALLER 0x0B
#endif
#if (PWM12_TIMER == 0 || PWM12_TIMER == 2)
#define PWM12_MODE 0x03
#else
#define PWM12_MODE 0x01
#endif
#define DIO37_CHANNEL PWM12_CHANNEL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6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1"/>
        <v>DIO38</v>
      </c>
      <c r="C40" s="4" t="s">
        <v>40</v>
      </c>
      <c r="D40" s="4">
        <v>13</v>
      </c>
      <c r="E40" s="9" t="str">
        <f t="shared" si="2"/>
        <v>#if(defined(PWM13_PORT) &amp;&amp; defined(PWM13_BIT))
#define DIO38 38
#define PWM13 38
#define DIO38_PORT (PWM13_PORT)
#define DIO38_BIT (PWM13_BIT)
#define PWM13_OUTREG (__outreg__(PWM13_PORT))
#define PWM13_INREG (__inreg__(PWM13_PORT))
#define PWM13_DIRREG (__dirreg__(PWM13_PORT))
#define DIO38_OUTREG (__outreg__(PWM13_PORT))
#define DIO38_INREG (__inreg__(PWM13_PORT))
#define DIO38_DIRREG (__dirreg__(PWM13_PORT))
#endif</v>
      </c>
      <c r="F40" s="9"/>
      <c r="G40" s="9"/>
      <c r="H40" s="9" t="str">
        <f t="shared" si="5"/>
        <v>#if (defined(PWM13_CHANNEL) &amp;&amp; defined(PWM13_TIMER) &amp;&amp; defined(PWM13))
#define PWM13_OCRREG (__ocrreg__(PWM13_TIMER, PWM13_CHANNEL))
#define PWM13_TMRAREG (__tmrareg__(PWM13_TIMER))
#define PWM13_TMRBREG (__tmrbreg__(PWM13_TIMER))
#define PWM13_ENABLE_MASK __pwmenmask__(PWM13_CHANNEL)
#if (PWM13_TIMER == 2)
#define PWM13_PRESCALLER 0x04
#elif (PWM13_TIMER == 0)
#define PWM13_PRESCALLER 0x03
#else
#define PWM13_PRESCALLER 0x0B
#endif
#if (PWM13_TIMER == 0 || PWM13_TIMER == 2)
#define PWM13_MODE 0x03
#else
#define PWM13_MODE 0x01
#endif
#define DIO38_CHANNEL PWM13_CHANNEL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6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1"/>
        <v>DIO39</v>
      </c>
      <c r="C41" s="4" t="s">
        <v>41</v>
      </c>
      <c r="D41" s="4">
        <v>14</v>
      </c>
      <c r="E41" s="9" t="str">
        <f t="shared" si="2"/>
        <v>#if(defined(PWM14_PORT) &amp;&amp; defined(PWM14_BIT))
#define DIO39 39
#define PWM14 39
#define DIO39_PORT (PWM14_PORT)
#define DIO39_BIT (PWM14_BIT)
#define PWM14_OUTREG (__outreg__(PWM14_PORT))
#define PWM14_INREG (__inreg__(PWM14_PORT))
#define PWM14_DIRREG (__dirreg__(PWM14_PORT))
#define DIO39_OUTREG (__outreg__(PWM14_PORT))
#define DIO39_INREG (__inreg__(PWM14_PORT))
#define DIO39_DIRREG (__dirreg__(PWM14_PORT))
#endif</v>
      </c>
      <c r="F41" s="9"/>
      <c r="G41" s="9"/>
      <c r="H41" s="9" t="str">
        <f t="shared" si="5"/>
        <v>#if (defined(PWM14_CHANNEL) &amp;&amp; defined(PWM14_TIMER) &amp;&amp; defined(PWM14))
#define PWM14_OCRREG (__ocrreg__(PWM14_TIMER, PWM14_CHANNEL))
#define PWM14_TMRAREG (__tmrareg__(PWM14_TIMER))
#define PWM14_TMRBREG (__tmrbreg__(PWM14_TIMER))
#define PWM14_ENABLE_MASK __pwmenmask__(PWM14_CHANNEL)
#if (PWM14_TIMER == 2)
#define PWM14_PRESCALLER 0x04
#elif (PWM14_TIMER == 0)
#define PWM14_PRESCALLER 0x03
#else
#define PWM14_PRESCALLER 0x0B
#endif
#if (PWM14_TIMER == 0 || PWM14_TIMER == 2)
#define PWM14_MODE 0x03
#else
#define PWM14_MODE 0x01
#endif
#define DIO39_CHANNEL PWM14_CHANNEL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6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1"/>
        <v>DIO40</v>
      </c>
      <c r="C42" s="4" t="s">
        <v>42</v>
      </c>
      <c r="D42" s="4">
        <v>15</v>
      </c>
      <c r="E42" s="9" t="str">
        <f t="shared" si="2"/>
        <v>#if(defined(PWM15_PORT) &amp;&amp; defined(PWM15_BIT))
#define DIO40 40
#define PWM15 40
#define DIO40_PORT (PWM15_PORT)
#define DIO40_BIT (PWM15_BIT)
#define PWM15_OUTREG (__outreg__(PWM15_PORT))
#define PWM15_INREG (__inreg__(PWM15_PORT))
#define PWM15_DIRREG (__dirreg__(PWM15_PORT))
#define DIO40_OUTREG (__outreg__(PWM15_PORT))
#define DIO40_INREG (__inreg__(PWM15_PORT))
#define DIO40_DIRREG (__dirreg__(PWM15_PORT))
#endif</v>
      </c>
      <c r="F42" s="9"/>
      <c r="G42" s="9"/>
      <c r="H42" s="9" t="str">
        <f t="shared" si="5"/>
        <v>#if (defined(PWM15_CHANNEL) &amp;&amp; defined(PWM15_TIMER) &amp;&amp; defined(PWM15))
#define PWM15_OCRREG (__ocrreg__(PWM15_TIMER, PWM15_CHANNEL))
#define PWM15_TMRAREG (__tmrareg__(PWM15_TIMER))
#define PWM15_TMRBREG (__tmrbreg__(PWM15_TIMER))
#define PWM15_ENABLE_MASK __pwmenmask__(PWM15_CHANNEL)
#if (PWM15_TIMER == 2)
#define PWM15_PRESCALLER 0x04
#elif (PWM15_TIMER == 0)
#define PWM15_PRESCALLER 0x03
#else
#define PWM15_PRESCALLER 0x0B
#endif
#if (PWM15_TIMER == 0 || PWM15_TIMER == 2)
#define PWM15_MODE 0x03
#else
#define PWM15_MODE 0x01
#endif
#define DIO40_CHANNEL PWM15_CHANNEL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6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1"/>
        <v>DIO41</v>
      </c>
      <c r="C43" s="4" t="s">
        <v>109</v>
      </c>
      <c r="D43" s="4">
        <v>0</v>
      </c>
      <c r="E43" s="9" t="str">
        <f t="shared" ref="E43:E48" si="7">"#if(defined("&amp;C43&amp;"_PORT) &amp;&amp; defined("&amp;C43&amp;"_BIT))
#define "&amp;B43&amp;" "&amp;A43&amp;"
#define "&amp;C43&amp;" "&amp;A43&amp;"
#define "&amp;B43&amp;"_PORT ("&amp;C43&amp;"_PORT)
#define "&amp;B43&amp;"_BIT ("&amp;C43&amp;"_BIT)
#define "&amp;C43&amp;"_OUTREG (__outreg__("&amp;C43&amp;"_PORT))
#define "&amp;C43&amp;"_INREG (__inreg__("&amp;C43&amp;"_PORT))
#define "&amp;C43&amp;"_DIRREG (__dirreg__("&amp;C43&amp;"_PORT))
#define "&amp;B43&amp;"_OUTREG (__outreg__("&amp;C43&amp;"_PORT))
#define "&amp;B43&amp;"_INREG (__inreg__("&amp;C43&amp;"_PORT))
#define "&amp;B43&amp;"_DIRREG (__dirreg__("&amp;C43&amp;"_PORT))
#endif"</f>
        <v>#if(defined(SERVO0_PORT) &amp;&amp; defined(SERVO0_BIT))
#define DIO41 41
#define SERVO0 41
#define DIO41_PORT (SERVO0_PORT)
#define DIO41_BIT (SERVO0_BIT)
#define SERVO0_OUTREG (__outreg__(SERVO0_PORT))
#define SERVO0_INREG (__inreg__(SERVO0_PORT))
#define SERVO0_DIRREG (__dirreg__(SERVO0_PORT))
#define DIO41_OUTREG (__outreg__(SERVO0_PORT))
#define DIO41_INREG (__inreg__(SERVO0_PORT))
#define DIO41_DIRREG (__dirreg__(SERVO0_PORT))
#endif</v>
      </c>
      <c r="F43" s="9" t="str">
        <f t="shared" ref="F43:F48" si="8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9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>"#if !("&amp;C43&amp;"&lt;0)
mcu_config_output("&amp;C43&amp;");
#endif"</f>
        <v>#if !(SERVO0&lt;0)
mcu_config_output(SERVO0);
#endif</v>
      </c>
      <c r="J43" s="9"/>
      <c r="K43" s="9"/>
      <c r="L43" s="9"/>
      <c r="M43" s="9"/>
    </row>
    <row r="44" spans="1:13" ht="15" customHeight="1" x14ac:dyDescent="0.25">
      <c r="A44" s="4">
        <v>42</v>
      </c>
      <c r="B44" s="4" t="str">
        <f t="shared" si="1"/>
        <v>DIO42</v>
      </c>
      <c r="C44" s="4" t="s">
        <v>110</v>
      </c>
      <c r="D44" s="4">
        <v>1</v>
      </c>
      <c r="E44" s="9" t="str">
        <f t="shared" si="7"/>
        <v>#if(defined(SERVO1_PORT) &amp;&amp; defined(SERVO1_BIT))
#define DIO42 42
#define SERVO1 42
#define DIO42_PORT (SERVO1_PORT)
#define DIO42_BIT (SERVO1_BIT)
#define SERVO1_OUTREG (__outreg__(SERVO1_PORT))
#define SERVO1_INREG (__inreg__(SERVO1_PORT))
#define SERVO1_DIRREG (__dirreg__(SERVO1_PORT))
#define DIO42_OUTREG (__outreg__(SERVO1_PORT))
#define DIO42_INREG (__inreg__(SERVO1_PORT))
#define DIO42_DIRREG (__dirreg__(SERVO1_PORT))
#endif</v>
      </c>
      <c r="F44" s="9" t="str">
        <f t="shared" si="8"/>
        <v>#ifdef SERVO1
#define SERVO1_MASK (1U&lt;&lt;1)
#else
#define SERVO1_MASK 0
#endif</v>
      </c>
      <c r="G44" s="9" t="str">
        <f t="shared" si="9"/>
        <v>#if SERVO1 &gt;= 0
case 1:
mcu_set_ouput(SERVO1);
RTC_OCRB = mcu_servos[1];
#endif</v>
      </c>
      <c r="H44" s="9"/>
      <c r="I44" s="4" t="str">
        <f t="shared" ref="I44:I80" si="10">"#if !("&amp;C44&amp;"&lt;0)
mcu_config_output("&amp;C44&amp;");
#endif"</f>
        <v>#if !(SERVO1&lt;0)
mcu_config_output(SERVO1);
#endif</v>
      </c>
      <c r="J44" s="9"/>
      <c r="K44" s="9"/>
      <c r="L44" s="9"/>
      <c r="M44" s="9"/>
    </row>
    <row r="45" spans="1:13" ht="15" customHeight="1" x14ac:dyDescent="0.25">
      <c r="A45" s="4">
        <v>43</v>
      </c>
      <c r="B45" s="4" t="str">
        <f t="shared" si="1"/>
        <v>DIO43</v>
      </c>
      <c r="C45" s="4" t="s">
        <v>111</v>
      </c>
      <c r="D45" s="4">
        <v>2</v>
      </c>
      <c r="E45" s="9" t="str">
        <f t="shared" si="7"/>
        <v>#if(defined(SERVO2_PORT) &amp;&amp; defined(SERVO2_BIT))
#define DIO43 43
#define SERVO2 43
#define DIO43_PORT (SERVO2_PORT)
#define DIO43_BIT (SERVO2_BIT)
#define SERVO2_OUTREG (__outreg__(SERVO2_PORT))
#define SERVO2_INREG (__inreg__(SERVO2_PORT))
#define SERVO2_DIRREG (__dirreg__(SERVO2_PORT))
#define DIO43_OUTREG (__outreg__(SERVO2_PORT))
#define DIO43_INREG (__inreg__(SERVO2_PORT))
#define DIO43_DIRREG (__dirreg__(SERVO2_PORT))
#endif</v>
      </c>
      <c r="F45" s="9" t="str">
        <f t="shared" si="8"/>
        <v>#ifdef SERVO2
#define SERVO2_MASK (1U&lt;&lt;2)
#else
#define SERVO2_MASK 0
#endif</v>
      </c>
      <c r="G45" s="9" t="str">
        <f t="shared" si="9"/>
        <v>#if SERVO2 &gt;= 0
case 2:
mcu_set_ouput(SERVO2);
RTC_OCRB = mcu_servos[2];
#endif</v>
      </c>
      <c r="H45" s="9"/>
      <c r="I45" s="4" t="str">
        <f t="shared" si="10"/>
        <v>#if !(SERVO2&lt;0)
mcu_config_output(SERVO2);
#endif</v>
      </c>
      <c r="J45" s="9"/>
      <c r="K45" s="9"/>
      <c r="L45" s="9"/>
      <c r="M45" s="9"/>
    </row>
    <row r="46" spans="1:13" ht="15" customHeight="1" x14ac:dyDescent="0.25">
      <c r="A46" s="4">
        <v>44</v>
      </c>
      <c r="B46" s="4" t="str">
        <f t="shared" si="1"/>
        <v>DIO44</v>
      </c>
      <c r="C46" s="4" t="s">
        <v>112</v>
      </c>
      <c r="D46" s="4">
        <v>3</v>
      </c>
      <c r="E46" s="9" t="str">
        <f t="shared" si="7"/>
        <v>#if(defined(SERVO3_PORT) &amp;&amp; defined(SERVO3_BIT))
#define DIO44 44
#define SERVO3 44
#define DIO44_PORT (SERVO3_PORT)
#define DIO44_BIT (SERVO3_BIT)
#define SERVO3_OUTREG (__outreg__(SERVO3_PORT))
#define SERVO3_INREG (__inreg__(SERVO3_PORT))
#define SERVO3_DIRREG (__dirreg__(SERVO3_PORT))
#define DIO44_OUTREG (__outreg__(SERVO3_PORT))
#define DIO44_INREG (__inreg__(SERVO3_PORT))
#define DIO44_DIRREG (__dirreg__(SERVO3_PORT))
#endif</v>
      </c>
      <c r="F46" s="9" t="str">
        <f t="shared" si="8"/>
        <v>#ifdef SERVO3
#define SERVO3_MASK (1U&lt;&lt;3)
#else
#define SERVO3_MASK 0
#endif</v>
      </c>
      <c r="G46" s="9" t="str">
        <f t="shared" si="9"/>
        <v>#if SERVO3 &gt;= 0
case 3:
mcu_set_ouput(SERVO3);
RTC_OCRB = mcu_servos[3];
#endif</v>
      </c>
      <c r="H46" s="9"/>
      <c r="I46" s="4" t="str">
        <f t="shared" si="10"/>
        <v>#if !(SERVO3&lt;0)
mcu_config_output(SERVO3);
#endif</v>
      </c>
      <c r="J46" s="9"/>
      <c r="K46" s="9"/>
      <c r="L46" s="9"/>
      <c r="M46" s="9"/>
    </row>
    <row r="47" spans="1:13" ht="15" customHeight="1" x14ac:dyDescent="0.25">
      <c r="A47" s="4">
        <v>45</v>
      </c>
      <c r="B47" s="4" t="str">
        <f t="shared" si="1"/>
        <v>DIO45</v>
      </c>
      <c r="C47" s="4" t="s">
        <v>113</v>
      </c>
      <c r="D47" s="4">
        <v>4</v>
      </c>
      <c r="E47" s="9" t="str">
        <f t="shared" si="7"/>
        <v>#if(defined(SERVO4_PORT) &amp;&amp; defined(SERVO4_BIT))
#define DIO45 45
#define SERVO4 45
#define DIO45_PORT (SERVO4_PORT)
#define DIO45_BIT (SERVO4_BIT)
#define SERVO4_OUTREG (__outreg__(SERVO4_PORT))
#define SERVO4_INREG (__inreg__(SERVO4_PORT))
#define SERVO4_DIRREG (__dirreg__(SERVO4_PORT))
#define DIO45_OUTREG (__outreg__(SERVO4_PORT))
#define DIO45_INREG (__inreg__(SERVO4_PORT))
#define DIO45_DIRREG (__dirreg__(SERVO4_PORT))
#endif</v>
      </c>
      <c r="F47" s="9" t="str">
        <f t="shared" si="8"/>
        <v>#ifdef SERVO4
#define SERVO4_MASK (1U&lt;&lt;4)
#else
#define SERVO4_MASK 0
#endif</v>
      </c>
      <c r="G47" s="9" t="str">
        <f t="shared" si="9"/>
        <v>#if SERVO4 &gt;= 0
case 4:
mcu_set_ouput(SERVO4);
RTC_OCRB = mcu_servos[4];
#endif</v>
      </c>
      <c r="H47" s="9"/>
      <c r="I47" s="4" t="str">
        <f t="shared" si="10"/>
        <v>#if !(SERVO4&lt;0)
mcu_config_output(SERVO4);
#endif</v>
      </c>
      <c r="J47" s="9"/>
      <c r="K47" s="9"/>
      <c r="L47" s="9"/>
      <c r="M47" s="9"/>
    </row>
    <row r="48" spans="1:13" ht="15" customHeight="1" x14ac:dyDescent="0.25">
      <c r="A48" s="4">
        <v>46</v>
      </c>
      <c r="B48" s="4" t="str">
        <f t="shared" si="1"/>
        <v>DIO46</v>
      </c>
      <c r="C48" s="4" t="s">
        <v>114</v>
      </c>
      <c r="D48" s="4">
        <v>5</v>
      </c>
      <c r="E48" s="9" t="str">
        <f t="shared" si="7"/>
        <v>#if(defined(SERVO5_PORT) &amp;&amp; defined(SERVO5_BIT))
#define DIO46 46
#define SERVO5 46
#define DIO46_PORT (SERVO5_PORT)
#define DIO46_BIT (SERVO5_BIT)
#define SERVO5_OUTREG (__outreg__(SERVO5_PORT))
#define SERVO5_INREG (__inreg__(SERVO5_PORT))
#define SERVO5_DIRREG (__dirreg__(SERVO5_PORT))
#define DIO46_OUTREG (__outreg__(SERVO5_PORT))
#define DIO46_INREG (__inreg__(SERVO5_PORT))
#define DIO46_DIRREG (__dirreg__(SERVO5_PORT))
#endif</v>
      </c>
      <c r="F48" s="9" t="str">
        <f t="shared" si="8"/>
        <v>#ifdef SERVO5
#define SERVO5_MASK (1U&lt;&lt;5)
#else
#define SERVO5_MASK 0
#endif</v>
      </c>
      <c r="G48" s="9" t="str">
        <f t="shared" si="9"/>
        <v>#if SERVO5 &gt;= 0
case 5:
mcu_set_ouput(SERVO5);
RTC_OCRB = mcu_servos[5];
#endif</v>
      </c>
      <c r="H48" s="9"/>
      <c r="I48" s="4" t="str">
        <f t="shared" si="10"/>
        <v>#if !(SERVO5&lt;0)
mcu_config_output(SERVO5);
#endif</v>
      </c>
      <c r="J48" s="9"/>
      <c r="K48" s="9"/>
      <c r="L48" s="9"/>
      <c r="M48" s="9"/>
    </row>
    <row r="49" spans="1:13" ht="15" customHeight="1" x14ac:dyDescent="0.25">
      <c r="A49" s="4">
        <v>47</v>
      </c>
      <c r="B49" s="4" t="str">
        <f t="shared" si="1"/>
        <v>DIO47</v>
      </c>
      <c r="C49" s="4" t="s">
        <v>43</v>
      </c>
      <c r="D49" s="4">
        <v>0</v>
      </c>
      <c r="E49" s="9" t="str">
        <f t="shared" si="2"/>
        <v>#if(defined(DOUT0_PORT) &amp;&amp; defined(DOUT0_BIT))
#define DIO47 47
#define DOUT0 47
#define DIO47_PORT (DOUT0_PORT)
#define DIO47_BIT (DOUT0_BIT)
#define DOUT0_OUTREG (__outreg__(DOUT0_PORT))
#define DOUT0_INREG (__inreg__(DOUT0_PORT))
#define DOUT0_DIRREG (__dirreg__(DOUT0_PORT))
#define DIO47_OUTREG (__outreg__(DOUT0_PORT))
#define DIO47_INREG (__inreg__(DOUT0_PORT))
#define DIO47_DIRREG (__dirreg__(DOUT0_PORT))
#endif</v>
      </c>
      <c r="F49" s="9"/>
      <c r="G49" s="9"/>
      <c r="H49" s="9"/>
      <c r="I49" s="4" t="str">
        <f t="shared" si="10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1"/>
        <v>DIO48</v>
      </c>
      <c r="C50" s="4" t="s">
        <v>44</v>
      </c>
      <c r="D50" s="4">
        <v>1</v>
      </c>
      <c r="E50" s="9" t="str">
        <f t="shared" si="2"/>
        <v>#if(defined(DOUT1_PORT) &amp;&amp; defined(DOUT1_BIT))
#define DIO48 48
#define DOUT1 48
#define DIO48_PORT (DOUT1_PORT)
#define DIO48_BIT (DOUT1_BIT)
#define DOUT1_OUTREG (__outreg__(DOUT1_PORT))
#define DOUT1_INREG (__inreg__(DOUT1_PORT))
#define DOUT1_DIRREG (__dirreg__(DOUT1_PORT))
#define DIO48_OUTREG (__outreg__(DOUT1_PORT))
#define DIO48_INREG (__inreg__(DOUT1_PORT))
#define DIO48_DIRREG (__dirreg__(DOUT1_PORT))
#endif</v>
      </c>
      <c r="F50" s="9"/>
      <c r="G50" s="9"/>
      <c r="H50" s="9"/>
      <c r="I50" s="4" t="str">
        <f t="shared" si="10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1"/>
        <v>DIO49</v>
      </c>
      <c r="C51" s="4" t="s">
        <v>45</v>
      </c>
      <c r="D51" s="4">
        <v>2</v>
      </c>
      <c r="E51" s="9" t="str">
        <f t="shared" si="2"/>
        <v>#if(defined(DOUT2_PORT) &amp;&amp; defined(DOUT2_BIT))
#define DIO49 49
#define DOUT2 49
#define DIO49_PORT (DOUT2_PORT)
#define DIO49_BIT (DOUT2_BIT)
#define DOUT2_OUTREG (__outreg__(DOUT2_PORT))
#define DOUT2_INREG (__inreg__(DOUT2_PORT))
#define DOUT2_DIRREG (__dirreg__(DOUT2_PORT))
#define DIO49_OUTREG (__outreg__(DOUT2_PORT))
#define DIO49_INREG (__inreg__(DOUT2_PORT))
#define DIO49_DIRREG (__dirreg__(DOUT2_PORT))
#endif</v>
      </c>
      <c r="F51" s="9"/>
      <c r="G51" s="9"/>
      <c r="H51" s="9"/>
      <c r="I51" s="4" t="str">
        <f t="shared" si="10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1"/>
        <v>DIO50</v>
      </c>
      <c r="C52" s="4" t="s">
        <v>46</v>
      </c>
      <c r="D52" s="4">
        <v>3</v>
      </c>
      <c r="E52" s="9" t="str">
        <f t="shared" si="2"/>
        <v>#if(defined(DOUT3_PORT) &amp;&amp; defined(DOUT3_BIT))
#define DIO50 50
#define DOUT3 50
#define DIO50_PORT (DOUT3_PORT)
#define DIO50_BIT (DOUT3_BIT)
#define DOUT3_OUTREG (__outreg__(DOUT3_PORT))
#define DOUT3_INREG (__inreg__(DOUT3_PORT))
#define DOUT3_DIRREG (__dirreg__(DOUT3_PORT))
#define DIO50_OUTREG (__outreg__(DOUT3_PORT))
#define DIO50_INREG (__inreg__(DOUT3_PORT))
#define DIO50_DIRREG (__dirreg__(DOUT3_PORT))
#endif</v>
      </c>
      <c r="F52" s="9"/>
      <c r="G52" s="9"/>
      <c r="H52" s="9"/>
      <c r="I52" s="4" t="str">
        <f t="shared" si="10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1"/>
        <v>DIO51</v>
      </c>
      <c r="C53" s="4" t="s">
        <v>47</v>
      </c>
      <c r="D53" s="4">
        <v>4</v>
      </c>
      <c r="E53" s="9" t="str">
        <f t="shared" si="2"/>
        <v>#if(defined(DOUT4_PORT) &amp;&amp; defined(DOUT4_BIT))
#define DIO51 51
#define DOUT4 51
#define DIO51_PORT (DOUT4_PORT)
#define DIO51_BIT (DOUT4_BIT)
#define DOUT4_OUTREG (__outreg__(DOUT4_PORT))
#define DOUT4_INREG (__inreg__(DOUT4_PORT))
#define DOUT4_DIRREG (__dirreg__(DOUT4_PORT))
#define DIO51_OUTREG (__outreg__(DOUT4_PORT))
#define DIO51_INREG (__inreg__(DOUT4_PORT))
#define DIO51_DIRREG (__dirreg__(DOUT4_PORT))
#endif</v>
      </c>
      <c r="F53" s="9"/>
      <c r="G53" s="9"/>
      <c r="H53" s="9"/>
      <c r="I53" s="4" t="str">
        <f t="shared" si="10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1"/>
        <v>DIO52</v>
      </c>
      <c r="C54" s="4" t="s">
        <v>48</v>
      </c>
      <c r="D54" s="4">
        <v>5</v>
      </c>
      <c r="E54" s="9" t="str">
        <f t="shared" si="2"/>
        <v>#if(defined(DOUT5_PORT) &amp;&amp; defined(DOUT5_BIT))
#define DIO52 52
#define DOUT5 52
#define DIO52_PORT (DOUT5_PORT)
#define DIO52_BIT (DOUT5_BIT)
#define DOUT5_OUTREG (__outreg__(DOUT5_PORT))
#define DOUT5_INREG (__inreg__(DOUT5_PORT))
#define DOUT5_DIRREG (__dirreg__(DOUT5_PORT))
#define DIO52_OUTREG (__outreg__(DOUT5_PORT))
#define DIO52_INREG (__inreg__(DOUT5_PORT))
#define DIO52_DIRREG (__dirreg__(DOUT5_PORT))
#endif</v>
      </c>
      <c r="F54" s="9"/>
      <c r="G54" s="9"/>
      <c r="H54" s="9"/>
      <c r="I54" s="4" t="str">
        <f t="shared" si="10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1"/>
        <v>DIO53</v>
      </c>
      <c r="C55" s="4" t="s">
        <v>49</v>
      </c>
      <c r="D55" s="4">
        <v>6</v>
      </c>
      <c r="E55" s="9" t="str">
        <f t="shared" si="2"/>
        <v>#if(defined(DOUT6_PORT) &amp;&amp; defined(DOUT6_BIT))
#define DIO53 53
#define DOUT6 53
#define DIO53_PORT (DOUT6_PORT)
#define DIO53_BIT (DOUT6_BIT)
#define DOUT6_OUTREG (__outreg__(DOUT6_PORT))
#define DOUT6_INREG (__inreg__(DOUT6_PORT))
#define DOUT6_DIRREG (__dirreg__(DOUT6_PORT))
#define DIO53_OUTREG (__outreg__(DOUT6_PORT))
#define DIO53_INREG (__inreg__(DOUT6_PORT))
#define DIO53_DIRREG (__dirreg__(DOUT6_PORT))
#endif</v>
      </c>
      <c r="F55" s="9"/>
      <c r="G55" s="9"/>
      <c r="H55" s="9"/>
      <c r="I55" s="4" t="str">
        <f t="shared" si="10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1"/>
        <v>DIO54</v>
      </c>
      <c r="C56" s="4" t="s">
        <v>50</v>
      </c>
      <c r="D56" s="4">
        <v>7</v>
      </c>
      <c r="E56" s="9" t="str">
        <f t="shared" si="2"/>
        <v>#if(defined(DOUT7_PORT) &amp;&amp; defined(DOUT7_BIT))
#define DIO54 54
#define DOUT7 54
#define DIO54_PORT (DOUT7_PORT)
#define DIO54_BIT (DOUT7_BIT)
#define DOUT7_OUTREG (__outreg__(DOUT7_PORT))
#define DOUT7_INREG (__inreg__(DOUT7_PORT))
#define DOUT7_DIRREG (__dirreg__(DOUT7_PORT))
#define DIO54_OUTREG (__outreg__(DOUT7_PORT))
#define DIO54_INREG (__inreg__(DOUT7_PORT))
#define DIO54_DIRREG (__dirreg__(DOUT7_PORT))
#endif</v>
      </c>
      <c r="F56" s="9"/>
      <c r="G56" s="9"/>
      <c r="H56" s="9"/>
      <c r="I56" s="4" t="str">
        <f t="shared" si="10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1"/>
        <v>DIO55</v>
      </c>
      <c r="C57" s="4" t="s">
        <v>51</v>
      </c>
      <c r="D57" s="4">
        <v>8</v>
      </c>
      <c r="E57" s="9" t="str">
        <f t="shared" si="2"/>
        <v>#if(defined(DOUT8_PORT) &amp;&amp; defined(DOUT8_BIT))
#define DIO55 55
#define DOUT8 55
#define DIO55_PORT (DOUT8_PORT)
#define DIO55_BIT (DOUT8_BIT)
#define DOUT8_OUTREG (__outreg__(DOUT8_PORT))
#define DOUT8_INREG (__inreg__(DOUT8_PORT))
#define DOUT8_DIRREG (__dirreg__(DOUT8_PORT))
#define DIO55_OUTREG (__outreg__(DOUT8_PORT))
#define DIO55_INREG (__inreg__(DOUT8_PORT))
#define DIO55_DIRREG (__dirreg__(DOUT8_PORT))
#endif</v>
      </c>
      <c r="F57" s="9"/>
      <c r="G57" s="9"/>
      <c r="H57" s="9"/>
      <c r="I57" s="4" t="str">
        <f t="shared" si="10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1"/>
        <v>DIO56</v>
      </c>
      <c r="C58" s="4" t="s">
        <v>52</v>
      </c>
      <c r="D58" s="4">
        <v>9</v>
      </c>
      <c r="E58" s="9" t="str">
        <f t="shared" si="2"/>
        <v>#if(defined(DOUT9_PORT) &amp;&amp; defined(DOUT9_BIT))
#define DIO56 56
#define DOUT9 56
#define DIO56_PORT (DOUT9_PORT)
#define DIO56_BIT (DOUT9_BIT)
#define DOUT9_OUTREG (__outreg__(DOUT9_PORT))
#define DOUT9_INREG (__inreg__(DOUT9_PORT))
#define DOUT9_DIRREG (__dirreg__(DOUT9_PORT))
#define DIO56_OUTREG (__outreg__(DOUT9_PORT))
#define DIO56_INREG (__inreg__(DOUT9_PORT))
#define DIO56_DIRREG (__dirreg__(DOUT9_PORT))
#endif</v>
      </c>
      <c r="F58" s="9"/>
      <c r="G58" s="9"/>
      <c r="H58" s="9"/>
      <c r="I58" s="4" t="str">
        <f t="shared" si="10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1"/>
        <v>DIO57</v>
      </c>
      <c r="C59" s="4" t="s">
        <v>53</v>
      </c>
      <c r="D59" s="4">
        <v>10</v>
      </c>
      <c r="E59" s="9" t="str">
        <f t="shared" si="2"/>
        <v>#if(defined(DOUT10_PORT) &amp;&amp; defined(DOUT10_BIT))
#define DIO57 57
#define DOUT10 57
#define DIO57_PORT (DOUT10_PORT)
#define DIO57_BIT (DOUT10_BIT)
#define DOUT10_OUTREG (__outreg__(DOUT10_PORT))
#define DOUT10_INREG (__inreg__(DOUT10_PORT))
#define DOUT10_DIRREG (__dirreg__(DOUT10_PORT))
#define DIO57_OUTREG (__outreg__(DOUT10_PORT))
#define DIO57_INREG (__inreg__(DOUT10_PORT))
#define DIO57_DIRREG (__dirreg__(DOUT10_PORT))
#endif</v>
      </c>
      <c r="F59" s="9"/>
      <c r="G59" s="9"/>
      <c r="H59" s="9"/>
      <c r="I59" s="4" t="str">
        <f t="shared" si="10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1"/>
        <v>DIO58</v>
      </c>
      <c r="C60" s="4" t="s">
        <v>54</v>
      </c>
      <c r="D60" s="4">
        <v>11</v>
      </c>
      <c r="E60" s="9" t="str">
        <f t="shared" si="2"/>
        <v>#if(defined(DOUT11_PORT) &amp;&amp; defined(DOUT11_BIT))
#define DIO58 58
#define DOUT11 58
#define DIO58_PORT (DOUT11_PORT)
#define DIO58_BIT (DOUT11_BIT)
#define DOUT11_OUTREG (__outreg__(DOUT11_PORT))
#define DOUT11_INREG (__inreg__(DOUT11_PORT))
#define DOUT11_DIRREG (__dirreg__(DOUT11_PORT))
#define DIO58_OUTREG (__outreg__(DOUT11_PORT))
#define DIO58_INREG (__inreg__(DOUT11_PORT))
#define DIO58_DIRREG (__dirreg__(DOUT11_PORT))
#endif</v>
      </c>
      <c r="F60" s="12"/>
      <c r="G60" s="9"/>
      <c r="H60" s="9"/>
      <c r="I60" s="4" t="str">
        <f t="shared" si="10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1"/>
        <v>DIO59</v>
      </c>
      <c r="C61" s="4" t="s">
        <v>55</v>
      </c>
      <c r="D61" s="4">
        <v>12</v>
      </c>
      <c r="E61" s="9" t="str">
        <f t="shared" si="2"/>
        <v>#if(defined(DOUT12_PORT) &amp;&amp; defined(DOUT12_BIT))
#define DIO59 59
#define DOUT12 59
#define DIO59_PORT (DOUT12_PORT)
#define DIO59_BIT (DOUT12_BIT)
#define DOUT12_OUTREG (__outreg__(DOUT12_PORT))
#define DOUT12_INREG (__inreg__(DOUT12_PORT))
#define DOUT12_DIRREG (__dirreg__(DOUT12_PORT))
#define DIO59_OUTREG (__outreg__(DOUT12_PORT))
#define DIO59_INREG (__inreg__(DOUT12_PORT))
#define DIO59_DIRREG (__dirreg__(DOUT12_PORT))
#endif</v>
      </c>
      <c r="F61" s="12"/>
      <c r="G61" s="9"/>
      <c r="H61" s="9"/>
      <c r="I61" s="4" t="str">
        <f t="shared" si="10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1"/>
        <v>DIO60</v>
      </c>
      <c r="C62" s="4" t="s">
        <v>56</v>
      </c>
      <c r="D62" s="4">
        <v>13</v>
      </c>
      <c r="E62" s="9" t="str">
        <f t="shared" si="2"/>
        <v>#if(defined(DOUT13_PORT) &amp;&amp; defined(DOUT13_BIT))
#define DIO60 60
#define DOUT13 60
#define DIO60_PORT (DOUT13_PORT)
#define DIO60_BIT (DOUT13_BIT)
#define DOUT13_OUTREG (__outreg__(DOUT13_PORT))
#define DOUT13_INREG (__inreg__(DOUT13_PORT))
#define DOUT13_DIRREG (__dirreg__(DOUT13_PORT))
#define DIO60_OUTREG (__outreg__(DOUT13_PORT))
#define DIO60_INREG (__inreg__(DOUT13_PORT))
#define DIO60_DIRREG (__dirreg__(DOUT13_PORT))
#endif</v>
      </c>
      <c r="F62" s="12"/>
      <c r="G62" s="9"/>
      <c r="H62" s="9"/>
      <c r="I62" s="4" t="str">
        <f t="shared" si="10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1"/>
        <v>DIO61</v>
      </c>
      <c r="C63" s="4" t="s">
        <v>57</v>
      </c>
      <c r="D63" s="4">
        <v>14</v>
      </c>
      <c r="E63" s="9" t="str">
        <f t="shared" si="2"/>
        <v>#if(defined(DOUT14_PORT) &amp;&amp; defined(DOUT14_BIT))
#define DIO61 61
#define DOUT14 61
#define DIO61_PORT (DOUT14_PORT)
#define DIO61_BIT (DOUT14_BIT)
#define DOUT14_OUTREG (__outreg__(DOUT14_PORT))
#define DOUT14_INREG (__inreg__(DOUT14_PORT))
#define DOUT14_DIRREG (__dirreg__(DOUT14_PORT))
#define DIO61_OUTREG (__outreg__(DOUT14_PORT))
#define DIO61_INREG (__inreg__(DOUT14_PORT))
#define DIO61_DIRREG (__dirreg__(DOUT14_PORT))
#endif</v>
      </c>
      <c r="F63" s="12"/>
      <c r="G63" s="9"/>
      <c r="H63" s="9"/>
      <c r="I63" s="4" t="str">
        <f t="shared" si="10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1"/>
        <v>DIO62</v>
      </c>
      <c r="C64" s="4" t="s">
        <v>58</v>
      </c>
      <c r="D64" s="4">
        <v>15</v>
      </c>
      <c r="E64" s="9" t="str">
        <f t="shared" si="2"/>
        <v>#if(defined(DOUT15_PORT) &amp;&amp; defined(DOUT15_BIT))
#define DIO62 62
#define DOUT15 62
#define DIO62_PORT (DOUT15_PORT)
#define DIO62_BIT (DOUT15_BIT)
#define DOUT15_OUTREG (__outreg__(DOUT15_PORT))
#define DOUT15_INREG (__inreg__(DOUT15_PORT))
#define DOUT15_DIRREG (__dirreg__(DOUT15_PORT))
#define DIO62_OUTREG (__outreg__(DOUT15_PORT))
#define DIO62_INREG (__inreg__(DOUT15_PORT))
#define DIO62_DIRREG (__dirreg__(DOUT15_PORT))
#endif</v>
      </c>
      <c r="F64" s="9"/>
      <c r="G64" s="9"/>
      <c r="H64" s="9"/>
      <c r="I64" s="4" t="str">
        <f t="shared" si="10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1"/>
        <v>DIO63</v>
      </c>
      <c r="C65" s="4" t="s">
        <v>191</v>
      </c>
      <c r="D65" s="4">
        <v>16</v>
      </c>
      <c r="E65" s="9" t="str">
        <f t="shared" ref="E65:E80" si="11">"#if(defined("&amp;C65&amp;"_PORT) &amp;&amp; defined("&amp;C65&amp;"_BIT))
#define "&amp;B65&amp;" "&amp;A65&amp;"
#define "&amp;C65&amp;" "&amp;A65&amp;"
#define "&amp;B65&amp;"_PORT ("&amp;C65&amp;"_PORT)
#define "&amp;B65&amp;"_BIT ("&amp;C65&amp;"_BIT)
#define "&amp;C65&amp;"_OUTREG (__outreg__("&amp;C65&amp;"_PORT))
#define "&amp;C65&amp;"_INREG (__inreg__("&amp;C65&amp;"_PORT))
#define "&amp;C65&amp;"_DIRREG (__dirreg__("&amp;C65&amp;"_PORT))
#define "&amp;B65&amp;"_OUTREG (__outreg__("&amp;C65&amp;"_PORT))
#define "&amp;B65&amp;"_INREG (__inreg__("&amp;C65&amp;"_PORT))
#define "&amp;B65&amp;"_DIRREG (__dirreg__("&amp;C65&amp;"_PORT))
#endif"</f>
        <v>#if(defined(DOUT16_PORT) &amp;&amp; defined(DOUT16_BIT))
#define DIO63 63
#define DOUT16 63
#define DIO63_PORT (DOUT16_PORT)
#define DIO63_BIT (DOUT16_BIT)
#define DOUT16_OUTREG (__outreg__(DOUT16_PORT))
#define DOUT16_INREG (__inreg__(DOUT16_PORT))
#define DOUT16_DIRREG (__dirreg__(DOUT16_PORT))
#define DIO63_OUTREG (__outreg__(DOUT16_PORT))
#define DIO63_INREG (__inreg__(DOUT16_PORT))
#define DIO63_DIRREG (__dirreg__(DOUT16_PORT))
#endif</v>
      </c>
      <c r="F65" s="9"/>
      <c r="G65" s="9"/>
      <c r="H65" s="9"/>
      <c r="I65" s="4" t="str">
        <f t="shared" si="10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1"/>
        <v>DIO64</v>
      </c>
      <c r="C66" s="4" t="s">
        <v>192</v>
      </c>
      <c r="D66" s="4">
        <v>17</v>
      </c>
      <c r="E66" s="9" t="str">
        <f t="shared" si="11"/>
        <v>#if(defined(DOUT17_PORT) &amp;&amp; defined(DOUT17_BIT))
#define DIO64 64
#define DOUT17 64
#define DIO64_PORT (DOUT17_PORT)
#define DIO64_BIT (DOUT17_BIT)
#define DOUT17_OUTREG (__outreg__(DOUT17_PORT))
#define DOUT17_INREG (__inreg__(DOUT17_PORT))
#define DOUT17_DIRREG (__dirreg__(DOUT17_PORT))
#define DIO64_OUTREG (__outreg__(DOUT17_PORT))
#define DIO64_INREG (__inreg__(DOUT17_PORT))
#define DIO64_DIRREG (__dirreg__(DOUT17_PORT))
#endif</v>
      </c>
      <c r="F66" s="9"/>
      <c r="G66" s="9"/>
      <c r="H66" s="9"/>
      <c r="I66" s="4" t="str">
        <f t="shared" si="10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1"/>
        <v>DIO65</v>
      </c>
      <c r="C67" s="4" t="s">
        <v>193</v>
      </c>
      <c r="D67" s="4">
        <v>18</v>
      </c>
      <c r="E67" s="9" t="str">
        <f t="shared" si="11"/>
        <v>#if(defined(DOUT18_PORT) &amp;&amp; defined(DOUT18_BIT))
#define DIO65 65
#define DOUT18 65
#define DIO65_PORT (DOUT18_PORT)
#define DIO65_BIT (DOUT18_BIT)
#define DOUT18_OUTREG (__outreg__(DOUT18_PORT))
#define DOUT18_INREG (__inreg__(DOUT18_PORT))
#define DOUT18_DIRREG (__dirreg__(DOUT18_PORT))
#define DIO65_OUTREG (__outreg__(DOUT18_PORT))
#define DIO65_INREG (__inreg__(DOUT18_PORT))
#define DIO65_DIRREG (__dirreg__(DOUT18_PORT))
#endif</v>
      </c>
      <c r="F67" s="9"/>
      <c r="G67" s="9"/>
      <c r="H67" s="9"/>
      <c r="I67" s="4" t="str">
        <f t="shared" si="10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1"/>
        <v>DIO66</v>
      </c>
      <c r="C68" s="4" t="s">
        <v>194</v>
      </c>
      <c r="D68" s="4">
        <v>19</v>
      </c>
      <c r="E68" s="9" t="str">
        <f t="shared" si="11"/>
        <v>#if(defined(DOUT19_PORT) &amp;&amp; defined(DOUT19_BIT))
#define DIO66 66
#define DOUT19 66
#define DIO66_PORT (DOUT19_PORT)
#define DIO66_BIT (DOUT19_BIT)
#define DOUT19_OUTREG (__outreg__(DOUT19_PORT))
#define DOUT19_INREG (__inreg__(DOUT19_PORT))
#define DOUT19_DIRREG (__dirreg__(DOUT19_PORT))
#define DIO66_OUTREG (__outreg__(DOUT19_PORT))
#define DIO66_INREG (__inreg__(DOUT19_PORT))
#define DIO66_DIRREG (__dirreg__(DOUT19_PORT))
#endif</v>
      </c>
      <c r="F68" s="9"/>
      <c r="G68" s="9"/>
      <c r="H68" s="9"/>
      <c r="I68" s="4" t="str">
        <f t="shared" si="10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1"/>
        <v>DIO67</v>
      </c>
      <c r="C69" s="4" t="s">
        <v>195</v>
      </c>
      <c r="D69" s="4">
        <v>20</v>
      </c>
      <c r="E69" s="9" t="str">
        <f t="shared" si="11"/>
        <v>#if(defined(DOUT20_PORT) &amp;&amp; defined(DOUT20_BIT))
#define DIO67 67
#define DOUT20 67
#define DIO67_PORT (DOUT20_PORT)
#define DIO67_BIT (DOUT20_BIT)
#define DOUT20_OUTREG (__outreg__(DOUT20_PORT))
#define DOUT20_INREG (__inreg__(DOUT20_PORT))
#define DOUT20_DIRREG (__dirreg__(DOUT20_PORT))
#define DIO67_OUTREG (__outreg__(DOUT20_PORT))
#define DIO67_INREG (__inreg__(DOUT20_PORT))
#define DIO67_DIRREG (__dirreg__(DOUT20_PORT))
#endif</v>
      </c>
      <c r="F69" s="9"/>
      <c r="G69" s="9"/>
      <c r="H69" s="9"/>
      <c r="I69" s="4" t="str">
        <f t="shared" si="10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1"/>
        <v>DIO68</v>
      </c>
      <c r="C70" s="4" t="s">
        <v>196</v>
      </c>
      <c r="D70" s="4">
        <v>21</v>
      </c>
      <c r="E70" s="9" t="str">
        <f t="shared" si="11"/>
        <v>#if(defined(DOUT21_PORT) &amp;&amp; defined(DOUT21_BIT))
#define DIO68 68
#define DOUT21 68
#define DIO68_PORT (DOUT21_PORT)
#define DIO68_BIT (DOUT21_BIT)
#define DOUT21_OUTREG (__outreg__(DOUT21_PORT))
#define DOUT21_INREG (__inreg__(DOUT21_PORT))
#define DOUT21_DIRREG (__dirreg__(DOUT21_PORT))
#define DIO68_OUTREG (__outreg__(DOUT21_PORT))
#define DIO68_INREG (__inreg__(DOUT21_PORT))
#define DIO68_DIRREG (__dirreg__(DOUT21_PORT))
#endif</v>
      </c>
      <c r="F70" s="9"/>
      <c r="G70" s="9"/>
      <c r="H70" s="9"/>
      <c r="I70" s="4" t="str">
        <f t="shared" si="10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1"/>
        <v>DIO69</v>
      </c>
      <c r="C71" s="4" t="s">
        <v>197</v>
      </c>
      <c r="D71" s="4">
        <v>22</v>
      </c>
      <c r="E71" s="9" t="str">
        <f t="shared" si="11"/>
        <v>#if(defined(DOUT22_PORT) &amp;&amp; defined(DOUT22_BIT))
#define DIO69 69
#define DOUT22 69
#define DIO69_PORT (DOUT22_PORT)
#define DIO69_BIT (DOUT22_BIT)
#define DOUT22_OUTREG (__outreg__(DOUT22_PORT))
#define DOUT22_INREG (__inreg__(DOUT22_PORT))
#define DOUT22_DIRREG (__dirreg__(DOUT22_PORT))
#define DIO69_OUTREG (__outreg__(DOUT22_PORT))
#define DIO69_INREG (__inreg__(DOUT22_PORT))
#define DIO69_DIRREG (__dirreg__(DOUT22_PORT))
#endif</v>
      </c>
      <c r="F71" s="9"/>
      <c r="G71" s="9"/>
      <c r="H71" s="9"/>
      <c r="I71" s="4" t="str">
        <f t="shared" si="10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1"/>
        <v>DIO70</v>
      </c>
      <c r="C72" s="4" t="s">
        <v>198</v>
      </c>
      <c r="D72" s="4">
        <v>23</v>
      </c>
      <c r="E72" s="9" t="str">
        <f t="shared" si="11"/>
        <v>#if(defined(DOUT23_PORT) &amp;&amp; defined(DOUT23_BIT))
#define DIO70 70
#define DOUT23 70
#define DIO70_PORT (DOUT23_PORT)
#define DIO70_BIT (DOUT23_BIT)
#define DOUT23_OUTREG (__outreg__(DOUT23_PORT))
#define DOUT23_INREG (__inreg__(DOUT23_PORT))
#define DOUT23_DIRREG (__dirreg__(DOUT23_PORT))
#define DIO70_OUTREG (__outreg__(DOUT23_PORT))
#define DIO70_INREG (__inreg__(DOUT23_PORT))
#define DIO70_DIRREG (__dirreg__(DOUT23_PORT))
#endif</v>
      </c>
      <c r="F72" s="9"/>
      <c r="G72" s="9"/>
      <c r="H72" s="9"/>
      <c r="I72" s="4" t="str">
        <f t="shared" si="10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1"/>
        <v>DIO71</v>
      </c>
      <c r="C73" s="4" t="s">
        <v>199</v>
      </c>
      <c r="D73" s="4">
        <v>24</v>
      </c>
      <c r="E73" s="9" t="str">
        <f t="shared" si="11"/>
        <v>#if(defined(DOUT24_PORT) &amp;&amp; defined(DOUT24_BIT))
#define DIO71 71
#define DOUT24 71
#define DIO71_PORT (DOUT24_PORT)
#define DIO71_BIT (DOUT24_BIT)
#define DOUT24_OUTREG (__outreg__(DOUT24_PORT))
#define DOUT24_INREG (__inreg__(DOUT24_PORT))
#define DOUT24_DIRREG (__dirreg__(DOUT24_PORT))
#define DIO71_OUTREG (__outreg__(DOUT24_PORT))
#define DIO71_INREG (__inreg__(DOUT24_PORT))
#define DIO71_DIRREG (__dirreg__(DOUT24_PORT))
#endif</v>
      </c>
      <c r="F73" s="9"/>
      <c r="G73" s="9"/>
      <c r="H73" s="9"/>
      <c r="I73" s="4" t="str">
        <f t="shared" si="10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1"/>
        <v>DIO72</v>
      </c>
      <c r="C74" s="4" t="s">
        <v>200</v>
      </c>
      <c r="D74" s="4">
        <v>25</v>
      </c>
      <c r="E74" s="9" t="str">
        <f t="shared" si="11"/>
        <v>#if(defined(DOUT25_PORT) &amp;&amp; defined(DOUT25_BIT))
#define DIO72 72
#define DOUT25 72
#define DIO72_PORT (DOUT25_PORT)
#define DIO72_BIT (DOUT25_BIT)
#define DOUT25_OUTREG (__outreg__(DOUT25_PORT))
#define DOUT25_INREG (__inreg__(DOUT25_PORT))
#define DOUT25_DIRREG (__dirreg__(DOUT25_PORT))
#define DIO72_OUTREG (__outreg__(DOUT25_PORT))
#define DIO72_INREG (__inreg__(DOUT25_PORT))
#define DIO72_DIRREG (__dirreg__(DOUT25_PORT))
#endif</v>
      </c>
      <c r="F74" s="9"/>
      <c r="G74" s="9"/>
      <c r="H74" s="9"/>
      <c r="I74" s="4" t="str">
        <f t="shared" si="10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1"/>
        <v>DIO73</v>
      </c>
      <c r="C75" s="4" t="s">
        <v>201</v>
      </c>
      <c r="D75" s="4">
        <v>26</v>
      </c>
      <c r="E75" s="9" t="str">
        <f t="shared" si="11"/>
        <v>#if(defined(DOUT26_PORT) &amp;&amp; defined(DOUT26_BIT))
#define DIO73 73
#define DOUT26 73
#define DIO73_PORT (DOUT26_PORT)
#define DIO73_BIT (DOUT26_BIT)
#define DOUT26_OUTREG (__outreg__(DOUT26_PORT))
#define DOUT26_INREG (__inreg__(DOUT26_PORT))
#define DOUT26_DIRREG (__dirreg__(DOUT26_PORT))
#define DIO73_OUTREG (__outreg__(DOUT26_PORT))
#define DIO73_INREG (__inreg__(DOUT26_PORT))
#define DIO73_DIRREG (__dirreg__(DOUT26_PORT))
#endif</v>
      </c>
      <c r="F75" s="9"/>
      <c r="G75" s="9"/>
      <c r="H75" s="9"/>
      <c r="I75" s="4" t="str">
        <f t="shared" si="10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1"/>
        <v>DIO74</v>
      </c>
      <c r="C76" s="4" t="s">
        <v>202</v>
      </c>
      <c r="D76" s="4">
        <v>27</v>
      </c>
      <c r="E76" s="9" t="str">
        <f t="shared" si="11"/>
        <v>#if(defined(DOUT27_PORT) &amp;&amp; defined(DOUT27_BIT))
#define DIO74 74
#define DOUT27 74
#define DIO74_PORT (DOUT27_PORT)
#define DIO74_BIT (DOUT27_BIT)
#define DOUT27_OUTREG (__outreg__(DOUT27_PORT))
#define DOUT27_INREG (__inreg__(DOUT27_PORT))
#define DOUT27_DIRREG (__dirreg__(DOUT27_PORT))
#define DIO74_OUTREG (__outreg__(DOUT27_PORT))
#define DIO74_INREG (__inreg__(DOUT27_PORT))
#define DIO74_DIRREG (__dirreg__(DOUT27_PORT))
#endif</v>
      </c>
      <c r="F76" s="12"/>
      <c r="G76" s="9"/>
      <c r="H76" s="9"/>
      <c r="I76" s="4" t="str">
        <f t="shared" si="10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1"/>
        <v>DIO75</v>
      </c>
      <c r="C77" s="4" t="s">
        <v>203</v>
      </c>
      <c r="D77" s="4">
        <v>28</v>
      </c>
      <c r="E77" s="9" t="str">
        <f t="shared" si="11"/>
        <v>#if(defined(DOUT28_PORT) &amp;&amp; defined(DOUT28_BIT))
#define DIO75 75
#define DOUT28 75
#define DIO75_PORT (DOUT28_PORT)
#define DIO75_BIT (DOUT28_BIT)
#define DOUT28_OUTREG (__outreg__(DOUT28_PORT))
#define DOUT28_INREG (__inreg__(DOUT28_PORT))
#define DOUT28_DIRREG (__dirreg__(DOUT28_PORT))
#define DIO75_OUTREG (__outreg__(DOUT28_PORT))
#define DIO75_INREG (__inreg__(DOUT28_PORT))
#define DIO75_DIRREG (__dirreg__(DOUT28_PORT))
#endif</v>
      </c>
      <c r="F77" s="12"/>
      <c r="G77" s="9"/>
      <c r="H77" s="9"/>
      <c r="I77" s="4" t="str">
        <f t="shared" si="10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1"/>
        <v>DIO76</v>
      </c>
      <c r="C78" s="4" t="s">
        <v>204</v>
      </c>
      <c r="D78" s="4">
        <v>29</v>
      </c>
      <c r="E78" s="9" t="str">
        <f t="shared" si="11"/>
        <v>#if(defined(DOUT29_PORT) &amp;&amp; defined(DOUT29_BIT))
#define DIO76 76
#define DOUT29 76
#define DIO76_PORT (DOUT29_PORT)
#define DIO76_BIT (DOUT29_BIT)
#define DOUT29_OUTREG (__outreg__(DOUT29_PORT))
#define DOUT29_INREG (__inreg__(DOUT29_PORT))
#define DOUT29_DIRREG (__dirreg__(DOUT29_PORT))
#define DIO76_OUTREG (__outreg__(DOUT29_PORT))
#define DIO76_INREG (__inreg__(DOUT29_PORT))
#define DIO76_DIRREG (__dirreg__(DOUT29_PORT))
#endif</v>
      </c>
      <c r="F78" s="12"/>
      <c r="G78" s="9"/>
      <c r="H78" s="9"/>
      <c r="I78" s="4" t="str">
        <f t="shared" si="10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1"/>
        <v>DIO77</v>
      </c>
      <c r="C79" s="4" t="s">
        <v>205</v>
      </c>
      <c r="D79" s="4">
        <v>30</v>
      </c>
      <c r="E79" s="9" t="str">
        <f t="shared" si="11"/>
        <v>#if(defined(DOUT30_PORT) &amp;&amp; defined(DOUT30_BIT))
#define DIO77 77
#define DOUT30 77
#define DIO77_PORT (DOUT30_PORT)
#define DIO77_BIT (DOUT30_BIT)
#define DOUT30_OUTREG (__outreg__(DOUT30_PORT))
#define DOUT30_INREG (__inreg__(DOUT30_PORT))
#define DOUT30_DIRREG (__dirreg__(DOUT30_PORT))
#define DIO77_OUTREG (__outreg__(DOUT30_PORT))
#define DIO77_INREG (__inreg__(DOUT30_PORT))
#define DIO77_DIRREG (__dirreg__(DOUT30_PORT))
#endif</v>
      </c>
      <c r="F79" s="12"/>
      <c r="G79" s="9"/>
      <c r="H79" s="9"/>
      <c r="I79" s="4" t="str">
        <f t="shared" si="10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1"/>
        <v>DIO78</v>
      </c>
      <c r="C80" s="4" t="s">
        <v>206</v>
      </c>
      <c r="D80" s="4">
        <v>31</v>
      </c>
      <c r="E80" s="9" t="str">
        <f t="shared" si="11"/>
        <v>#if(defined(DOUT31_PORT) &amp;&amp; defined(DOUT31_BIT))
#define DIO78 78
#define DOUT31 78
#define DIO78_PORT (DOUT31_PORT)
#define DIO78_BIT (DOUT31_BIT)
#define DOUT31_OUTREG (__outreg__(DOUT31_PORT))
#define DOUT31_INREG (__inreg__(DOUT31_PORT))
#define DOUT31_DIRREG (__dirreg__(DOUT31_PORT))
#define DIO78_OUTREG (__outreg__(DOUT31_PORT))
#define DIO78_INREG (__inreg__(DOUT31_PORT))
#define DIO78_DIRREG (__dirreg__(DOUT31_PORT))
#endif</v>
      </c>
      <c r="F80" s="11" t="s">
        <v>122</v>
      </c>
      <c r="G80" s="11" t="s">
        <v>123</v>
      </c>
      <c r="H80" s="9"/>
      <c r="I80" s="4" t="str">
        <f t="shared" si="10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"#if(defined("&amp;C81&amp;"_PORT) &amp;&amp; defined("&amp;C81&amp;"_BIT))
#define "&amp;B81&amp;" "&amp;A81&amp;"
#define "&amp;C81&amp;" "&amp;A81&amp;"
#define "&amp;B81&amp;"_PORT ("&amp;C81&amp;"_PORT)
#define "&amp;B81&amp;"_BIT ("&amp;C81&amp;"_BIT)
#define "&amp;C81&amp;"_OUTREG (__outreg__("&amp;C81&amp;"_PORT))
#define "&amp;C81&amp;"_INREG (__inreg__("&amp;C81&amp;"_PORT))
#define "&amp;C81&amp;"_DIRREG (__dirreg__("&amp;C81&amp;"_PORT))
#define "&amp;B81&amp;"_OUTREG (__outreg__("&amp;C81&amp;"_PORT))
#define "&amp;B81&amp;"_INREG (__inreg__("&amp;C81&amp;"_PORT))
#define "&amp;B81&amp;"_DIRREG (__dirreg__("&amp;C81&amp;"_PORT))
#endif"</f>
        <v>#if(defined(DOUT32_PORT) &amp;&amp; defined(DOUT32_BIT))
#define DIO79 79
#define DOUT32 79
#define DIO79_PORT (DOUT32_PORT)
#define DIO79_BIT (DOUT32_BIT)
#define DOUT32_OUTREG (__outreg__(DOUT32_PORT))
#define DOUT32_INREG (__inreg__(DOUT32_PORT))
#define DOUT32_DIRREG (__dirreg__(DOUT32_PORT))
#define DIO79_OUTREG (__outreg__(DOUT32_PORT))
#define DIO79_INREG (__inreg__(DOUT32_PORT))
#define DIO79_DIRREG (__dirreg__(DOUT32_PORT))
#endif</v>
      </c>
      <c r="F81" s="11"/>
      <c r="G81" s="11"/>
      <c r="H81" s="9"/>
      <c r="I81" s="4" t="str">
        <f>"#if ASSERT_PIN_IO("&amp;C81&amp;")
	mcu_config_output("&amp;C81&amp;");
#endif"</f>
        <v>#if ASSERT_PIN_IO(DOUT32)
	mcu_config_output(DOUT32);
#endif</v>
      </c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#if(defined(DOUT33_PORT) &amp;&amp; defined(DOUT33_BIT))
#define DIO80 80
#define DOUT33 80
#define DIO80_PORT (DOUT33_PORT)
#define DIO80_BIT (DOUT33_BIT)
#define DOUT33_OUTREG (__outreg__(DOUT33_PORT))
#define DOUT33_INREG (__inreg__(DOUT33_PORT))
#define DOUT33_DIRREG (__dirreg__(DOUT33_PORT))
#define DIO80_OUTREG (__outreg__(DOUT33_PORT))
#define DIO80_INREG (__inreg__(DOUT33_PORT))
#define DIO80_DIRREG (__dirreg__(DOUT33_PORT))
#endif</v>
      </c>
      <c r="F82" s="11"/>
      <c r="G82" s="11"/>
      <c r="H82" s="9"/>
      <c r="I82" s="4" t="str">
        <f t="shared" ref="I82:I98" si="14">"#if ASSERT_PIN_IO("&amp;C82&amp;")
	mcu_config_output("&amp;C82&amp;");
#endif"</f>
        <v>#if ASSERT_PIN_IO(DOUT33)
	mcu_config_output(DOUT33);
#endif</v>
      </c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#if(defined(DOUT34_PORT) &amp;&amp; defined(DOUT34_BIT))
#define DIO81 81
#define DOUT34 81
#define DIO81_PORT (DOUT34_PORT)
#define DIO81_BIT (DOUT34_BIT)
#define DOUT34_OUTREG (__outreg__(DOUT34_PORT))
#define DOUT34_INREG (__inreg__(DOUT34_PORT))
#define DOUT34_DIRREG (__dirreg__(DOUT34_PORT))
#define DIO81_OUTREG (__outreg__(DOUT34_PORT))
#define DIO81_INREG (__inreg__(DOUT34_PORT))
#define DIO81_DIRREG (__dirreg__(DOUT34_PORT))
#endif</v>
      </c>
      <c r="F83" s="11"/>
      <c r="G83" s="11"/>
      <c r="H83" s="9"/>
      <c r="I83" s="4" t="str">
        <f t="shared" si="14"/>
        <v>#if ASSERT_PIN_IO(DOUT34)
	mcu_config_output(DOUT34);
#endif</v>
      </c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#if(defined(DOUT35_PORT) &amp;&amp; defined(DOUT35_BIT))
#define DIO82 82
#define DOUT35 82
#define DIO82_PORT (DOUT35_PORT)
#define DIO82_BIT (DOUT35_BIT)
#define DOUT35_OUTREG (__outreg__(DOUT35_PORT))
#define DOUT35_INREG (__inreg__(DOUT35_PORT))
#define DOUT35_DIRREG (__dirreg__(DOUT35_PORT))
#define DIO82_OUTREG (__outreg__(DOUT35_PORT))
#define DIO82_INREG (__inreg__(DOUT35_PORT))
#define DIO82_DIRREG (__dirreg__(DOUT35_PORT))
#endif</v>
      </c>
      <c r="F84" s="11"/>
      <c r="G84" s="11"/>
      <c r="H84" s="9"/>
      <c r="I84" s="4" t="str">
        <f t="shared" si="14"/>
        <v>#if ASSERT_PIN_IO(DOUT35)
	mcu_config_output(DOUT35);
#endif</v>
      </c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#if(defined(DOUT36_PORT) &amp;&amp; defined(DOUT36_BIT))
#define DIO83 83
#define DOUT36 83
#define DIO83_PORT (DOUT36_PORT)
#define DIO83_BIT (DOUT36_BIT)
#define DOUT36_OUTREG (__outreg__(DOUT36_PORT))
#define DOUT36_INREG (__inreg__(DOUT36_PORT))
#define DOUT36_DIRREG (__dirreg__(DOUT36_PORT))
#define DIO83_OUTREG (__outreg__(DOUT36_PORT))
#define DIO83_INREG (__inreg__(DOUT36_PORT))
#define DIO83_DIRREG (__dirreg__(DOUT36_PORT))
#endif</v>
      </c>
      <c r="F85" s="11"/>
      <c r="G85" s="11"/>
      <c r="H85" s="9"/>
      <c r="I85" s="4" t="str">
        <f t="shared" si="14"/>
        <v>#if ASSERT_PIN_IO(DOUT36)
	mcu_config_output(DOUT36);
#endif</v>
      </c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#if(defined(DOUT37_PORT) &amp;&amp; defined(DOUT37_BIT))
#define DIO84 84
#define DOUT37 84
#define DIO84_PORT (DOUT37_PORT)
#define DIO84_BIT (DOUT37_BIT)
#define DOUT37_OUTREG (__outreg__(DOUT37_PORT))
#define DOUT37_INREG (__inreg__(DOUT37_PORT))
#define DOUT37_DIRREG (__dirreg__(DOUT37_PORT))
#define DIO84_OUTREG (__outreg__(DOUT37_PORT))
#define DIO84_INREG (__inreg__(DOUT37_PORT))
#define DIO84_DIRREG (__dirreg__(DOUT37_PORT))
#endif</v>
      </c>
      <c r="F86" s="11"/>
      <c r="G86" s="11"/>
      <c r="H86" s="9"/>
      <c r="I86" s="4" t="str">
        <f t="shared" si="14"/>
        <v>#if ASSERT_PIN_IO(DOUT37)
	mcu_config_output(DOUT37);
#endif</v>
      </c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#if(defined(DOUT38_PORT) &amp;&amp; defined(DOUT38_BIT))
#define DIO85 85
#define DOUT38 85
#define DIO85_PORT (DOUT38_PORT)
#define DIO85_BIT (DOUT38_BIT)
#define DOUT38_OUTREG (__outreg__(DOUT38_PORT))
#define DOUT38_INREG (__inreg__(DOUT38_PORT))
#define DOUT38_DIRREG (__dirreg__(DOUT38_PORT))
#define DIO85_OUTREG (__outreg__(DOUT38_PORT))
#define DIO85_INREG (__inreg__(DOUT38_PORT))
#define DIO85_DIRREG (__dirreg__(DOUT38_PORT))
#endif</v>
      </c>
      <c r="F87" s="11"/>
      <c r="G87" s="11"/>
      <c r="H87" s="9"/>
      <c r="I87" s="4" t="str">
        <f t="shared" si="14"/>
        <v>#if ASSERT_PIN_IO(DOUT38)
	mcu_config_output(DOUT38);
#endif</v>
      </c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#if(defined(DOUT39_PORT) &amp;&amp; defined(DOUT39_BIT))
#define DIO86 86
#define DOUT39 86
#define DIO86_PORT (DOUT39_PORT)
#define DIO86_BIT (DOUT39_BIT)
#define DOUT39_OUTREG (__outreg__(DOUT39_PORT))
#define DOUT39_INREG (__inreg__(DOUT39_PORT))
#define DOUT39_DIRREG (__dirreg__(DOUT39_PORT))
#define DIO86_OUTREG (__outreg__(DOUT39_PORT))
#define DIO86_INREG (__inreg__(DOUT39_PORT))
#define DIO86_DIRREG (__dirreg__(DOUT39_PORT))
#endif</v>
      </c>
      <c r="F88" s="11"/>
      <c r="G88" s="11"/>
      <c r="H88" s="9"/>
      <c r="I88" s="4" t="str">
        <f t="shared" si="14"/>
        <v>#if ASSERT_PIN_IO(DOUT39)
	mcu_config_output(DOUT39);
#endif</v>
      </c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#if(defined(DOUT40_PORT) &amp;&amp; defined(DOUT40_BIT))
#define DIO87 87
#define DOUT40 87
#define DIO87_PORT (DOUT40_PORT)
#define DIO87_BIT (DOUT40_BIT)
#define DOUT40_OUTREG (__outreg__(DOUT40_PORT))
#define DOUT40_INREG (__inreg__(DOUT40_PORT))
#define DOUT40_DIRREG (__dirreg__(DOUT40_PORT))
#define DIO87_OUTREG (__outreg__(DOUT40_PORT))
#define DIO87_INREG (__inreg__(DOUT40_PORT))
#define DIO87_DIRREG (__dirreg__(DOUT40_PORT))
#endif</v>
      </c>
      <c r="F89" s="11"/>
      <c r="G89" s="11"/>
      <c r="H89" s="9"/>
      <c r="I89" s="4" t="str">
        <f t="shared" si="14"/>
        <v>#if ASSERT_PIN_IO(DOUT40)
	mcu_config_output(DOUT40);
#endif</v>
      </c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#if(defined(DOUT41_PORT) &amp;&amp; defined(DOUT41_BIT))
#define DIO88 88
#define DOUT41 88
#define DIO88_PORT (DOUT41_PORT)
#define DIO88_BIT (DOUT41_BIT)
#define DOUT41_OUTREG (__outreg__(DOUT41_PORT))
#define DOUT41_INREG (__inreg__(DOUT41_PORT))
#define DOUT41_DIRREG (__dirreg__(DOUT41_PORT))
#define DIO88_OUTREG (__outreg__(DOUT41_PORT))
#define DIO88_INREG (__inreg__(DOUT41_PORT))
#define DIO88_DIRREG (__dirreg__(DOUT41_PORT))
#endif</v>
      </c>
      <c r="F90" s="11"/>
      <c r="G90" s="11"/>
      <c r="H90" s="9"/>
      <c r="I90" s="4" t="str">
        <f t="shared" si="14"/>
        <v>#if ASSERT_PIN_IO(DOUT41)
	mcu_config_output(DOUT41);
#endif</v>
      </c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#if(defined(DOUT42_PORT) &amp;&amp; defined(DOUT42_BIT))
#define DIO89 89
#define DOUT42 89
#define DIO89_PORT (DOUT42_PORT)
#define DIO89_BIT (DOUT42_BIT)
#define DOUT42_OUTREG (__outreg__(DOUT42_PORT))
#define DOUT42_INREG (__inreg__(DOUT42_PORT))
#define DOUT42_DIRREG (__dirreg__(DOUT42_PORT))
#define DIO89_OUTREG (__outreg__(DOUT42_PORT))
#define DIO89_INREG (__inreg__(DOUT42_PORT))
#define DIO89_DIRREG (__dirreg__(DOUT42_PORT))
#endif</v>
      </c>
      <c r="F91" s="11"/>
      <c r="G91" s="11"/>
      <c r="H91" s="9"/>
      <c r="I91" s="4" t="str">
        <f t="shared" si="14"/>
        <v>#if ASSERT_PIN_IO(DOUT42)
	mcu_config_output(DOUT42);
#endif</v>
      </c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#if(defined(DOUT43_PORT) &amp;&amp; defined(DOUT43_BIT))
#define DIO90 90
#define DOUT43 90
#define DIO90_PORT (DOUT43_PORT)
#define DIO90_BIT (DOUT43_BIT)
#define DOUT43_OUTREG (__outreg__(DOUT43_PORT))
#define DOUT43_INREG (__inreg__(DOUT43_PORT))
#define DOUT43_DIRREG (__dirreg__(DOUT43_PORT))
#define DIO90_OUTREG (__outreg__(DOUT43_PORT))
#define DIO90_INREG (__inreg__(DOUT43_PORT))
#define DIO90_DIRREG (__dirreg__(DOUT43_PORT))
#endif</v>
      </c>
      <c r="F92" s="11"/>
      <c r="G92" s="11"/>
      <c r="H92" s="9"/>
      <c r="I92" s="4" t="str">
        <f t="shared" si="14"/>
        <v>#if ASSERT_PIN_IO(DOUT43)
	mcu_config_output(DOUT43);
#endif</v>
      </c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#if(defined(DOUT44_PORT) &amp;&amp; defined(DOUT44_BIT))
#define DIO91 91
#define DOUT44 91
#define DIO91_PORT (DOUT44_PORT)
#define DIO91_BIT (DOUT44_BIT)
#define DOUT44_OUTREG (__outreg__(DOUT44_PORT))
#define DOUT44_INREG (__inreg__(DOUT44_PORT))
#define DOUT44_DIRREG (__dirreg__(DOUT44_PORT))
#define DIO91_OUTREG (__outreg__(DOUT44_PORT))
#define DIO91_INREG (__inreg__(DOUT44_PORT))
#define DIO91_DIRREG (__dirreg__(DOUT44_PORT))
#endif</v>
      </c>
      <c r="F93" s="11"/>
      <c r="G93" s="11"/>
      <c r="H93" s="9"/>
      <c r="I93" s="4" t="str">
        <f t="shared" si="14"/>
        <v>#if ASSERT_PIN_IO(DOUT44)
	mcu_config_output(DOUT44);
#endif</v>
      </c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#if(defined(DOUT45_PORT) &amp;&amp; defined(DOUT45_BIT))
#define DIO92 92
#define DOUT45 92
#define DIO92_PORT (DOUT45_PORT)
#define DIO92_BIT (DOUT45_BIT)
#define DOUT45_OUTREG (__outreg__(DOUT45_PORT))
#define DOUT45_INREG (__inreg__(DOUT45_PORT))
#define DOUT45_DIRREG (__dirreg__(DOUT45_PORT))
#define DIO92_OUTREG (__outreg__(DOUT45_PORT))
#define DIO92_INREG (__inreg__(DOUT45_PORT))
#define DIO92_DIRREG (__dirreg__(DOUT45_PORT))
#endif</v>
      </c>
      <c r="F94" s="11"/>
      <c r="G94" s="11"/>
      <c r="H94" s="9"/>
      <c r="I94" s="4" t="str">
        <f t="shared" si="14"/>
        <v>#if ASSERT_PIN_IO(DOUT45)
	mcu_config_output(DOUT45);
#endif</v>
      </c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#if(defined(DOUT46_PORT) &amp;&amp; defined(DOUT46_BIT))
#define DIO93 93
#define DOUT46 93
#define DIO93_PORT (DOUT46_PORT)
#define DIO93_BIT (DOUT46_BIT)
#define DOUT46_OUTREG (__outreg__(DOUT46_PORT))
#define DOUT46_INREG (__inreg__(DOUT46_PORT))
#define DOUT46_DIRREG (__dirreg__(DOUT46_PORT))
#define DIO93_OUTREG (__outreg__(DOUT46_PORT))
#define DIO93_INREG (__inreg__(DOUT46_PORT))
#define DIO93_DIRREG (__dirreg__(DOUT46_PORT))
#endif</v>
      </c>
      <c r="F95" s="11"/>
      <c r="G95" s="11"/>
      <c r="H95" s="9"/>
      <c r="I95" s="4" t="str">
        <f t="shared" si="14"/>
        <v>#if ASSERT_PIN_IO(DOUT46)
	mcu_config_output(DOUT46);
#endif</v>
      </c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#if(defined(DOUT47_PORT) &amp;&amp; defined(DOUT47_BIT))
#define DIO94 94
#define DOUT47 94
#define DIO94_PORT (DOUT47_PORT)
#define DIO94_BIT (DOUT47_BIT)
#define DOUT47_OUTREG (__outreg__(DOUT47_PORT))
#define DOUT47_INREG (__inreg__(DOUT47_PORT))
#define DOUT47_DIRREG (__dirreg__(DOUT47_PORT))
#define DIO94_OUTREG (__outreg__(DOUT47_PORT))
#define DIO94_INREG (__inreg__(DOUT47_PORT))
#define DIO94_DIRREG (__dirreg__(DOUT47_PORT))
#endif</v>
      </c>
      <c r="F96" s="11"/>
      <c r="G96" s="11"/>
      <c r="H96" s="9"/>
      <c r="I96" s="4" t="str">
        <f t="shared" si="14"/>
        <v>#if ASSERT_PIN_IO(DOUT47)
	mcu_config_output(DOUT47);
#endif</v>
      </c>
      <c r="J96" s="4"/>
      <c r="K96" s="4"/>
      <c r="L96" s="4"/>
      <c r="M96" s="4"/>
    </row>
    <row r="97" spans="1:17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#if(defined(DOUT48_PORT) &amp;&amp; defined(DOUT48_BIT))
#define DIO95 95
#define DOUT48 95
#define DIO95_PORT (DOUT48_PORT)
#define DIO95_BIT (DOUT48_BIT)
#define DOUT48_OUTREG (__outreg__(DOUT48_PORT))
#define DOUT48_INREG (__inreg__(DOUT48_PORT))
#define DOUT48_DIRREG (__dirreg__(DOUT48_PORT))
#define DIO95_OUTREG (__outreg__(DOUT48_PORT))
#define DIO95_INREG (__inreg__(DOUT48_PORT))
#define DIO95_DIRREG (__dirreg__(DOUT48_PORT))
#endif</v>
      </c>
      <c r="F97" s="11"/>
      <c r="G97" s="11"/>
      <c r="H97" s="9"/>
      <c r="I97" s="4" t="str">
        <f t="shared" si="14"/>
        <v>#if ASSERT_PIN_IO(DOUT48)
	mcu_config_output(DOUT48);
#endif</v>
      </c>
      <c r="J97" s="4"/>
      <c r="K97" s="4"/>
      <c r="L97" s="4"/>
      <c r="M97" s="4"/>
    </row>
    <row r="98" spans="1:17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#if(defined(DOUT49_PORT) &amp;&amp; defined(DOUT49_BIT))
#define DIO96 96
#define DOUT49 96
#define DIO96_PORT (DOUT49_PORT)
#define DIO96_BIT (DOUT49_BIT)
#define DOUT49_OUTREG (__outreg__(DOUT49_PORT))
#define DOUT49_INREG (__inreg__(DOUT49_PORT))
#define DOUT49_DIRREG (__dirreg__(DOUT49_PORT))
#define DIO96_OUTREG (__outreg__(DOUT49_PORT))
#define DIO96_INREG (__inreg__(DOUT49_PORT))
#define DIO96_DIRREG (__dirreg__(DOUT49_PORT))
#endif</v>
      </c>
      <c r="F98" s="11"/>
      <c r="G98" s="11"/>
      <c r="H98" s="9"/>
      <c r="I98" s="4" t="str">
        <f t="shared" si="14"/>
        <v>#if ASSERT_PIN_IO(DOUT49)
	mcu_config_output(DOUT49);
#endif</v>
      </c>
      <c r="J98" s="4"/>
      <c r="K98" s="4"/>
      <c r="L98" s="4"/>
      <c r="M98" s="4"/>
      <c r="N98">
        <v>-8</v>
      </c>
      <c r="O98">
        <v>64</v>
      </c>
      <c r="Q98" t="str">
        <f>"#elif(_ISR == "&amp;N98&amp;")
#define _ISRREG EICRA
#define _ISRA ("&amp;O98&amp;")
#define _EIMSK (1 &lt;&lt; "&amp;(-N98-1)&amp;")"</f>
        <v>#elif(_ISR == -8)
#define _ISRREG EICRA
#define _ISRA (64)
#define _EIMSK (1 &lt;&lt; 7)</v>
      </c>
    </row>
    <row r="99" spans="1:17" ht="15" customHeight="1" x14ac:dyDescent="0.25">
      <c r="A99" s="4">
        <v>100</v>
      </c>
      <c r="B99" s="4" t="str">
        <f t="shared" si="1"/>
        <v>DIO100</v>
      </c>
      <c r="C99" s="4" t="s">
        <v>59</v>
      </c>
      <c r="D99" s="4">
        <v>0</v>
      </c>
      <c r="E99" s="9" t="str">
        <f t="shared" si="2"/>
        <v>#if(defined(LIMIT_X_PORT) &amp;&amp; defined(LIMIT_X_BIT))
#define DIO100 100
#define LIMIT_X 100
#define DIO100_PORT (LIMIT_X_PORT)
#define DIO100_BIT (LIMIT_X_BIT)
#define LIMIT_X_OUTREG (__outreg__(LIMIT_X_PORT))
#define LIMIT_X_INREG (__inreg__(LIMIT_X_PORT))
#define LIMIT_X_DIRREG (__dirreg__(LIMIT_X_PORT))
#define DIO100_OUTREG (__outreg__(LIMIT_X_PORT))
#define DIO100_INREG (__inreg__(LIMIT_X_PORT))
#define DIO100_DIRREG (__dirreg__(LIMIT_X_PORT))
#endif</v>
      </c>
      <c r="F99" s="9" t="str">
        <f>"#if(defined("&amp;C99&amp;"_ISR) &amp;&amp; defined("&amp;C99&amp;"))
#define "&amp;B99&amp;"_ISR ("&amp;C99&amp;"_ISR)
#if("&amp;C99&amp;"_ISR == -8)
#define "&amp;C99&amp;"_ISRREG EICRB
#define "&amp;C99&amp;"_ISRA (64)
#define "&amp;C99&amp;"_EIMSK (1 &lt;&lt; 7)
#elif("&amp;C99&amp;"_ISR == -7)
#define "&amp;C99&amp;"_ISRREG EICRB
#define "&amp;C99&amp;"_ISRA (16)
#define "&amp;C99&amp;"_EIMSK (1 &lt;&lt; 6)
#elif("&amp;C99&amp;"_ISR == -6)
#define "&amp;C99&amp;"_ISRREG EICRB
#define "&amp;C99&amp;"_ISRA (4)
#define "&amp;C99&amp;"_EIMSK (1 &lt;&lt; 5)
#elif("&amp;C99&amp;"_ISR == -5)
#define "&amp;C99&amp;"_ISRREG EICRB
#define "&amp;C99&amp;"_ISRA (1)
#define "&amp;C99&amp;"_EIMSK (1 &lt;&lt; 4)
#elif("&amp;C99&amp;"_ISR == -4)
#define "&amp;C99&amp;"_ISRREG EICRA
#define "&amp;C99&amp;"_ISRA (64)
#define "&amp;C99&amp;"_EIMSK (1 &lt;&lt; 3)
#elif("&amp;C99&amp;"_ISR == -3)
#define "&amp;C99&amp;"_ISRREG EICRA
#define "&amp;C99&amp;"_ISRA (16)
#define "&amp;C99&amp;"_EIMSK (1 &lt;&lt; 2)
#elif("&amp;C99&amp;"_ISR == -2)
#define "&amp;C99&amp;"_ISRREG EICRA
#define "&amp;C99&amp;"_ISRA (4)
#define "&amp;C99&amp;"_EIMSK (1 &lt;&lt; 1)
#elif("&amp;C99&amp;"_ISR == -1)
#define "&amp;C99&amp;"_ISRREG EICRA
#define "&amp;C99&amp;"_ISRA (1)
#define "&amp;C99&amp;"_EIMSK (1 &lt;&lt; 0)
#elif(((("&amp;C99&amp;"_ISR &amp; 0xF8)&gt;&gt;3)&amp;0x3) == 0)
#define "&amp;C99&amp;"_ISRREG PCMSK0
#define "&amp;C99&amp;"_ISR0 (1 &lt;&lt; ("&amp;C99&amp;"_ISR&amp;0x7))
#elif(((("&amp;C99&amp;"_ISR &amp; 0xF8) &gt;&gt; 3) &amp; 0x3) == 1)
#define "&amp;C99&amp;"_ISRREG PCMSK1
#define "&amp;C99&amp;"_ISR1 (1 &lt;&lt; ("&amp;C99&amp;"_ISR&amp;0x7))
#elif(((("&amp;C99&amp;"_ISR &amp; 0xF8) &gt;&gt; 3) &amp; 0x3) == 2)
#define "&amp;C99&amp;"_ISRREG PCMSK2
#define "&amp;C99&amp;"_ISR2 (1 &lt;&lt; ("&amp;C99&amp;"_ISR&amp;0x7))
#elif(((("&amp;C99&amp;"_ISR &amp; 0xF8) &gt;&gt; 3) &amp; 0x3) == 3)
#define "&amp;C99&amp;"_ISRREG PCMSK3
#define "&amp;C99&amp;"_ISR3 (1 &lt;&lt; ("&amp;C99&amp;"_ISR&amp;0x7))
#endif
#define "&amp;B99&amp;"_ISRREG "&amp;C99&amp;"_ISRREG
#endif"</f>
        <v>#if(defined(LIMIT_X_ISR) &amp;&amp; defined(LIMIT_X))
#define DIO100_ISR (LIMIT_X_ISR)
#if(LIMIT_X_ISR == -8)
#define LIMIT_X_ISRREG EICRB
#define LIMIT_X_ISRA (64)
#define LIMIT_X_EIMSK (1 &lt;&lt; 7)
#elif(LIMIT_X_ISR == -7)
#define LIMIT_X_ISRREG EICRB
#define LIMIT_X_ISRA (16)
#define LIMIT_X_EIMSK (1 &lt;&lt; 6)
#elif(LIMIT_X_ISR == -6)
#define LIMIT_X_ISRREG EICRB
#define LIMIT_X_ISRA (4)
#define LIMIT_X_EIMSK (1 &lt;&lt; 5)
#elif(LIMIT_X_ISR == -5)
#define LIMIT_X_ISRREG EICRB
#define LIMIT_X_ISRA (1)
#define LIMIT_X_EIMSK (1 &lt;&lt; 4)
#elif(LIMIT_X_ISR == -4)
#define LIMIT_X_ISRREG EICRA
#define LIMIT_X_ISRA (64)
#define LIMIT_X_EIMSK (1 &lt;&lt; 3)
#elif(LIMIT_X_ISR == -3)
#define LIMIT_X_ISRREG EICRA
#define LIMIT_X_ISRA (16)
#define LIMIT_X_EIMSK (1 &lt;&lt; 2)
#elif(LIMIT_X_ISR == -2)
#define LIMIT_X_ISRREG EICRA
#define LIMIT_X_ISRA (4)
#define LIMIT_X_EIMSK (1 &lt;&lt; 1)
#elif(LIMIT_X_ISR == -1)
#define LIMIT_X_ISRREG EICRA
#define LIMIT_X_ISRA (1)
#define LIMIT_X_EIMSK (1 &lt;&lt; 0)
#elif((((LIMIT_X_ISR &amp; 0xF8)&gt;&gt;3)&amp;0x3) == 0)
#define LIMIT_X_ISRREG PCMSK0
#define LIMIT_X_ISR0 (1 &lt;&lt; (LIMIT_X_ISR&amp;0x7))
#elif((((LIMIT_X_ISR &amp; 0xF8) &gt;&gt; 3) &amp; 0x3) == 1)
#define LIMIT_X_ISRREG PCMSK1
#define LIMIT_X_ISR1 (1 &lt;&lt; (LIMIT_X_ISR&amp;0x7))
#elif((((LIMIT_X_ISR &amp; 0xF8) &gt;&gt; 3) &amp; 0x3) == 2)
#define LIMIT_X_ISRREG PCMSK2
#define LIMIT_X_ISR2 (1 &lt;&lt; (LIMIT_X_ISR&amp;0x7))
#elif((((LIMIT_X_ISR &amp; 0xF8) &gt;&gt; 3) &amp; 0x3) == 3)
#define LIMIT_X_ISRREG PCMSK3
#define LIMIT_X_ISR3 (1 &lt;&lt; (LIMIT_X_ISR&amp;0x7))
#endif
#define DIO100_ISRREG LIMIT_X_ISRREG
#endif</v>
      </c>
      <c r="G99" s="9" t="str">
        <f>"#ifndef "&amp;C99&amp;"_ISR0
#define "&amp;C99&amp;"_ISR0 0
#endif
#ifndef "&amp;C99&amp;"_ISR1
#define "&amp;C99&amp;"_ISR1 0
#endif
#ifndef "&amp;C99&amp;"_ISR2
#define "&amp;C99&amp;"_ISR2 0
#endif
#ifndef "&amp;C99&amp;"_ISR3
#define "&amp;C99&amp;"_ISR3 0
#endif
#ifndef "&amp;C99&amp;"_ISRA
#define "&amp;C99&amp;"_ISRA 0
#endif
#ifndef "&amp;C99&amp;"_ISRB
#define "&amp;C99&amp;"_ISRB 0
#endif
#define "&amp;C99&amp;"_ISR_MASK ("&amp;C99&amp;"_ISR0 | "&amp;C99&amp;"_ISR1 | "&amp;C99&amp;"_ISR2 | "&amp;C99&amp;"_ISR3 | "&amp;C99&amp;"_ISRA | "&amp;C99&amp;"_ISRB)
#ifndef "&amp;C99&amp;"_ISR_MASK
#define "&amp;C99&amp;"_ISR_MASK 0
#endif
#ifndef "&amp;C99&amp;"_EIMSK
#define "&amp;C99&amp;"_EIMSK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LIMIT_X_ISR3
#define LIMIT_X_ISR3 0
#endif
#ifndef LIMIT_X_ISRA
#define LIMIT_X_ISRA 0
#endif
#ifndef LIMIT_X_ISRB
#define LIMIT_X_ISRB 0
#endif
#define LIMIT_X_ISR_MASK (LIMIT_X_ISR0 | LIMIT_X_ISR1 | LIMIT_X_ISR2 | LIMIT_X_ISR3 | LIMIT_X_ISRA | LIMIT_X_ISRB)
#ifndef LIMIT_X_ISR_MASK
#define LIMIT_X_ISR_MASK 0
#endif
#ifndef LIMIT_X_EIMSK
#define LIMIT_X_EIMSK 0
#endif
#define DIO100_ISR_MASK LIMIT_X_ISR_MASK
#define DIO100_ISRREG LIMIT_X_ISRREG</v>
      </c>
      <c r="H99" s="9"/>
      <c r="I99" s="9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  <c r="N99">
        <v>-7</v>
      </c>
      <c r="O99">
        <v>16</v>
      </c>
      <c r="Q99" t="str">
        <f t="shared" ref="Q99:Q105" si="15">"#elif(_ISR == "&amp;N99&amp;")
#define _ISRREG EICRA
#define _ISRA ("&amp;O99&amp;")
#define _EIMSK (1 &lt;&lt; "&amp;(-N99-1)&amp;")"</f>
        <v>#elif(_ISR == -7)
#define _ISRREG EICRA
#define _ISRA (16)
#define _EIMSK (1 &lt;&lt; 6)</v>
      </c>
    </row>
    <row r="100" spans="1:17" ht="15" customHeight="1" x14ac:dyDescent="0.25">
      <c r="A100" s="4">
        <v>101</v>
      </c>
      <c r="B100" s="4" t="str">
        <f t="shared" si="1"/>
        <v>DIO101</v>
      </c>
      <c r="C100" s="4" t="s">
        <v>60</v>
      </c>
      <c r="D100" s="4">
        <v>1</v>
      </c>
      <c r="E100" s="9" t="str">
        <f t="shared" si="2"/>
        <v>#if(defined(LIMIT_Y_PORT) &amp;&amp; defined(LIMIT_Y_BIT))
#define DIO101 101
#define LIMIT_Y 101
#define DIO101_PORT (LIMIT_Y_PORT)
#define DIO101_BIT (LIMIT_Y_BIT)
#define LIMIT_Y_OUTREG (__outreg__(LIMIT_Y_PORT))
#define LIMIT_Y_INREG (__inreg__(LIMIT_Y_PORT))
#define LIMIT_Y_DIRREG (__dirreg__(LIMIT_Y_PORT))
#define DIO101_OUTREG (__outreg__(LIMIT_Y_PORT))
#define DIO101_INREG (__inreg__(LIMIT_Y_PORT))
#define DIO101_DIRREG (__dirreg__(LIMIT_Y_PORT))
#endif</v>
      </c>
      <c r="F100" s="9" t="str">
        <f t="shared" ref="F100:F112" si="16">"#if(defined("&amp;C100&amp;"_ISR) &amp;&amp; defined("&amp;C100&amp;"))
#define "&amp;B100&amp;"_ISR ("&amp;C100&amp;"_ISR)
#if("&amp;C100&amp;"_ISR == -8)
#define "&amp;C100&amp;"_ISRREG EICRB
#define "&amp;C100&amp;"_ISRA (64)
#define "&amp;C100&amp;"_EIMSK (1 &lt;&lt; 7)
#elif("&amp;C100&amp;"_ISR == -7)
#define "&amp;C100&amp;"_ISRREG EICRB
#define "&amp;C100&amp;"_ISRA (16)
#define "&amp;C100&amp;"_EIMSK (1 &lt;&lt; 6)
#elif("&amp;C100&amp;"_ISR == -6)
#define "&amp;C100&amp;"_ISRREG EICRB
#define "&amp;C100&amp;"_ISRA (4)
#define "&amp;C100&amp;"_EIMSK (1 &lt;&lt; 5)
#elif("&amp;C100&amp;"_ISR == -5)
#define "&amp;C100&amp;"_ISRREG EICRB
#define "&amp;C100&amp;"_ISRA (1)
#define "&amp;C100&amp;"_EIMSK (1 &lt;&lt; 4)
#elif("&amp;C100&amp;"_ISR == -4)
#define "&amp;C100&amp;"_ISRREG EICRA
#define "&amp;C100&amp;"_ISRA (64)
#define "&amp;C100&amp;"_EIMSK (1 &lt;&lt; 3)
#elif("&amp;C100&amp;"_ISR == -3)
#define "&amp;C100&amp;"_ISRREG EICRA
#define "&amp;C100&amp;"_ISRA (16)
#define "&amp;C100&amp;"_EIMSK (1 &lt;&lt; 2)
#elif("&amp;C100&amp;"_ISR == -2)
#define "&amp;C100&amp;"_ISRREG EICRA
#define "&amp;C100&amp;"_ISRA (4)
#define "&amp;C100&amp;"_EIMSK (1 &lt;&lt; 1)
#elif("&amp;C100&amp;"_ISR == -1)
#define "&amp;C100&amp;"_ISRREG EICRA
#define "&amp;C100&amp;"_ISRA (1)
#define "&amp;C100&amp;"_EIMSK (1 &lt;&lt; 0)
#elif(((("&amp;C100&amp;"_ISR &amp; 0xF8)&gt;&gt;3)&amp;0x3) == 0)
#define "&amp;C100&amp;"_ISRREG PCMSK0
#define "&amp;C100&amp;"_ISR0 (1 &lt;&lt; ("&amp;C100&amp;"_ISR&amp;0x7))
#elif(((("&amp;C100&amp;"_ISR &amp; 0xF8) &gt;&gt; 3) &amp; 0x3) == 1)
#define "&amp;C100&amp;"_ISRREG PCMSK1
#define "&amp;C100&amp;"_ISR1 (1 &lt;&lt; ("&amp;C100&amp;"_ISR&amp;0x7))
#elif(((("&amp;C100&amp;"_ISR &amp; 0xF8) &gt;&gt; 3) &amp; 0x3) == 2)
#define "&amp;C100&amp;"_ISRREG PCMSK2
#define "&amp;C100&amp;"_ISR2 (1 &lt;&lt; ("&amp;C100&amp;"_ISR&amp;0x7))
#elif(((("&amp;C100&amp;"_ISR &amp; 0xF8) &gt;&gt; 3) &amp; 0x3) == 3)
#define "&amp;C100&amp;"_ISRREG PCMSK3
#define "&amp;C100&amp;"_ISR3 (1 &lt;&lt; ("&amp;C100&amp;"_ISR&amp;0x7))
#endif
#define "&amp;B100&amp;"_ISRREG "&amp;C100&amp;"_ISRREG
#endif"</f>
        <v>#if(defined(LIMIT_Y_ISR) &amp;&amp; defined(LIMIT_Y))
#define DIO101_ISR (LIMIT_Y_ISR)
#if(LIMIT_Y_ISR == -8)
#define LIMIT_Y_ISRREG EICRB
#define LIMIT_Y_ISRA (64)
#define LIMIT_Y_EIMSK (1 &lt;&lt; 7)
#elif(LIMIT_Y_ISR == -7)
#define LIMIT_Y_ISRREG EICRB
#define LIMIT_Y_ISRA (16)
#define LIMIT_Y_EIMSK (1 &lt;&lt; 6)
#elif(LIMIT_Y_ISR == -6)
#define LIMIT_Y_ISRREG EICRB
#define LIMIT_Y_ISRA (4)
#define LIMIT_Y_EIMSK (1 &lt;&lt; 5)
#elif(LIMIT_Y_ISR == -5)
#define LIMIT_Y_ISRREG EICRB
#define LIMIT_Y_ISRA (1)
#define LIMIT_Y_EIMSK (1 &lt;&lt; 4)
#elif(LIMIT_Y_ISR == -4)
#define LIMIT_Y_ISRREG EICRA
#define LIMIT_Y_ISRA (64)
#define LIMIT_Y_EIMSK (1 &lt;&lt; 3)
#elif(LIMIT_Y_ISR == -3)
#define LIMIT_Y_ISRREG EICRA
#define LIMIT_Y_ISRA (16)
#define LIMIT_Y_EIMSK (1 &lt;&lt; 2)
#elif(LIMIT_Y_ISR == -2)
#define LIMIT_Y_ISRREG EICRA
#define LIMIT_Y_ISRA (4)
#define LIMIT_Y_EIMSK (1 &lt;&lt; 1)
#elif(LIMIT_Y_ISR == -1)
#define LIMIT_Y_ISRREG EICRA
#define LIMIT_Y_ISRA (1)
#define LIMIT_Y_EIMSK (1 &lt;&lt; 0)
#elif((((LIMIT_Y_ISR &amp; 0xF8)&gt;&gt;3)&amp;0x3) == 0)
#define LIMIT_Y_ISRREG PCMSK0
#define LIMIT_Y_ISR0 (1 &lt;&lt; (LIMIT_Y_ISR&amp;0x7))
#elif((((LIMIT_Y_ISR &amp; 0xF8) &gt;&gt; 3) &amp; 0x3) == 1)
#define LIMIT_Y_ISRREG PCMSK1
#define LIMIT_Y_ISR1 (1 &lt;&lt; (LIMIT_Y_ISR&amp;0x7))
#elif((((LIMIT_Y_ISR &amp; 0xF8) &gt;&gt; 3) &amp; 0x3) == 2)
#define LIMIT_Y_ISRREG PCMSK2
#define LIMIT_Y_ISR2 (1 &lt;&lt; (LIMIT_Y_ISR&amp;0x7))
#elif((((LIMIT_Y_ISR &amp; 0xF8) &gt;&gt; 3) &amp; 0x3) == 3)
#define LIMIT_Y_ISRREG PCMSK3
#define LIMIT_Y_ISR3 (1 &lt;&lt; (LIMIT_Y_ISR&amp;0x7))
#endif
#define DIO101_ISRREG LIMIT_Y_ISRREG
#endif</v>
      </c>
      <c r="G100" s="9" t="str">
        <f t="shared" ref="G100:G112" si="17">"#ifndef "&amp;C100&amp;"_ISR0
#define "&amp;C100&amp;"_ISR0 0
#endif
#ifndef "&amp;C100&amp;"_ISR1
#define "&amp;C100&amp;"_ISR1 0
#endif
#ifndef "&amp;C100&amp;"_ISR2
#define "&amp;C100&amp;"_ISR2 0
#endif
#ifndef "&amp;C100&amp;"_ISR3
#define "&amp;C100&amp;"_ISR3 0
#endif
#ifndef "&amp;C100&amp;"_ISRA
#define "&amp;C100&amp;"_ISRA 0
#endif
#ifndef "&amp;C100&amp;"_ISRB
#define "&amp;C100&amp;"_ISRB 0
#endif
#define "&amp;C100&amp;"_ISR_MASK ("&amp;C100&amp;"_ISR0 | "&amp;C100&amp;"_ISR1 | "&amp;C100&amp;"_ISR2 | "&amp;C100&amp;"_ISR3 | "&amp;C100&amp;"_ISRA | "&amp;C100&amp;"_ISRB)
#ifndef "&amp;C100&amp;"_ISR_MASK
#define "&amp;C100&amp;"_ISR_MASK 0
#endif
#ifndef "&amp;C100&amp;"_EIMSK
#define "&amp;C100&amp;"_EIMSK 0
#endif
#define "&amp;B100&amp;"_ISR_MASK "&amp;C100&amp;"_ISR_MASK
#define "&amp;B100&amp;"_ISRREG "&amp;C100&amp;"_ISRREG"</f>
        <v>#ifndef LIMIT_Y_ISR0
#define LIMIT_Y_ISR0 0
#endif
#ifndef LIMIT_Y_ISR1
#define LIMIT_Y_ISR1 0
#endif
#ifndef LIMIT_Y_ISR2
#define LIMIT_Y_ISR2 0
#endif
#ifndef LIMIT_Y_ISR3
#define LIMIT_Y_ISR3 0
#endif
#ifndef LIMIT_Y_ISRA
#define LIMIT_Y_ISRA 0
#endif
#ifndef LIMIT_Y_ISRB
#define LIMIT_Y_ISRB 0
#endif
#define LIMIT_Y_ISR_MASK (LIMIT_Y_ISR0 | LIMIT_Y_ISR1 | LIMIT_Y_ISR2 | LIMIT_Y_ISR3 | LIMIT_Y_ISRA | LIMIT_Y_ISRB)
#ifndef LIMIT_Y_ISR_MASK
#define LIMIT_Y_ISR_MASK 0
#endif
#ifndef LIMIT_Y_EIMSK
#define LIMIT_Y_EIMSK 0
#endif
#define DIO101_ISR_MASK LIMIT_Y_ISR_MASK
#define DIO101_ISRREG LIMIT_Y_ISRREG</v>
      </c>
      <c r="H100" s="9"/>
      <c r="I100" s="9" t="str">
        <f t="shared" ref="I100:I112" si="18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  <c r="N100">
        <v>-6</v>
      </c>
      <c r="O100">
        <v>4</v>
      </c>
      <c r="Q100" t="str">
        <f t="shared" si="15"/>
        <v>#elif(_ISR == -6)
#define _ISRREG EICRA
#define _ISRA (4)
#define _EIMSK (1 &lt;&lt; 5)</v>
      </c>
    </row>
    <row r="101" spans="1:17" ht="15" customHeight="1" x14ac:dyDescent="0.25">
      <c r="A101" s="4">
        <v>102</v>
      </c>
      <c r="B101" s="4" t="str">
        <f t="shared" si="1"/>
        <v>DIO102</v>
      </c>
      <c r="C101" s="4" t="s">
        <v>61</v>
      </c>
      <c r="D101" s="4">
        <v>2</v>
      </c>
      <c r="E101" s="9" t="str">
        <f t="shared" si="2"/>
        <v>#if(defined(LIMIT_Z_PORT) &amp;&amp; defined(LIMIT_Z_BIT))
#define DIO102 102
#define LIMIT_Z 102
#define DIO102_PORT (LIMIT_Z_PORT)
#define DIO102_BIT (LIMIT_Z_BIT)
#define LIMIT_Z_OUTREG (__outreg__(LIMIT_Z_PORT))
#define LIMIT_Z_INREG (__inreg__(LIMIT_Z_PORT))
#define LIMIT_Z_DIRREG (__dirreg__(LIMIT_Z_PORT))
#define DIO102_OUTREG (__outreg__(LIMIT_Z_PORT))
#define DIO102_INREG (__inreg__(LIMIT_Z_PORT))
#define DIO102_DIRREG (__dirreg__(LIMIT_Z_PORT))
#endif</v>
      </c>
      <c r="F101" s="9" t="str">
        <f t="shared" si="16"/>
        <v>#if(defined(LIMIT_Z_ISR) &amp;&amp; defined(LIMIT_Z))
#define DIO102_ISR (LIMIT_Z_ISR)
#if(LIMIT_Z_ISR == -8)
#define LIMIT_Z_ISRREG EICRB
#define LIMIT_Z_ISRA (64)
#define LIMIT_Z_EIMSK (1 &lt;&lt; 7)
#elif(LIMIT_Z_ISR == -7)
#define LIMIT_Z_ISRREG EICRB
#define LIMIT_Z_ISRA (16)
#define LIMIT_Z_EIMSK (1 &lt;&lt; 6)
#elif(LIMIT_Z_ISR == -6)
#define LIMIT_Z_ISRREG EICRB
#define LIMIT_Z_ISRA (4)
#define LIMIT_Z_EIMSK (1 &lt;&lt; 5)
#elif(LIMIT_Z_ISR == -5)
#define LIMIT_Z_ISRREG EICRB
#define LIMIT_Z_ISRA (1)
#define LIMIT_Z_EIMSK (1 &lt;&lt; 4)
#elif(LIMIT_Z_ISR == -4)
#define LIMIT_Z_ISRREG EICRA
#define LIMIT_Z_ISRA (64)
#define LIMIT_Z_EIMSK (1 &lt;&lt; 3)
#elif(LIMIT_Z_ISR == -3)
#define LIMIT_Z_ISRREG EICRA
#define LIMIT_Z_ISRA (16)
#define LIMIT_Z_EIMSK (1 &lt;&lt; 2)
#elif(LIMIT_Z_ISR == -2)
#define LIMIT_Z_ISRREG EICRA
#define LIMIT_Z_ISRA (4)
#define LIMIT_Z_EIMSK (1 &lt;&lt; 1)
#elif(LIMIT_Z_ISR == -1)
#define LIMIT_Z_ISRREG EICRA
#define LIMIT_Z_ISRA (1)
#define LIMIT_Z_EIMSK (1 &lt;&lt; 0)
#elif((((LIMIT_Z_ISR &amp; 0xF8)&gt;&gt;3)&amp;0x3) == 0)
#define LIMIT_Z_ISRREG PCMSK0
#define LIMIT_Z_ISR0 (1 &lt;&lt; (LIMIT_Z_ISR&amp;0x7))
#elif((((LIMIT_Z_ISR &amp; 0xF8) &gt;&gt; 3) &amp; 0x3) == 1)
#define LIMIT_Z_ISRREG PCMSK1
#define LIMIT_Z_ISR1 (1 &lt;&lt; (LIMIT_Z_ISR&amp;0x7))
#elif((((LIMIT_Z_ISR &amp; 0xF8) &gt;&gt; 3) &amp; 0x3) == 2)
#define LIMIT_Z_ISRREG PCMSK2
#define LIMIT_Z_ISR2 (1 &lt;&lt; (LIMIT_Z_ISR&amp;0x7))
#elif((((LIMIT_Z_ISR &amp; 0xF8) &gt;&gt; 3) &amp; 0x3) == 3)
#define LIMIT_Z_ISRREG PCMSK3
#define LIMIT_Z_ISR3 (1 &lt;&lt; (LIMIT_Z_ISR&amp;0x7))
#endif
#define DIO102_ISRREG LIMIT_Z_ISRREG
#endif</v>
      </c>
      <c r="G101" s="9" t="str">
        <f t="shared" si="17"/>
        <v>#ifndef LIMIT_Z_ISR0
#define LIMIT_Z_ISR0 0
#endif
#ifndef LIMIT_Z_ISR1
#define LIMIT_Z_ISR1 0
#endif
#ifndef LIMIT_Z_ISR2
#define LIMIT_Z_ISR2 0
#endif
#ifndef LIMIT_Z_ISR3
#define LIMIT_Z_ISR3 0
#endif
#ifndef LIMIT_Z_ISRA
#define LIMIT_Z_ISRA 0
#endif
#ifndef LIMIT_Z_ISRB
#define LIMIT_Z_ISRB 0
#endif
#define LIMIT_Z_ISR_MASK (LIMIT_Z_ISR0 | LIMIT_Z_ISR1 | LIMIT_Z_ISR2 | LIMIT_Z_ISR3 | LIMIT_Z_ISRA | LIMIT_Z_ISRB)
#ifndef LIMIT_Z_ISR_MASK
#define LIMIT_Z_ISR_MASK 0
#endif
#ifndef LIMIT_Z_EIMSK
#define LIMIT_Z_EIMSK 0
#endif
#define DIO102_ISR_MASK LIMIT_Z_ISR_MASK
#define DIO102_ISRREG LIMIT_Z_ISRREG</v>
      </c>
      <c r="H101" s="9"/>
      <c r="I101" s="9" t="str">
        <f t="shared" si="18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  <c r="N101">
        <v>-5</v>
      </c>
      <c r="O101">
        <v>1</v>
      </c>
      <c r="Q101" t="str">
        <f t="shared" si="15"/>
        <v>#elif(_ISR == -5)
#define _ISRREG EICRA
#define _ISRA (1)
#define _EIMSK (1 &lt;&lt; 4)</v>
      </c>
    </row>
    <row r="102" spans="1:17" ht="15" customHeight="1" x14ac:dyDescent="0.25">
      <c r="A102" s="4">
        <v>103</v>
      </c>
      <c r="B102" s="4" t="str">
        <f t="shared" si="1"/>
        <v>DIO103</v>
      </c>
      <c r="C102" s="4" t="s">
        <v>62</v>
      </c>
      <c r="D102" s="4">
        <v>3</v>
      </c>
      <c r="E102" s="9" t="str">
        <f t="shared" si="2"/>
        <v>#if(defined(LIMIT_X2_PORT) &amp;&amp; defined(LIMIT_X2_BIT))
#define DIO103 103
#define LIMIT_X2 103
#define DIO103_PORT (LIMIT_X2_PORT)
#define DIO103_BIT (LIMIT_X2_BIT)
#define LIMIT_X2_OUTREG (__outreg__(LIMIT_X2_PORT))
#define LIMIT_X2_INREG (__inreg__(LIMIT_X2_PORT))
#define LIMIT_X2_DIRREG (__dirreg__(LIMIT_X2_PORT))
#define DIO103_OUTREG (__outreg__(LIMIT_X2_PORT))
#define DIO103_INREG (__inreg__(LIMIT_X2_PORT))
#define DIO103_DIRREG (__dirreg__(LIMIT_X2_PORT))
#endif</v>
      </c>
      <c r="F102" s="9" t="str">
        <f t="shared" si="16"/>
        <v>#if(defined(LIMIT_X2_ISR) &amp;&amp; defined(LIMIT_X2))
#define DIO103_ISR (LIMIT_X2_ISR)
#if(LIMIT_X2_ISR == -8)
#define LIMIT_X2_ISRREG EICRB
#define LIMIT_X2_ISRA (64)
#define LIMIT_X2_EIMSK (1 &lt;&lt; 7)
#elif(LIMIT_X2_ISR == -7)
#define LIMIT_X2_ISRREG EICRB
#define LIMIT_X2_ISRA (16)
#define LIMIT_X2_EIMSK (1 &lt;&lt; 6)
#elif(LIMIT_X2_ISR == -6)
#define LIMIT_X2_ISRREG EICRB
#define LIMIT_X2_ISRA (4)
#define LIMIT_X2_EIMSK (1 &lt;&lt; 5)
#elif(LIMIT_X2_ISR == -5)
#define LIMIT_X2_ISRREG EICRB
#define LIMIT_X2_ISRA (1)
#define LIMIT_X2_EIMSK (1 &lt;&lt; 4)
#elif(LIMIT_X2_ISR == -4)
#define LIMIT_X2_ISRREG EICRA
#define LIMIT_X2_ISRA (64)
#define LIMIT_X2_EIMSK (1 &lt;&lt; 3)
#elif(LIMIT_X2_ISR == -3)
#define LIMIT_X2_ISRREG EICRA
#define LIMIT_X2_ISRA (16)
#define LIMIT_X2_EIMSK (1 &lt;&lt; 2)
#elif(LIMIT_X2_ISR == -2)
#define LIMIT_X2_ISRREG EICRA
#define LIMIT_X2_ISRA (4)
#define LIMIT_X2_EIMSK (1 &lt;&lt; 1)
#elif(LIMIT_X2_ISR == -1)
#define LIMIT_X2_ISRREG EICRA
#define LIMIT_X2_ISRA (1)
#define LIMIT_X2_EIMSK (1 &lt;&lt; 0)
#elif((((LIMIT_X2_ISR &amp; 0xF8)&gt;&gt;3)&amp;0x3) == 0)
#define LIMIT_X2_ISRREG PCMSK0
#define LIMIT_X2_ISR0 (1 &lt;&lt; (LIMIT_X2_ISR&amp;0x7))
#elif((((LIMIT_X2_ISR &amp; 0xF8) &gt;&gt; 3) &amp; 0x3) == 1)
#define LIMIT_X2_ISRREG PCMSK1
#define LIMIT_X2_ISR1 (1 &lt;&lt; (LIMIT_X2_ISR&amp;0x7))
#elif((((LIMIT_X2_ISR &amp; 0xF8) &gt;&gt; 3) &amp; 0x3) == 2)
#define LIMIT_X2_ISRREG PCMSK2
#define LIMIT_X2_ISR2 (1 &lt;&lt; (LIMIT_X2_ISR&amp;0x7))
#elif((((LIMIT_X2_ISR &amp; 0xF8) &gt;&gt; 3) &amp; 0x3) == 3)
#define LIMIT_X2_ISRREG PCMSK3
#define LIMIT_X2_ISR3 (1 &lt;&lt; (LIMIT_X2_ISR&amp;0x7))
#endif
#define DIO103_ISRREG LIMIT_X2_ISRREG
#endif</v>
      </c>
      <c r="G102" s="9" t="str">
        <f t="shared" si="17"/>
        <v>#ifndef LIMIT_X2_ISR0
#define LIMIT_X2_ISR0 0
#endif
#ifndef LIMIT_X2_ISR1
#define LIMIT_X2_ISR1 0
#endif
#ifndef LIMIT_X2_ISR2
#define LIMIT_X2_ISR2 0
#endif
#ifndef LIMIT_X2_ISR3
#define LIMIT_X2_ISR3 0
#endif
#ifndef LIMIT_X2_ISRA
#define LIMIT_X2_ISRA 0
#endif
#ifndef LIMIT_X2_ISRB
#define LIMIT_X2_ISRB 0
#endif
#define LIMIT_X2_ISR_MASK (LIMIT_X2_ISR0 | LIMIT_X2_ISR1 | LIMIT_X2_ISR2 | LIMIT_X2_ISR3 | LIMIT_X2_ISRA | LIMIT_X2_ISRB)
#ifndef LIMIT_X2_ISR_MASK
#define LIMIT_X2_ISR_MASK 0
#endif
#ifndef LIMIT_X2_EIMSK
#define LIMIT_X2_EIMSK 0
#endif
#define DIO103_ISR_MASK LIMIT_X2_ISR_MASK
#define DIO103_ISRREG LIMIT_X2_ISRREG</v>
      </c>
      <c r="H102" s="9"/>
      <c r="I102" s="9" t="str">
        <f t="shared" si="18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  <c r="N102">
        <v>-4</v>
      </c>
      <c r="O102">
        <v>64</v>
      </c>
      <c r="Q102" t="str">
        <f t="shared" si="15"/>
        <v>#elif(_ISR == -4)
#define _ISRREG EICRA
#define _ISRA (64)
#define _EIMSK (1 &lt;&lt; 3)</v>
      </c>
    </row>
    <row r="103" spans="1:17" ht="15" customHeight="1" x14ac:dyDescent="0.25">
      <c r="A103" s="4">
        <v>104</v>
      </c>
      <c r="B103" s="4" t="str">
        <f t="shared" si="1"/>
        <v>DIO104</v>
      </c>
      <c r="C103" s="4" t="s">
        <v>63</v>
      </c>
      <c r="D103" s="4">
        <v>4</v>
      </c>
      <c r="E103" s="9" t="str">
        <f t="shared" si="2"/>
        <v>#if(defined(LIMIT_Y2_PORT) &amp;&amp; defined(LIMIT_Y2_BIT))
#define DIO104 104
#define LIMIT_Y2 104
#define DIO104_PORT (LIMIT_Y2_PORT)
#define DIO104_BIT (LIMIT_Y2_BIT)
#define LIMIT_Y2_OUTREG (__outreg__(LIMIT_Y2_PORT))
#define LIMIT_Y2_INREG (__inreg__(LIMIT_Y2_PORT))
#define LIMIT_Y2_DIRREG (__dirreg__(LIMIT_Y2_PORT))
#define DIO104_OUTREG (__outreg__(LIMIT_Y2_PORT))
#define DIO104_INREG (__inreg__(LIMIT_Y2_PORT))
#define DIO104_DIRREG (__dirreg__(LIMIT_Y2_PORT))
#endif</v>
      </c>
      <c r="F103" s="9" t="str">
        <f t="shared" si="16"/>
        <v>#if(defined(LIMIT_Y2_ISR) &amp;&amp; defined(LIMIT_Y2))
#define DIO104_ISR (LIMIT_Y2_ISR)
#if(LIMIT_Y2_ISR == -8)
#define LIMIT_Y2_ISRREG EICRB
#define LIMIT_Y2_ISRA (64)
#define LIMIT_Y2_EIMSK (1 &lt;&lt; 7)
#elif(LIMIT_Y2_ISR == -7)
#define LIMIT_Y2_ISRREG EICRB
#define LIMIT_Y2_ISRA (16)
#define LIMIT_Y2_EIMSK (1 &lt;&lt; 6)
#elif(LIMIT_Y2_ISR == -6)
#define LIMIT_Y2_ISRREG EICRB
#define LIMIT_Y2_ISRA (4)
#define LIMIT_Y2_EIMSK (1 &lt;&lt; 5)
#elif(LIMIT_Y2_ISR == -5)
#define LIMIT_Y2_ISRREG EICRB
#define LIMIT_Y2_ISRA (1)
#define LIMIT_Y2_EIMSK (1 &lt;&lt; 4)
#elif(LIMIT_Y2_ISR == -4)
#define LIMIT_Y2_ISRREG EICRA
#define LIMIT_Y2_ISRA (64)
#define LIMIT_Y2_EIMSK (1 &lt;&lt; 3)
#elif(LIMIT_Y2_ISR == -3)
#define LIMIT_Y2_ISRREG EICRA
#define LIMIT_Y2_ISRA (16)
#define LIMIT_Y2_EIMSK (1 &lt;&lt; 2)
#elif(LIMIT_Y2_ISR == -2)
#define LIMIT_Y2_ISRREG EICRA
#define LIMIT_Y2_ISRA (4)
#define LIMIT_Y2_EIMSK (1 &lt;&lt; 1)
#elif(LIMIT_Y2_ISR == -1)
#define LIMIT_Y2_ISRREG EICRA
#define LIMIT_Y2_ISRA (1)
#define LIMIT_Y2_EIMSK (1 &lt;&lt; 0)
#elif((((LIMIT_Y2_ISR &amp; 0xF8)&gt;&gt;3)&amp;0x3) == 0)
#define LIMIT_Y2_ISRREG PCMSK0
#define LIMIT_Y2_ISR0 (1 &lt;&lt; (LIMIT_Y2_ISR&amp;0x7))
#elif((((LIMIT_Y2_ISR &amp; 0xF8) &gt;&gt; 3) &amp; 0x3) == 1)
#define LIMIT_Y2_ISRREG PCMSK1
#define LIMIT_Y2_ISR1 (1 &lt;&lt; (LIMIT_Y2_ISR&amp;0x7))
#elif((((LIMIT_Y2_ISR &amp; 0xF8) &gt;&gt; 3) &amp; 0x3) == 2)
#define LIMIT_Y2_ISRREG PCMSK2
#define LIMIT_Y2_ISR2 (1 &lt;&lt; (LIMIT_Y2_ISR&amp;0x7))
#elif((((LIMIT_Y2_ISR &amp; 0xF8) &gt;&gt; 3) &amp; 0x3) == 3)
#define LIMIT_Y2_ISRREG PCMSK3
#define LIMIT_Y2_ISR3 (1 &lt;&lt; (LIMIT_Y2_ISR&amp;0x7))
#endif
#define DIO104_ISRREG LIMIT_Y2_ISRREG
#endif</v>
      </c>
      <c r="G103" s="9" t="str">
        <f t="shared" si="17"/>
        <v>#ifndef LIMIT_Y2_ISR0
#define LIMIT_Y2_ISR0 0
#endif
#ifndef LIMIT_Y2_ISR1
#define LIMIT_Y2_ISR1 0
#endif
#ifndef LIMIT_Y2_ISR2
#define LIMIT_Y2_ISR2 0
#endif
#ifndef LIMIT_Y2_ISR3
#define LIMIT_Y2_ISR3 0
#endif
#ifndef LIMIT_Y2_ISRA
#define LIMIT_Y2_ISRA 0
#endif
#ifndef LIMIT_Y2_ISRB
#define LIMIT_Y2_ISRB 0
#endif
#define LIMIT_Y2_ISR_MASK (LIMIT_Y2_ISR0 | LIMIT_Y2_ISR1 | LIMIT_Y2_ISR2 | LIMIT_Y2_ISR3 | LIMIT_Y2_ISRA | LIMIT_Y2_ISRB)
#ifndef LIMIT_Y2_ISR_MASK
#define LIMIT_Y2_ISR_MASK 0
#endif
#ifndef LIMIT_Y2_EIMSK
#define LIMIT_Y2_EIMSK 0
#endif
#define DIO104_ISR_MASK LIMIT_Y2_ISR_MASK
#define DIO104_ISRREG LIMIT_Y2_ISRREG</v>
      </c>
      <c r="H103" s="9"/>
      <c r="I103" s="9" t="str">
        <f t="shared" si="18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  <c r="N103">
        <v>-3</v>
      </c>
      <c r="O103">
        <v>16</v>
      </c>
      <c r="Q103" t="str">
        <f t="shared" si="15"/>
        <v>#elif(_ISR == -3)
#define _ISRREG EICRA
#define _ISRA (16)
#define _EIMSK (1 &lt;&lt; 2)</v>
      </c>
    </row>
    <row r="104" spans="1:17" ht="15" customHeight="1" x14ac:dyDescent="0.25">
      <c r="A104" s="4">
        <v>105</v>
      </c>
      <c r="B104" s="4" t="str">
        <f t="shared" si="1"/>
        <v>DIO105</v>
      </c>
      <c r="C104" s="4" t="s">
        <v>64</v>
      </c>
      <c r="D104" s="4">
        <v>5</v>
      </c>
      <c r="E104" s="9" t="str">
        <f t="shared" si="2"/>
        <v>#if(defined(LIMIT_Z2_PORT) &amp;&amp; defined(LIMIT_Z2_BIT))
#define DIO105 105
#define LIMIT_Z2 105
#define DIO105_PORT (LIMIT_Z2_PORT)
#define DIO105_BIT (LIMIT_Z2_BIT)
#define LIMIT_Z2_OUTREG (__outreg__(LIMIT_Z2_PORT))
#define LIMIT_Z2_INREG (__inreg__(LIMIT_Z2_PORT))
#define LIMIT_Z2_DIRREG (__dirreg__(LIMIT_Z2_PORT))
#define DIO105_OUTREG (__outreg__(LIMIT_Z2_PORT))
#define DIO105_INREG (__inreg__(LIMIT_Z2_PORT))
#define DIO105_DIRREG (__dirreg__(LIMIT_Z2_PORT))
#endif</v>
      </c>
      <c r="F104" s="9" t="str">
        <f t="shared" si="16"/>
        <v>#if(defined(LIMIT_Z2_ISR) &amp;&amp; defined(LIMIT_Z2))
#define DIO105_ISR (LIMIT_Z2_ISR)
#if(LIMIT_Z2_ISR == -8)
#define LIMIT_Z2_ISRREG EICRB
#define LIMIT_Z2_ISRA (64)
#define LIMIT_Z2_EIMSK (1 &lt;&lt; 7)
#elif(LIMIT_Z2_ISR == -7)
#define LIMIT_Z2_ISRREG EICRB
#define LIMIT_Z2_ISRA (16)
#define LIMIT_Z2_EIMSK (1 &lt;&lt; 6)
#elif(LIMIT_Z2_ISR == -6)
#define LIMIT_Z2_ISRREG EICRB
#define LIMIT_Z2_ISRA (4)
#define LIMIT_Z2_EIMSK (1 &lt;&lt; 5)
#elif(LIMIT_Z2_ISR == -5)
#define LIMIT_Z2_ISRREG EICRB
#define LIMIT_Z2_ISRA (1)
#define LIMIT_Z2_EIMSK (1 &lt;&lt; 4)
#elif(LIMIT_Z2_ISR == -4)
#define LIMIT_Z2_ISRREG EICRA
#define LIMIT_Z2_ISRA (64)
#define LIMIT_Z2_EIMSK (1 &lt;&lt; 3)
#elif(LIMIT_Z2_ISR == -3)
#define LIMIT_Z2_ISRREG EICRA
#define LIMIT_Z2_ISRA (16)
#define LIMIT_Z2_EIMSK (1 &lt;&lt; 2)
#elif(LIMIT_Z2_ISR == -2)
#define LIMIT_Z2_ISRREG EICRA
#define LIMIT_Z2_ISRA (4)
#define LIMIT_Z2_EIMSK (1 &lt;&lt; 1)
#elif(LIMIT_Z2_ISR == -1)
#define LIMIT_Z2_ISRREG EICRA
#define LIMIT_Z2_ISRA (1)
#define LIMIT_Z2_EIMSK (1 &lt;&lt; 0)
#elif((((LIMIT_Z2_ISR &amp; 0xF8)&gt;&gt;3)&amp;0x3) == 0)
#define LIMIT_Z2_ISRREG PCMSK0
#define LIMIT_Z2_ISR0 (1 &lt;&lt; (LIMIT_Z2_ISR&amp;0x7))
#elif((((LIMIT_Z2_ISR &amp; 0xF8) &gt;&gt; 3) &amp; 0x3) == 1)
#define LIMIT_Z2_ISRREG PCMSK1
#define LIMIT_Z2_ISR1 (1 &lt;&lt; (LIMIT_Z2_ISR&amp;0x7))
#elif((((LIMIT_Z2_ISR &amp; 0xF8) &gt;&gt; 3) &amp; 0x3) == 2)
#define LIMIT_Z2_ISRREG PCMSK2
#define LIMIT_Z2_ISR2 (1 &lt;&lt; (LIMIT_Z2_ISR&amp;0x7))
#elif((((LIMIT_Z2_ISR &amp; 0xF8) &gt;&gt; 3) &amp; 0x3) == 3)
#define LIMIT_Z2_ISRREG PCMSK3
#define LIMIT_Z2_ISR3 (1 &lt;&lt; (LIMIT_Z2_ISR&amp;0x7))
#endif
#define DIO105_ISRREG LIMIT_Z2_ISRREG
#endif</v>
      </c>
      <c r="G104" s="9" t="str">
        <f t="shared" si="17"/>
        <v>#ifndef LIMIT_Z2_ISR0
#define LIMIT_Z2_ISR0 0
#endif
#ifndef LIMIT_Z2_ISR1
#define LIMIT_Z2_ISR1 0
#endif
#ifndef LIMIT_Z2_ISR2
#define LIMIT_Z2_ISR2 0
#endif
#ifndef LIMIT_Z2_ISR3
#define LIMIT_Z2_ISR3 0
#endif
#ifndef LIMIT_Z2_ISRA
#define LIMIT_Z2_ISRA 0
#endif
#ifndef LIMIT_Z2_ISRB
#define LIMIT_Z2_ISRB 0
#endif
#define LIMIT_Z2_ISR_MASK (LIMIT_Z2_ISR0 | LIMIT_Z2_ISR1 | LIMIT_Z2_ISR2 | LIMIT_Z2_ISR3 | LIMIT_Z2_ISRA | LIMIT_Z2_ISRB)
#ifndef LIMIT_Z2_ISR_MASK
#define LIMIT_Z2_ISR_MASK 0
#endif
#ifndef LIMIT_Z2_EIMSK
#define LIMIT_Z2_EIMSK 0
#endif
#define DIO105_ISR_MASK LIMIT_Z2_ISR_MASK
#define DIO105_ISRREG LIMIT_Z2_ISRREG</v>
      </c>
      <c r="H104" s="9"/>
      <c r="I104" s="9" t="str">
        <f t="shared" si="18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  <c r="N104">
        <v>-2</v>
      </c>
      <c r="O104">
        <v>4</v>
      </c>
      <c r="Q104" t="str">
        <f t="shared" si="15"/>
        <v>#elif(_ISR == -2)
#define _ISRREG EICRA
#define _ISRA (4)
#define _EIMSK (1 &lt;&lt; 1)</v>
      </c>
    </row>
    <row r="105" spans="1:17" ht="15" customHeight="1" x14ac:dyDescent="0.25">
      <c r="A105" s="4">
        <v>106</v>
      </c>
      <c r="B105" s="4" t="str">
        <f t="shared" si="1"/>
        <v>DIO106</v>
      </c>
      <c r="C105" s="4" t="s">
        <v>65</v>
      </c>
      <c r="D105" s="4">
        <v>6</v>
      </c>
      <c r="E105" s="9" t="str">
        <f t="shared" si="2"/>
        <v>#if(defined(LIMIT_A_PORT) &amp;&amp; defined(LIMIT_A_BIT))
#define DIO106 106
#define LIMIT_A 106
#define DIO106_PORT (LIMIT_A_PORT)
#define DIO106_BIT (LIMIT_A_BIT)
#define LIMIT_A_OUTREG (__outreg__(LIMIT_A_PORT))
#define LIMIT_A_INREG (__inreg__(LIMIT_A_PORT))
#define LIMIT_A_DIRREG (__dirreg__(LIMIT_A_PORT))
#define DIO106_OUTREG (__outreg__(LIMIT_A_PORT))
#define DIO106_INREG (__inreg__(LIMIT_A_PORT))
#define DIO106_DIRREG (__dirreg__(LIMIT_A_PORT))
#endif</v>
      </c>
      <c r="F105" s="9" t="str">
        <f t="shared" si="16"/>
        <v>#if(defined(LIMIT_A_ISR) &amp;&amp; defined(LIMIT_A))
#define DIO106_ISR (LIMIT_A_ISR)
#if(LIMIT_A_ISR == -8)
#define LIMIT_A_ISRREG EICRB
#define LIMIT_A_ISRA (64)
#define LIMIT_A_EIMSK (1 &lt;&lt; 7)
#elif(LIMIT_A_ISR == -7)
#define LIMIT_A_ISRREG EICRB
#define LIMIT_A_ISRA (16)
#define LIMIT_A_EIMSK (1 &lt;&lt; 6)
#elif(LIMIT_A_ISR == -6)
#define LIMIT_A_ISRREG EICRB
#define LIMIT_A_ISRA (4)
#define LIMIT_A_EIMSK (1 &lt;&lt; 5)
#elif(LIMIT_A_ISR == -5)
#define LIMIT_A_ISRREG EICRB
#define LIMIT_A_ISRA (1)
#define LIMIT_A_EIMSK (1 &lt;&lt; 4)
#elif(LIMIT_A_ISR == -4)
#define LIMIT_A_ISRREG EICRA
#define LIMIT_A_ISRA (64)
#define LIMIT_A_EIMSK (1 &lt;&lt; 3)
#elif(LIMIT_A_ISR == -3)
#define LIMIT_A_ISRREG EICRA
#define LIMIT_A_ISRA (16)
#define LIMIT_A_EIMSK (1 &lt;&lt; 2)
#elif(LIMIT_A_ISR == -2)
#define LIMIT_A_ISRREG EICRA
#define LIMIT_A_ISRA (4)
#define LIMIT_A_EIMSK (1 &lt;&lt; 1)
#elif(LIMIT_A_ISR == -1)
#define LIMIT_A_ISRREG EICRA
#define LIMIT_A_ISRA (1)
#define LIMIT_A_EIMSK (1 &lt;&lt; 0)
#elif((((LIMIT_A_ISR &amp; 0xF8)&gt;&gt;3)&amp;0x3) == 0)
#define LIMIT_A_ISRREG PCMSK0
#define LIMIT_A_ISR0 (1 &lt;&lt; (LIMIT_A_ISR&amp;0x7))
#elif((((LIMIT_A_ISR &amp; 0xF8) &gt;&gt; 3) &amp; 0x3) == 1)
#define LIMIT_A_ISRREG PCMSK1
#define LIMIT_A_ISR1 (1 &lt;&lt; (LIMIT_A_ISR&amp;0x7))
#elif((((LIMIT_A_ISR &amp; 0xF8) &gt;&gt; 3) &amp; 0x3) == 2)
#define LIMIT_A_ISRREG PCMSK2
#define LIMIT_A_ISR2 (1 &lt;&lt; (LIMIT_A_ISR&amp;0x7))
#elif((((LIMIT_A_ISR &amp; 0xF8) &gt;&gt; 3) &amp; 0x3) == 3)
#define LIMIT_A_ISRREG PCMSK3
#define LIMIT_A_ISR3 (1 &lt;&lt; (LIMIT_A_ISR&amp;0x7))
#endif
#define DIO106_ISRREG LIMIT_A_ISRREG
#endif</v>
      </c>
      <c r="G105" s="9" t="str">
        <f t="shared" si="17"/>
        <v>#ifndef LIMIT_A_ISR0
#define LIMIT_A_ISR0 0
#endif
#ifndef LIMIT_A_ISR1
#define LIMIT_A_ISR1 0
#endif
#ifndef LIMIT_A_ISR2
#define LIMIT_A_ISR2 0
#endif
#ifndef LIMIT_A_ISR3
#define LIMIT_A_ISR3 0
#endif
#ifndef LIMIT_A_ISRA
#define LIMIT_A_ISRA 0
#endif
#ifndef LIMIT_A_ISRB
#define LIMIT_A_ISRB 0
#endif
#define LIMIT_A_ISR_MASK (LIMIT_A_ISR0 | LIMIT_A_ISR1 | LIMIT_A_ISR2 | LIMIT_A_ISR3 | LIMIT_A_ISRA | LIMIT_A_ISRB)
#ifndef LIMIT_A_ISR_MASK
#define LIMIT_A_ISR_MASK 0
#endif
#ifndef LIMIT_A_EIMSK
#define LIMIT_A_EIMSK 0
#endif
#define DIO106_ISR_MASK LIMIT_A_ISR_MASK
#define DIO106_ISRREG LIMIT_A_ISRREG</v>
      </c>
      <c r="H105" s="9"/>
      <c r="I105" s="9" t="str">
        <f t="shared" si="18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  <c r="N105">
        <v>-1</v>
      </c>
      <c r="O105">
        <v>1</v>
      </c>
      <c r="Q105" t="str">
        <f t="shared" si="15"/>
        <v>#elif(_ISR == -1)
#define _ISRREG EICRA
#define _ISRA (1)
#define _EIMSK (1 &lt;&lt; 0)</v>
      </c>
    </row>
    <row r="106" spans="1:17" ht="15" customHeight="1" x14ac:dyDescent="0.25">
      <c r="A106" s="4">
        <v>107</v>
      </c>
      <c r="B106" s="4" t="str">
        <f t="shared" si="1"/>
        <v>DIO107</v>
      </c>
      <c r="C106" s="4" t="s">
        <v>66</v>
      </c>
      <c r="D106" s="4">
        <v>7</v>
      </c>
      <c r="E106" s="9" t="str">
        <f t="shared" si="2"/>
        <v>#if(defined(LIMIT_B_PORT) &amp;&amp; defined(LIMIT_B_BIT))
#define DIO107 107
#define LIMIT_B 107
#define DIO107_PORT (LIMIT_B_PORT)
#define DIO107_BIT (LIMIT_B_BIT)
#define LIMIT_B_OUTREG (__outreg__(LIMIT_B_PORT))
#define LIMIT_B_INREG (__inreg__(LIMIT_B_PORT))
#define LIMIT_B_DIRREG (__dirreg__(LIMIT_B_PORT))
#define DIO107_OUTREG (__outreg__(LIMIT_B_PORT))
#define DIO107_INREG (__inreg__(LIMIT_B_PORT))
#define DIO107_DIRREG (__dirreg__(LIMIT_B_PORT))
#endif</v>
      </c>
      <c r="F106" s="9" t="str">
        <f t="shared" si="16"/>
        <v>#if(defined(LIMIT_B_ISR) &amp;&amp; defined(LIMIT_B))
#define DIO107_ISR (LIMIT_B_ISR)
#if(LIMIT_B_ISR == -8)
#define LIMIT_B_ISRREG EICRB
#define LIMIT_B_ISRA (64)
#define LIMIT_B_EIMSK (1 &lt;&lt; 7)
#elif(LIMIT_B_ISR == -7)
#define LIMIT_B_ISRREG EICRB
#define LIMIT_B_ISRA (16)
#define LIMIT_B_EIMSK (1 &lt;&lt; 6)
#elif(LIMIT_B_ISR == -6)
#define LIMIT_B_ISRREG EICRB
#define LIMIT_B_ISRA (4)
#define LIMIT_B_EIMSK (1 &lt;&lt; 5)
#elif(LIMIT_B_ISR == -5)
#define LIMIT_B_ISRREG EICRB
#define LIMIT_B_ISRA (1)
#define LIMIT_B_EIMSK (1 &lt;&lt; 4)
#elif(LIMIT_B_ISR == -4)
#define LIMIT_B_ISRREG EICRA
#define LIMIT_B_ISRA (64)
#define LIMIT_B_EIMSK (1 &lt;&lt; 3)
#elif(LIMIT_B_ISR == -3)
#define LIMIT_B_ISRREG EICRA
#define LIMIT_B_ISRA (16)
#define LIMIT_B_EIMSK (1 &lt;&lt; 2)
#elif(LIMIT_B_ISR == -2)
#define LIMIT_B_ISRREG EICRA
#define LIMIT_B_ISRA (4)
#define LIMIT_B_EIMSK (1 &lt;&lt; 1)
#elif(LIMIT_B_ISR == -1)
#define LIMIT_B_ISRREG EICRA
#define LIMIT_B_ISRA (1)
#define LIMIT_B_EIMSK (1 &lt;&lt; 0)
#elif((((LIMIT_B_ISR &amp; 0xF8)&gt;&gt;3)&amp;0x3) == 0)
#define LIMIT_B_ISRREG PCMSK0
#define LIMIT_B_ISR0 (1 &lt;&lt; (LIMIT_B_ISR&amp;0x7))
#elif((((LIMIT_B_ISR &amp; 0xF8) &gt;&gt; 3) &amp; 0x3) == 1)
#define LIMIT_B_ISRREG PCMSK1
#define LIMIT_B_ISR1 (1 &lt;&lt; (LIMIT_B_ISR&amp;0x7))
#elif((((LIMIT_B_ISR &amp; 0xF8) &gt;&gt; 3) &amp; 0x3) == 2)
#define LIMIT_B_ISRREG PCMSK2
#define LIMIT_B_ISR2 (1 &lt;&lt; (LIMIT_B_ISR&amp;0x7))
#elif((((LIMIT_B_ISR &amp; 0xF8) &gt;&gt; 3) &amp; 0x3) == 3)
#define LIMIT_B_ISRREG PCMSK3
#define LIMIT_B_ISR3 (1 &lt;&lt; (LIMIT_B_ISR&amp;0x7))
#endif
#define DIO107_ISRREG LIMIT_B_ISRREG
#endif</v>
      </c>
      <c r="G106" s="9" t="str">
        <f t="shared" si="17"/>
        <v>#ifndef LIMIT_B_ISR0
#define LIMIT_B_ISR0 0
#endif
#ifndef LIMIT_B_ISR1
#define LIMIT_B_ISR1 0
#endif
#ifndef LIMIT_B_ISR2
#define LIMIT_B_ISR2 0
#endif
#ifndef LIMIT_B_ISR3
#define LIMIT_B_ISR3 0
#endif
#ifndef LIMIT_B_ISRA
#define LIMIT_B_ISRA 0
#endif
#ifndef LIMIT_B_ISRB
#define LIMIT_B_ISRB 0
#endif
#define LIMIT_B_ISR_MASK (LIMIT_B_ISR0 | LIMIT_B_ISR1 | LIMIT_B_ISR2 | LIMIT_B_ISR3 | LIMIT_B_ISRA | LIMIT_B_ISRB)
#ifndef LIMIT_B_ISR_MASK
#define LIMIT_B_ISR_MASK 0
#endif
#ifndef LIMIT_B_EIMSK
#define LIMIT_B_EIMSK 0
#endif
#define DIO107_ISR_MASK LIMIT_B_ISR_MASK
#define DIO107_ISRREG LIMIT_B_ISRREG</v>
      </c>
      <c r="H106" s="9"/>
      <c r="I106" s="9" t="str">
        <f t="shared" si="18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7" ht="15" customHeight="1" x14ac:dyDescent="0.25">
      <c r="A107" s="4">
        <v>108</v>
      </c>
      <c r="B107" s="4" t="str">
        <f t="shared" si="1"/>
        <v>DIO108</v>
      </c>
      <c r="C107" s="4" t="s">
        <v>67</v>
      </c>
      <c r="D107" s="4">
        <v>8</v>
      </c>
      <c r="E107" s="9" t="str">
        <f t="shared" si="2"/>
        <v>#if(defined(LIMIT_C_PORT) &amp;&amp; defined(LIMIT_C_BIT))
#define DIO108 108
#define LIMIT_C 108
#define DIO108_PORT (LIMIT_C_PORT)
#define DIO108_BIT (LIMIT_C_BIT)
#define LIMIT_C_OUTREG (__outreg__(LIMIT_C_PORT))
#define LIMIT_C_INREG (__inreg__(LIMIT_C_PORT))
#define LIMIT_C_DIRREG (__dirreg__(LIMIT_C_PORT))
#define DIO108_OUTREG (__outreg__(LIMIT_C_PORT))
#define DIO108_INREG (__inreg__(LIMIT_C_PORT))
#define DIO108_DIRREG (__dirreg__(LIMIT_C_PORT))
#endif</v>
      </c>
      <c r="F107" s="9" t="str">
        <f t="shared" si="16"/>
        <v>#if(defined(LIMIT_C_ISR) &amp;&amp; defined(LIMIT_C))
#define DIO108_ISR (LIMIT_C_ISR)
#if(LIMIT_C_ISR == -8)
#define LIMIT_C_ISRREG EICRB
#define LIMIT_C_ISRA (64)
#define LIMIT_C_EIMSK (1 &lt;&lt; 7)
#elif(LIMIT_C_ISR == -7)
#define LIMIT_C_ISRREG EICRB
#define LIMIT_C_ISRA (16)
#define LIMIT_C_EIMSK (1 &lt;&lt; 6)
#elif(LIMIT_C_ISR == -6)
#define LIMIT_C_ISRREG EICRB
#define LIMIT_C_ISRA (4)
#define LIMIT_C_EIMSK (1 &lt;&lt; 5)
#elif(LIMIT_C_ISR == -5)
#define LIMIT_C_ISRREG EICRB
#define LIMIT_C_ISRA (1)
#define LIMIT_C_EIMSK (1 &lt;&lt; 4)
#elif(LIMIT_C_ISR == -4)
#define LIMIT_C_ISRREG EICRA
#define LIMIT_C_ISRA (64)
#define LIMIT_C_EIMSK (1 &lt;&lt; 3)
#elif(LIMIT_C_ISR == -3)
#define LIMIT_C_ISRREG EICRA
#define LIMIT_C_ISRA (16)
#define LIMIT_C_EIMSK (1 &lt;&lt; 2)
#elif(LIMIT_C_ISR == -2)
#define LIMIT_C_ISRREG EICRA
#define LIMIT_C_ISRA (4)
#define LIMIT_C_EIMSK (1 &lt;&lt; 1)
#elif(LIMIT_C_ISR == -1)
#define LIMIT_C_ISRREG EICRA
#define LIMIT_C_ISRA (1)
#define LIMIT_C_EIMSK (1 &lt;&lt; 0)
#elif((((LIMIT_C_ISR &amp; 0xF8)&gt;&gt;3)&amp;0x3) == 0)
#define LIMIT_C_ISRREG PCMSK0
#define LIMIT_C_ISR0 (1 &lt;&lt; (LIMIT_C_ISR&amp;0x7))
#elif((((LIMIT_C_ISR &amp; 0xF8) &gt;&gt; 3) &amp; 0x3) == 1)
#define LIMIT_C_ISRREG PCMSK1
#define LIMIT_C_ISR1 (1 &lt;&lt; (LIMIT_C_ISR&amp;0x7))
#elif((((LIMIT_C_ISR &amp; 0xF8) &gt;&gt; 3) &amp; 0x3) == 2)
#define LIMIT_C_ISRREG PCMSK2
#define LIMIT_C_ISR2 (1 &lt;&lt; (LIMIT_C_ISR&amp;0x7))
#elif((((LIMIT_C_ISR &amp; 0xF8) &gt;&gt; 3) &amp; 0x3) == 3)
#define LIMIT_C_ISRREG PCMSK3
#define LIMIT_C_ISR3 (1 &lt;&lt; (LIMIT_C_ISR&amp;0x7))
#endif
#define DIO108_ISRREG LIMIT_C_ISRREG
#endif</v>
      </c>
      <c r="G107" s="9" t="str">
        <f t="shared" si="17"/>
        <v>#ifndef LIMIT_C_ISR0
#define LIMIT_C_ISR0 0
#endif
#ifndef LIMIT_C_ISR1
#define LIMIT_C_ISR1 0
#endif
#ifndef LIMIT_C_ISR2
#define LIMIT_C_ISR2 0
#endif
#ifndef LIMIT_C_ISR3
#define LIMIT_C_ISR3 0
#endif
#ifndef LIMIT_C_ISRA
#define LIMIT_C_ISRA 0
#endif
#ifndef LIMIT_C_ISRB
#define LIMIT_C_ISRB 0
#endif
#define LIMIT_C_ISR_MASK (LIMIT_C_ISR0 | LIMIT_C_ISR1 | LIMIT_C_ISR2 | LIMIT_C_ISR3 | LIMIT_C_ISRA | LIMIT_C_ISRB)
#ifndef LIMIT_C_ISR_MASK
#define LIMIT_C_ISR_MASK 0
#endif
#ifndef LIMIT_C_EIMSK
#define LIMIT_C_EIMSK 0
#endif
#define DIO108_ISR_MASK LIMIT_C_ISR_MASK
#define DIO108_ISRREG LIMIT_C_ISRREG</v>
      </c>
      <c r="H107" s="9"/>
      <c r="I107" s="9" t="str">
        <f t="shared" si="18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7" ht="15" customHeight="1" x14ac:dyDescent="0.25">
      <c r="A108" s="4">
        <v>109</v>
      </c>
      <c r="B108" s="4" t="str">
        <f t="shared" si="1"/>
        <v>DIO109</v>
      </c>
      <c r="C108" s="5" t="s">
        <v>68</v>
      </c>
      <c r="D108" s="4">
        <v>0</v>
      </c>
      <c r="E108" s="9" t="str">
        <f t="shared" si="2"/>
        <v>#if(defined(PROBE_PORT) &amp;&amp; defined(PROBE_BIT))
#define DIO109 109
#define PROBE 109
#define DIO109_PORT (PROBE_PORT)
#define DIO109_BIT (PROBE_BIT)
#define PROBE_OUTREG (__outreg__(PROBE_PORT))
#define PROBE_INREG (__inreg__(PROBE_PORT))
#define PROBE_DIRREG (__dirreg__(PROBE_PORT))
#define DIO109_OUTREG (__outreg__(PROBE_PORT))
#define DIO109_INREG (__inreg__(PROBE_PORT))
#define DIO109_DIRREG (__dirreg__(PROBE_PORT))
#endif</v>
      </c>
      <c r="F108" s="9" t="str">
        <f t="shared" si="16"/>
        <v>#if(defined(PROBE_ISR) &amp;&amp; defined(PROBE))
#define DIO109_ISR (PROBE_ISR)
#if(PROBE_ISR == -8)
#define PROBE_ISRREG EICRB
#define PROBE_ISRA (64)
#define PROBE_EIMSK (1 &lt;&lt; 7)
#elif(PROBE_ISR == -7)
#define PROBE_ISRREG EICRB
#define PROBE_ISRA (16)
#define PROBE_EIMSK (1 &lt;&lt; 6)
#elif(PROBE_ISR == -6)
#define PROBE_ISRREG EICRB
#define PROBE_ISRA (4)
#define PROBE_EIMSK (1 &lt;&lt; 5)
#elif(PROBE_ISR == -5)
#define PROBE_ISRREG EICRB
#define PROBE_ISRA (1)
#define PROBE_EIMSK (1 &lt;&lt; 4)
#elif(PROBE_ISR == -4)
#define PROBE_ISRREG EICRA
#define PROBE_ISRA (64)
#define PROBE_EIMSK (1 &lt;&lt; 3)
#elif(PROBE_ISR == -3)
#define PROBE_ISRREG EICRA
#define PROBE_ISRA (16)
#define PROBE_EIMSK (1 &lt;&lt; 2)
#elif(PROBE_ISR == -2)
#define PROBE_ISRREG EICRA
#define PROBE_ISRA (4)
#define PROBE_EIMSK (1 &lt;&lt; 1)
#elif(PROBE_ISR == -1)
#define PROBE_ISRREG EICRA
#define PROBE_ISRA (1)
#define PROBE_EIMSK (1 &lt;&lt; 0)
#elif((((PROBE_ISR &amp; 0xF8)&gt;&gt;3)&amp;0x3) == 0)
#define PROBE_ISRREG PCMSK0
#define PROBE_ISR0 (1 &lt;&lt; (PROBE_ISR&amp;0x7))
#elif((((PROBE_ISR &amp; 0xF8) &gt;&gt; 3) &amp; 0x3) == 1)
#define PROBE_ISRREG PCMSK1
#define PROBE_ISR1 (1 &lt;&lt; (PROBE_ISR&amp;0x7))
#elif((((PROBE_ISR &amp; 0xF8) &gt;&gt; 3) &amp; 0x3) == 2)
#define PROBE_ISRREG PCMSK2
#define PROBE_ISR2 (1 &lt;&lt; (PROBE_ISR&amp;0x7))
#elif((((PROBE_ISR &amp; 0xF8) &gt;&gt; 3) &amp; 0x3) == 3)
#define PROBE_ISRREG PCMSK3
#define PROBE_ISR3 (1 &lt;&lt; (PROBE_ISR&amp;0x7))
#endif
#define DIO109_ISRREG PROBE_ISRREG
#endif</v>
      </c>
      <c r="G108" s="9" t="str">
        <f t="shared" si="17"/>
        <v>#ifndef PROBE_ISR0
#define PROBE_ISR0 0
#endif
#ifndef PROBE_ISR1
#define PROBE_ISR1 0
#endif
#ifndef PROBE_ISR2
#define PROBE_ISR2 0
#endif
#ifndef PROBE_ISR3
#define PROBE_ISR3 0
#endif
#ifndef PROBE_ISRA
#define PROBE_ISRA 0
#endif
#ifndef PROBE_ISRB
#define PROBE_ISRB 0
#endif
#define PROBE_ISR_MASK (PROBE_ISR0 | PROBE_ISR1 | PROBE_ISR2 | PROBE_ISR3 | PROBE_ISRA | PROBE_ISRB)
#ifndef PROBE_ISR_MASK
#define PROBE_ISR_MASK 0
#endif
#ifndef PROBE_EIMSK
#define PROBE_EIMSK 0
#endif
#define DIO109_ISR_MASK PROBE_ISR_MASK
#define DIO109_ISRREG PROBE_ISRREG</v>
      </c>
      <c r="H108" s="9"/>
      <c r="I108" s="9" t="str">
        <f t="shared" si="18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7" ht="15" customHeight="1" x14ac:dyDescent="0.25">
      <c r="A109" s="4">
        <v>110</v>
      </c>
      <c r="B109" s="4" t="str">
        <f t="shared" si="1"/>
        <v>DIO110</v>
      </c>
      <c r="C109" s="4" t="s">
        <v>69</v>
      </c>
      <c r="D109" s="4">
        <v>0</v>
      </c>
      <c r="E109" s="9" t="str">
        <f t="shared" si="2"/>
        <v>#if(defined(ESTOP_PORT) &amp;&amp; defined(ESTOP_BIT))
#define DIO110 110
#define ESTOP 110
#define DIO110_PORT (ESTOP_PORT)
#define DIO110_BIT (ESTOP_BIT)
#define ESTOP_OUTREG (__outreg__(ESTOP_PORT))
#define ESTOP_INREG (__inreg__(ESTOP_PORT))
#define ESTOP_DIRREG (__dirreg__(ESTOP_PORT))
#define DIO110_OUTREG (__outreg__(ESTOP_PORT))
#define DIO110_INREG (__inreg__(ESTOP_PORT))
#define DIO110_DIRREG (__dirreg__(ESTOP_PORT))
#endif</v>
      </c>
      <c r="F109" s="9" t="str">
        <f t="shared" si="16"/>
        <v>#if(defined(ESTOP_ISR) &amp;&amp; defined(ESTOP))
#define DIO110_ISR (ESTOP_ISR)
#if(ESTOP_ISR == -8)
#define ESTOP_ISRREG EICRB
#define ESTOP_ISRA (64)
#define ESTOP_EIMSK (1 &lt;&lt; 7)
#elif(ESTOP_ISR == -7)
#define ESTOP_ISRREG EICRB
#define ESTOP_ISRA (16)
#define ESTOP_EIMSK (1 &lt;&lt; 6)
#elif(ESTOP_ISR == -6)
#define ESTOP_ISRREG EICRB
#define ESTOP_ISRA (4)
#define ESTOP_EIMSK (1 &lt;&lt; 5)
#elif(ESTOP_ISR == -5)
#define ESTOP_ISRREG EICRB
#define ESTOP_ISRA (1)
#define ESTOP_EIMSK (1 &lt;&lt; 4)
#elif(ESTOP_ISR == -4)
#define ESTOP_ISRREG EICRA
#define ESTOP_ISRA (64)
#define ESTOP_EIMSK (1 &lt;&lt; 3)
#elif(ESTOP_ISR == -3)
#define ESTOP_ISRREG EICRA
#define ESTOP_ISRA (16)
#define ESTOP_EIMSK (1 &lt;&lt; 2)
#elif(ESTOP_ISR == -2)
#define ESTOP_ISRREG EICRA
#define ESTOP_ISRA (4)
#define ESTOP_EIMSK (1 &lt;&lt; 1)
#elif(ESTOP_ISR == -1)
#define ESTOP_ISRREG EICRA
#define ESTOP_ISRA (1)
#define ESTOP_EIMSK (1 &lt;&lt; 0)
#elif((((ESTOP_ISR &amp; 0xF8)&gt;&gt;3)&amp;0x3) == 0)
#define ESTOP_ISRREG PCMSK0
#define ESTOP_ISR0 (1 &lt;&lt; (ESTOP_ISR&amp;0x7))
#elif((((ESTOP_ISR &amp; 0xF8) &gt;&gt; 3) &amp; 0x3) == 1)
#define ESTOP_ISRREG PCMSK1
#define ESTOP_ISR1 (1 &lt;&lt; (ESTOP_ISR&amp;0x7))
#elif((((ESTOP_ISR &amp; 0xF8) &gt;&gt; 3) &amp; 0x3) == 2)
#define ESTOP_ISRREG PCMSK2
#define ESTOP_ISR2 (1 &lt;&lt; (ESTOP_ISR&amp;0x7))
#elif((((ESTOP_ISR &amp; 0xF8) &gt;&gt; 3) &amp; 0x3) == 3)
#define ESTOP_ISRREG PCMSK3
#define ESTOP_ISR3 (1 &lt;&lt; (ESTOP_ISR&amp;0x7))
#endif
#define DIO110_ISRREG ESTOP_ISRREG
#endif</v>
      </c>
      <c r="G109" s="9" t="str">
        <f t="shared" si="17"/>
        <v>#ifndef ESTOP_ISR0
#define ESTOP_ISR0 0
#endif
#ifndef ESTOP_ISR1
#define ESTOP_ISR1 0
#endif
#ifndef ESTOP_ISR2
#define ESTOP_ISR2 0
#endif
#ifndef ESTOP_ISR3
#define ESTOP_ISR3 0
#endif
#ifndef ESTOP_ISRA
#define ESTOP_ISRA 0
#endif
#ifndef ESTOP_ISRB
#define ESTOP_ISRB 0
#endif
#define ESTOP_ISR_MASK (ESTOP_ISR0 | ESTOP_ISR1 | ESTOP_ISR2 | ESTOP_ISR3 | ESTOP_ISRA | ESTOP_ISRB)
#ifndef ESTOP_ISR_MASK
#define ESTOP_ISR_MASK 0
#endif
#ifndef ESTOP_EIMSK
#define ESTOP_EIMSK 0
#endif
#define DIO110_ISR_MASK ESTOP_ISR_MASK
#define DIO110_ISRREG ESTOP_ISRREG</v>
      </c>
      <c r="H109" s="9"/>
      <c r="I109" s="9" t="str">
        <f t="shared" si="18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7" ht="15" customHeight="1" x14ac:dyDescent="0.25">
      <c r="A110" s="4">
        <v>111</v>
      </c>
      <c r="B110" s="4" t="str">
        <f t="shared" si="1"/>
        <v>DIO111</v>
      </c>
      <c r="C110" s="4" t="s">
        <v>70</v>
      </c>
      <c r="D110" s="4">
        <v>1</v>
      </c>
      <c r="E110" s="9" t="str">
        <f t="shared" si="2"/>
        <v>#if(defined(SAFETY_DOOR_PORT) &amp;&amp; defined(SAFETY_DOOR_BIT))
#define DIO111 111
#define SAFETY_DOOR 111
#define DIO111_PORT (SAFETY_DOOR_PORT)
#define DIO111_BIT (SAFETY_DOOR_BIT)
#define SAFETY_DOOR_OUTREG (__outreg__(SAFETY_DOOR_PORT))
#define SAFETY_DOOR_INREG (__inreg__(SAFETY_DOOR_PORT))
#define SAFETY_DOOR_DIRREG (__dirreg__(SAFETY_DOOR_PORT))
#define DIO111_OUTREG (__outreg__(SAFETY_DOOR_PORT))
#define DIO111_INREG (__inreg__(SAFETY_DOOR_PORT))
#define DIO111_DIRREG (__dirreg__(SAFETY_DOOR_PORT))
#endif</v>
      </c>
      <c r="F110" s="9" t="str">
        <f t="shared" si="16"/>
        <v>#if(defined(SAFETY_DOOR_ISR) &amp;&amp; defined(SAFETY_DOOR))
#define DIO111_ISR (SAFETY_DOOR_ISR)
#if(SAFETY_DOOR_ISR == -8)
#define SAFETY_DOOR_ISRREG EICRB
#define SAFETY_DOOR_ISRA (64)
#define SAFETY_DOOR_EIMSK (1 &lt;&lt; 7)
#elif(SAFETY_DOOR_ISR == -7)
#define SAFETY_DOOR_ISRREG EICRB
#define SAFETY_DOOR_ISRA (16)
#define SAFETY_DOOR_EIMSK (1 &lt;&lt; 6)
#elif(SAFETY_DOOR_ISR == -6)
#define SAFETY_DOOR_ISRREG EICRB
#define SAFETY_DOOR_ISRA (4)
#define SAFETY_DOOR_EIMSK (1 &lt;&lt; 5)
#elif(SAFETY_DOOR_ISR == -5)
#define SAFETY_DOOR_ISRREG EICRB
#define SAFETY_DOOR_ISRA (1)
#define SAFETY_DOOR_EIMSK (1 &lt;&lt; 4)
#elif(SAFETY_DOOR_ISR == -4)
#define SAFETY_DOOR_ISRREG EICRA
#define SAFETY_DOOR_ISRA (64)
#define SAFETY_DOOR_EIMSK (1 &lt;&lt; 3)
#elif(SAFETY_DOOR_ISR == -3)
#define SAFETY_DOOR_ISRREG EICRA
#define SAFETY_DOOR_ISRA (16)
#define SAFETY_DOOR_EIMSK (1 &lt;&lt; 2)
#elif(SAFETY_DOOR_ISR == -2)
#define SAFETY_DOOR_ISRREG EICRA
#define SAFETY_DOOR_ISRA (4)
#define SAFETY_DOOR_EIMSK (1 &lt;&lt; 1)
#elif(SAFETY_DOOR_ISR == -1)
#define SAFETY_DOOR_ISRREG EICRA
#define SAFETY_DOOR_ISRA (1)
#define SAFETY_DOOR_EIMSK (1 &lt;&lt; 0)
#elif((((SAFETY_DOOR_ISR &amp; 0xF8)&gt;&gt;3)&amp;0x3) == 0)
#define SAFETY_DOOR_ISRREG PCMSK0
#define SAFETY_DOOR_ISR0 (1 &lt;&lt; (SAFETY_DOOR_ISR&amp;0x7))
#elif((((SAFETY_DOOR_ISR &amp; 0xF8) &gt;&gt; 3) &amp; 0x3) == 1)
#define SAFETY_DOOR_ISRREG PCMSK1
#define SAFETY_DOOR_ISR1 (1 &lt;&lt; (SAFETY_DOOR_ISR&amp;0x7))
#elif((((SAFETY_DOOR_ISR &amp; 0xF8) &gt;&gt; 3) &amp; 0x3) == 2)
#define SAFETY_DOOR_ISRREG PCMSK2
#define SAFETY_DOOR_ISR2 (1 &lt;&lt; (SAFETY_DOOR_ISR&amp;0x7))
#elif((((SAFETY_DOOR_ISR &amp; 0xF8) &gt;&gt; 3) &amp; 0x3) == 3)
#define SAFETY_DOOR_ISRREG PCMSK3
#define SAFETY_DOOR_ISR3 (1 &lt;&lt; (SAFETY_DOOR_ISR&amp;0x7))
#endif
#define DIO111_ISRREG SAFETY_DOOR_ISRREG
#endif</v>
      </c>
      <c r="G110" s="9" t="str">
        <f t="shared" si="17"/>
        <v>#ifndef SAFETY_DOOR_ISR0
#define SAFETY_DOOR_ISR0 0
#endif
#ifndef SAFETY_DOOR_ISR1
#define SAFETY_DOOR_ISR1 0
#endif
#ifndef SAFETY_DOOR_ISR2
#define SAFETY_DOOR_ISR2 0
#endif
#ifndef SAFETY_DOOR_ISR3
#define SAFETY_DOOR_ISR3 0
#endif
#ifndef SAFETY_DOOR_ISRA
#define SAFETY_DOOR_ISRA 0
#endif
#ifndef SAFETY_DOOR_ISRB
#define SAFETY_DOOR_ISRB 0
#endif
#define SAFETY_DOOR_ISR_MASK (SAFETY_DOOR_ISR0 | SAFETY_DOOR_ISR1 | SAFETY_DOOR_ISR2 | SAFETY_DOOR_ISR3 | SAFETY_DOOR_ISRA | SAFETY_DOOR_ISRB)
#ifndef SAFETY_DOOR_ISR_MASK
#define SAFETY_DOOR_ISR_MASK 0
#endif
#ifndef SAFETY_DOOR_EIMSK
#define SAFETY_DOOR_EIMSK 0
#endif
#define DIO111_ISR_MASK SAFETY_DOOR_ISR_MASK
#define DIO111_ISRREG SAFETY_DOOR_ISRREG</v>
      </c>
      <c r="H110" s="9"/>
      <c r="I110" s="9" t="str">
        <f t="shared" si="18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7" ht="15" customHeight="1" x14ac:dyDescent="0.25">
      <c r="A111" s="4">
        <v>112</v>
      </c>
      <c r="B111" s="4" t="str">
        <f t="shared" si="1"/>
        <v>DIO112</v>
      </c>
      <c r="C111" s="4" t="s">
        <v>71</v>
      </c>
      <c r="D111" s="4">
        <v>2</v>
      </c>
      <c r="E111" s="9" t="str">
        <f t="shared" si="2"/>
        <v>#if(defined(FHOLD_PORT) &amp;&amp; defined(FHOLD_BIT))
#define DIO112 112
#define FHOLD 112
#define DIO112_PORT (FHOLD_PORT)
#define DIO112_BIT (FHOLD_BIT)
#define FHOLD_OUTREG (__outreg__(FHOLD_PORT))
#define FHOLD_INREG (__inreg__(FHOLD_PORT))
#define FHOLD_DIRREG (__dirreg__(FHOLD_PORT))
#define DIO112_OUTREG (__outreg__(FHOLD_PORT))
#define DIO112_INREG (__inreg__(FHOLD_PORT))
#define DIO112_DIRREG (__dirreg__(FHOLD_PORT))
#endif</v>
      </c>
      <c r="F111" s="9" t="str">
        <f t="shared" si="16"/>
        <v>#if(defined(FHOLD_ISR) &amp;&amp; defined(FHOLD))
#define DIO112_ISR (FHOLD_ISR)
#if(FHOLD_ISR == -8)
#define FHOLD_ISRREG EICRB
#define FHOLD_ISRA (64)
#define FHOLD_EIMSK (1 &lt;&lt; 7)
#elif(FHOLD_ISR == -7)
#define FHOLD_ISRREG EICRB
#define FHOLD_ISRA (16)
#define FHOLD_EIMSK (1 &lt;&lt; 6)
#elif(FHOLD_ISR == -6)
#define FHOLD_ISRREG EICRB
#define FHOLD_ISRA (4)
#define FHOLD_EIMSK (1 &lt;&lt; 5)
#elif(FHOLD_ISR == -5)
#define FHOLD_ISRREG EICRB
#define FHOLD_ISRA (1)
#define FHOLD_EIMSK (1 &lt;&lt; 4)
#elif(FHOLD_ISR == -4)
#define FHOLD_ISRREG EICRA
#define FHOLD_ISRA (64)
#define FHOLD_EIMSK (1 &lt;&lt; 3)
#elif(FHOLD_ISR == -3)
#define FHOLD_ISRREG EICRA
#define FHOLD_ISRA (16)
#define FHOLD_EIMSK (1 &lt;&lt; 2)
#elif(FHOLD_ISR == -2)
#define FHOLD_ISRREG EICRA
#define FHOLD_ISRA (4)
#define FHOLD_EIMSK (1 &lt;&lt; 1)
#elif(FHOLD_ISR == -1)
#define FHOLD_ISRREG EICRA
#define FHOLD_ISRA (1)
#define FHOLD_EIMSK (1 &lt;&lt; 0)
#elif((((FHOLD_ISR &amp; 0xF8)&gt;&gt;3)&amp;0x3) == 0)
#define FHOLD_ISRREG PCMSK0
#define FHOLD_ISR0 (1 &lt;&lt; (FHOLD_ISR&amp;0x7))
#elif((((FHOLD_ISR &amp; 0xF8) &gt;&gt; 3) &amp; 0x3) == 1)
#define FHOLD_ISRREG PCMSK1
#define FHOLD_ISR1 (1 &lt;&lt; (FHOLD_ISR&amp;0x7))
#elif((((FHOLD_ISR &amp; 0xF8) &gt;&gt; 3) &amp; 0x3) == 2)
#define FHOLD_ISRREG PCMSK2
#define FHOLD_ISR2 (1 &lt;&lt; (FHOLD_ISR&amp;0x7))
#elif((((FHOLD_ISR &amp; 0xF8) &gt;&gt; 3) &amp; 0x3) == 3)
#define FHOLD_ISRREG PCMSK3
#define FHOLD_ISR3 (1 &lt;&lt; (FHOLD_ISR&amp;0x7))
#endif
#define DIO112_ISRREG FHOLD_ISRREG
#endif</v>
      </c>
      <c r="G111" s="9" t="str">
        <f t="shared" si="17"/>
        <v>#ifndef FHOLD_ISR0
#define FHOLD_ISR0 0
#endif
#ifndef FHOLD_ISR1
#define FHOLD_ISR1 0
#endif
#ifndef FHOLD_ISR2
#define FHOLD_ISR2 0
#endif
#ifndef FHOLD_ISR3
#define FHOLD_ISR3 0
#endif
#ifndef FHOLD_ISRA
#define FHOLD_ISRA 0
#endif
#ifndef FHOLD_ISRB
#define FHOLD_ISRB 0
#endif
#define FHOLD_ISR_MASK (FHOLD_ISR0 | FHOLD_ISR1 | FHOLD_ISR2 | FHOLD_ISR3 | FHOLD_ISRA | FHOLD_ISRB)
#ifndef FHOLD_ISR_MASK
#define FHOLD_ISR_MASK 0
#endif
#ifndef FHOLD_EIMSK
#define FHOLD_EIMSK 0
#endif
#define DIO112_ISR_MASK FHOLD_ISR_MASK
#define DIO112_ISRREG FHOLD_ISRREG</v>
      </c>
      <c r="H111" s="9"/>
      <c r="I111" s="9" t="str">
        <f t="shared" si="18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7" ht="15" customHeight="1" x14ac:dyDescent="0.25">
      <c r="A112" s="4">
        <v>113</v>
      </c>
      <c r="B112" s="4" t="str">
        <f t="shared" si="1"/>
        <v>DIO113</v>
      </c>
      <c r="C112" s="4" t="s">
        <v>72</v>
      </c>
      <c r="D112" s="4">
        <v>3</v>
      </c>
      <c r="E112" s="9" t="str">
        <f t="shared" si="2"/>
        <v>#if(defined(CS_RES_PORT) &amp;&amp; defined(CS_RES_BIT))
#define DIO113 113
#define CS_RES 113
#define DIO113_PORT (CS_RES_PORT)
#define DIO113_BIT (CS_RES_BIT)
#define CS_RES_OUTREG (__outreg__(CS_RES_PORT))
#define CS_RES_INREG (__inreg__(CS_RES_PORT))
#define CS_RES_DIRREG (__dirreg__(CS_RES_PORT))
#define DIO113_OUTREG (__outreg__(CS_RES_PORT))
#define DIO113_INREG (__inreg__(CS_RES_PORT))
#define DIO113_DIRREG (__dirreg__(CS_RES_PORT))
#endif</v>
      </c>
      <c r="F112" s="9" t="str">
        <f t="shared" si="16"/>
        <v>#if(defined(CS_RES_ISR) &amp;&amp; defined(CS_RES))
#define DIO113_ISR (CS_RES_ISR)
#if(CS_RES_ISR == -8)
#define CS_RES_ISRREG EICRB
#define CS_RES_ISRA (64)
#define CS_RES_EIMSK (1 &lt;&lt; 7)
#elif(CS_RES_ISR == -7)
#define CS_RES_ISRREG EICRB
#define CS_RES_ISRA (16)
#define CS_RES_EIMSK (1 &lt;&lt; 6)
#elif(CS_RES_ISR == -6)
#define CS_RES_ISRREG EICRB
#define CS_RES_ISRA (4)
#define CS_RES_EIMSK (1 &lt;&lt; 5)
#elif(CS_RES_ISR == -5)
#define CS_RES_ISRREG EICRB
#define CS_RES_ISRA (1)
#define CS_RES_EIMSK (1 &lt;&lt; 4)
#elif(CS_RES_ISR == -4)
#define CS_RES_ISRREG EICRA
#define CS_RES_ISRA (64)
#define CS_RES_EIMSK (1 &lt;&lt; 3)
#elif(CS_RES_ISR == -3)
#define CS_RES_ISRREG EICRA
#define CS_RES_ISRA (16)
#define CS_RES_EIMSK (1 &lt;&lt; 2)
#elif(CS_RES_ISR == -2)
#define CS_RES_ISRREG EICRA
#define CS_RES_ISRA (4)
#define CS_RES_EIMSK (1 &lt;&lt; 1)
#elif(CS_RES_ISR == -1)
#define CS_RES_ISRREG EICRA
#define CS_RES_ISRA (1)
#define CS_RES_EIMSK (1 &lt;&lt; 0)
#elif((((CS_RES_ISR &amp; 0xF8)&gt;&gt;3)&amp;0x3) == 0)
#define CS_RES_ISRREG PCMSK0
#define CS_RES_ISR0 (1 &lt;&lt; (CS_RES_ISR&amp;0x7))
#elif((((CS_RES_ISR &amp; 0xF8) &gt;&gt; 3) &amp; 0x3) == 1)
#define CS_RES_ISRREG PCMSK1
#define CS_RES_ISR1 (1 &lt;&lt; (CS_RES_ISR&amp;0x7))
#elif((((CS_RES_ISR &amp; 0xF8) &gt;&gt; 3) &amp; 0x3) == 2)
#define CS_RES_ISRREG PCMSK2
#define CS_RES_ISR2 (1 &lt;&lt; (CS_RES_ISR&amp;0x7))
#elif((((CS_RES_ISR &amp; 0xF8) &gt;&gt; 3) &amp; 0x3) == 3)
#define CS_RES_ISRREG PCMSK3
#define CS_RES_ISR3 (1 &lt;&lt; (CS_RES_ISR&amp;0x7))
#endif
#define DIO113_ISRREG CS_RES_ISRREG
#endif</v>
      </c>
      <c r="G112" s="9" t="str">
        <f t="shared" si="17"/>
        <v>#ifndef CS_RES_ISR0
#define CS_RES_ISR0 0
#endif
#ifndef CS_RES_ISR1
#define CS_RES_ISR1 0
#endif
#ifndef CS_RES_ISR2
#define CS_RES_ISR2 0
#endif
#ifndef CS_RES_ISR3
#define CS_RES_ISR3 0
#endif
#ifndef CS_RES_ISRA
#define CS_RES_ISRA 0
#endif
#ifndef CS_RES_ISRB
#define CS_RES_ISRB 0
#endif
#define CS_RES_ISR_MASK (CS_RES_ISR0 | CS_RES_ISR1 | CS_RES_ISR2 | CS_RES_ISR3 | CS_RES_ISRA | CS_RES_ISRB)
#ifndef CS_RES_ISR_MASK
#define CS_RES_ISR_MASK 0
#endif
#ifndef CS_RES_EIMSK
#define CS_RES_EIMSK 0
#endif
#define DIO113_ISR_MASK CS_RES_ISR_MASK
#define DIO113_ISRREG CS_RES_ISRREG</v>
      </c>
      <c r="H112" s="11" t="s">
        <v>124</v>
      </c>
      <c r="I112" s="9" t="str">
        <f t="shared" si="18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5" ht="15" customHeight="1" x14ac:dyDescent="0.25">
      <c r="A113" s="4">
        <v>114</v>
      </c>
      <c r="B113" s="4" t="str">
        <f t="shared" si="1"/>
        <v>DIO114</v>
      </c>
      <c r="C113" s="4" t="s">
        <v>73</v>
      </c>
      <c r="D113" s="4">
        <v>0</v>
      </c>
      <c r="E113" s="9" t="str">
        <f t="shared" si="2"/>
        <v>#if(defined(ANALOG0_PORT) &amp;&amp; defined(ANALOG0_BIT))
#define DIO114 114
#define ANALOG0 114
#define DIO114_PORT (ANALOG0_PORT)
#define DIO114_BIT (ANALOG0_BIT)
#define ANALOG0_OUTREG (__outreg__(ANALOG0_PORT))
#define ANALOG0_INREG (__inreg__(ANALOG0_PORT))
#define ANALOG0_DIRREG (__dirreg__(ANALOG0_PORT))
#define DIO114_OUTREG (__outreg__(ANALOG0_PORT))
#define DIO114_INREG (__inreg__(ANALOG0_PORT))
#define DIO114_DIRREG (__dirreg__(ANALOG0_PORT))
#endif</v>
      </c>
      <c r="F113" s="9"/>
      <c r="G113" s="9"/>
      <c r="H113" s="12" t="str">
        <f t="shared" ref="H113:H128" si="19">"#ifdef "&amp;C113&amp;"
#define  "&amp;B113&amp;"_CHANNEL "&amp;C113&amp;"_CHANNEL
#endif"</f>
        <v>#ifdef ANALOG0
#define  DIO114_CHANNEL ANALOG0_CHANNEL
#endif</v>
      </c>
      <c r="I113" s="4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5" ht="15" customHeight="1" x14ac:dyDescent="0.25">
      <c r="A114" s="4">
        <v>115</v>
      </c>
      <c r="B114" s="4" t="str">
        <f t="shared" si="1"/>
        <v>DIO115</v>
      </c>
      <c r="C114" s="4" t="s">
        <v>74</v>
      </c>
      <c r="D114" s="4">
        <v>1</v>
      </c>
      <c r="E114" s="9" t="str">
        <f t="shared" si="2"/>
        <v>#if(defined(ANALOG1_PORT) &amp;&amp; defined(ANALOG1_BIT))
#define DIO115 115
#define ANALOG1 115
#define DIO115_PORT (ANALOG1_PORT)
#define DIO115_BIT (ANALOG1_BIT)
#define ANALOG1_OUTREG (__outreg__(ANALOG1_PORT))
#define ANALOG1_INREG (__inreg__(ANALOG1_PORT))
#define ANALOG1_DIRREG (__dirreg__(ANALOG1_PORT))
#define DIO115_OUTREG (__outreg__(ANALOG1_PORT))
#define DIO115_INREG (__inreg__(ANALOG1_PORT))
#define DIO115_DIRREG (__dirreg__(ANALOG1_PORT))
#endif</v>
      </c>
      <c r="F114" s="9"/>
      <c r="G114" s="9"/>
      <c r="H114" s="12" t="str">
        <f t="shared" si="19"/>
        <v>#ifdef ANALOG1
#define  DIO115_CHANNEL ANALOG1_CHANNEL
#endif</v>
      </c>
      <c r="I114" s="4" t="str">
        <f t="shared" ref="I114:I128" si="20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5" ht="15" customHeight="1" x14ac:dyDescent="0.25">
      <c r="A115" s="4">
        <v>116</v>
      </c>
      <c r="B115" s="4" t="str">
        <f t="shared" si="1"/>
        <v>DIO116</v>
      </c>
      <c r="C115" s="4" t="s">
        <v>75</v>
      </c>
      <c r="D115" s="4">
        <v>2</v>
      </c>
      <c r="E115" s="9" t="str">
        <f t="shared" si="2"/>
        <v>#if(defined(ANALOG2_PORT) &amp;&amp; defined(ANALOG2_BIT))
#define DIO116 116
#define ANALOG2 116
#define DIO116_PORT (ANALOG2_PORT)
#define DIO116_BIT (ANALOG2_BIT)
#define ANALOG2_OUTREG (__outreg__(ANALOG2_PORT))
#define ANALOG2_INREG (__inreg__(ANALOG2_PORT))
#define ANALOG2_DIRREG (__dirreg__(ANALOG2_PORT))
#define DIO116_OUTREG (__outreg__(ANALOG2_PORT))
#define DIO116_INREG (__inreg__(ANALOG2_PORT))
#define DIO116_DIRREG (__dirreg__(ANALOG2_PORT))
#endif</v>
      </c>
      <c r="F115" s="9"/>
      <c r="G115" s="9"/>
      <c r="H115" s="12" t="str">
        <f t="shared" si="19"/>
        <v>#ifdef ANALOG2
#define  DIO116_CHANNEL ANALOG2_CHANNEL
#endif</v>
      </c>
      <c r="I115" s="4" t="str">
        <f t="shared" si="20"/>
        <v>#if !(ANALOG2&lt;0)
mcu_config_analog(ANALOG2);
#endif</v>
      </c>
      <c r="J115" s="4"/>
      <c r="K115" s="4"/>
      <c r="L115" s="4"/>
      <c r="M115" s="4"/>
    </row>
    <row r="116" spans="1:15" ht="15" customHeight="1" x14ac:dyDescent="0.25">
      <c r="A116" s="4">
        <v>117</v>
      </c>
      <c r="B116" s="4" t="str">
        <f t="shared" si="1"/>
        <v>DIO117</v>
      </c>
      <c r="C116" s="4" t="s">
        <v>76</v>
      </c>
      <c r="D116" s="4">
        <v>3</v>
      </c>
      <c r="E116" s="9" t="str">
        <f t="shared" si="2"/>
        <v>#if(defined(ANALOG3_PORT) &amp;&amp; defined(ANALOG3_BIT))
#define DIO117 117
#define ANALOG3 117
#define DIO117_PORT (ANALOG3_PORT)
#define DIO117_BIT (ANALOG3_BIT)
#define ANALOG3_OUTREG (__outreg__(ANALOG3_PORT))
#define ANALOG3_INREG (__inreg__(ANALOG3_PORT))
#define ANALOG3_DIRREG (__dirreg__(ANALOG3_PORT))
#define DIO117_OUTREG (__outreg__(ANALOG3_PORT))
#define DIO117_INREG (__inreg__(ANALOG3_PORT))
#define DIO117_DIRREG (__dirreg__(ANALOG3_PORT))
#endif</v>
      </c>
      <c r="F116" s="9"/>
      <c r="G116" s="9"/>
      <c r="H116" s="12" t="str">
        <f t="shared" si="19"/>
        <v>#ifdef ANALOG3
#define  DIO117_CHANNEL ANALOG3_CHANNEL
#endif</v>
      </c>
      <c r="I116" s="4" t="str">
        <f t="shared" si="20"/>
        <v>#if !(ANALOG3&lt;0)
mcu_config_analog(ANALOG3);
#endif</v>
      </c>
      <c r="J116" s="4"/>
      <c r="K116" s="4"/>
      <c r="L116" s="4"/>
      <c r="M116" s="4"/>
      <c r="N116">
        <v>-1</v>
      </c>
      <c r="O116">
        <f>_xlfn.BITLSHIFT(1,(ABS(N116)-1)*2)</f>
        <v>1</v>
      </c>
    </row>
    <row r="117" spans="1:15" ht="15" customHeight="1" x14ac:dyDescent="0.25">
      <c r="A117" s="4">
        <v>118</v>
      </c>
      <c r="B117" s="4" t="str">
        <f t="shared" si="1"/>
        <v>DIO118</v>
      </c>
      <c r="C117" s="4" t="s">
        <v>77</v>
      </c>
      <c r="D117" s="4">
        <v>4</v>
      </c>
      <c r="E117" s="9" t="str">
        <f t="shared" si="2"/>
        <v>#if(defined(ANALOG4_PORT) &amp;&amp; defined(ANALOG4_BIT))
#define DIO118 118
#define ANALOG4 118
#define DIO118_PORT (ANALOG4_PORT)
#define DIO118_BIT (ANALOG4_BIT)
#define ANALOG4_OUTREG (__outreg__(ANALOG4_PORT))
#define ANALOG4_INREG (__inreg__(ANALOG4_PORT))
#define ANALOG4_DIRREG (__dirreg__(ANALOG4_PORT))
#define DIO118_OUTREG (__outreg__(ANALOG4_PORT))
#define DIO118_INREG (__inreg__(ANALOG4_PORT))
#define DIO118_DIRREG (__dirreg__(ANALOG4_PORT))
#endif</v>
      </c>
      <c r="F117" s="9"/>
      <c r="G117" s="9"/>
      <c r="H117" s="12" t="str">
        <f t="shared" si="19"/>
        <v>#ifdef ANALOG4
#define  DIO118_CHANNEL ANALOG4_CHANNEL
#endif</v>
      </c>
      <c r="I117" s="4" t="str">
        <f t="shared" si="20"/>
        <v>#if !(ANALOG4&lt;0)
mcu_config_analog(ANALOG4);
#endif</v>
      </c>
      <c r="J117" s="4"/>
      <c r="K117" s="4"/>
      <c r="L117" s="4"/>
      <c r="M117" s="4"/>
      <c r="N117">
        <v>-2</v>
      </c>
      <c r="O117">
        <f t="shared" ref="O117:O119" si="21">_xlfn.BITLSHIFT(1,(ABS(N117)-1)*2)</f>
        <v>4</v>
      </c>
    </row>
    <row r="118" spans="1:15" ht="15" customHeight="1" x14ac:dyDescent="0.25">
      <c r="A118" s="4">
        <v>119</v>
      </c>
      <c r="B118" s="4" t="str">
        <f t="shared" si="1"/>
        <v>DIO119</v>
      </c>
      <c r="C118" s="4" t="s">
        <v>78</v>
      </c>
      <c r="D118" s="4">
        <v>5</v>
      </c>
      <c r="E118" s="9" t="str">
        <f t="shared" si="2"/>
        <v>#if(defined(ANALOG5_PORT) &amp;&amp; defined(ANALOG5_BIT))
#define DIO119 119
#define ANALOG5 119
#define DIO119_PORT (ANALOG5_PORT)
#define DIO119_BIT (ANALOG5_BIT)
#define ANALOG5_OUTREG (__outreg__(ANALOG5_PORT))
#define ANALOG5_INREG (__inreg__(ANALOG5_PORT))
#define ANALOG5_DIRREG (__dirreg__(ANALOG5_PORT))
#define DIO119_OUTREG (__outreg__(ANALOG5_PORT))
#define DIO119_INREG (__inreg__(ANALOG5_PORT))
#define DIO119_DIRREG (__dirreg__(ANALOG5_PORT))
#endif</v>
      </c>
      <c r="F118" s="9"/>
      <c r="G118" s="9"/>
      <c r="H118" s="12" t="str">
        <f t="shared" si="19"/>
        <v>#ifdef ANALOG5
#define  DIO119_CHANNEL ANALOG5_CHANNEL
#endif</v>
      </c>
      <c r="I118" s="4" t="str">
        <f t="shared" si="20"/>
        <v>#if !(ANALOG5&lt;0)
mcu_config_analog(ANALOG5);
#endif</v>
      </c>
      <c r="J118" s="4"/>
      <c r="K118" s="4"/>
      <c r="L118" s="4"/>
      <c r="M118" s="4"/>
      <c r="N118">
        <v>-3</v>
      </c>
      <c r="O118">
        <f t="shared" si="21"/>
        <v>16</v>
      </c>
    </row>
    <row r="119" spans="1:15" ht="15" customHeight="1" x14ac:dyDescent="0.25">
      <c r="A119" s="4">
        <v>120</v>
      </c>
      <c r="B119" s="4" t="str">
        <f t="shared" si="1"/>
        <v>DIO120</v>
      </c>
      <c r="C119" s="4" t="s">
        <v>79</v>
      </c>
      <c r="D119" s="4">
        <v>6</v>
      </c>
      <c r="E119" s="9" t="str">
        <f t="shared" si="2"/>
        <v>#if(defined(ANALOG6_PORT) &amp;&amp; defined(ANALOG6_BIT))
#define DIO120 120
#define ANALOG6 120
#define DIO120_PORT (ANALOG6_PORT)
#define DIO120_BIT (ANALOG6_BIT)
#define ANALOG6_OUTREG (__outreg__(ANALOG6_PORT))
#define ANALOG6_INREG (__inreg__(ANALOG6_PORT))
#define ANALOG6_DIRREG (__dirreg__(ANALOG6_PORT))
#define DIO120_OUTREG (__outreg__(ANALOG6_PORT))
#define DIO120_INREG (__inreg__(ANALOG6_PORT))
#define DIO120_DIRREG (__dirreg__(ANALOG6_PORT))
#endif</v>
      </c>
      <c r="F119" s="9"/>
      <c r="G119" s="9"/>
      <c r="H119" s="12" t="str">
        <f t="shared" si="19"/>
        <v>#ifdef ANALOG6
#define  DIO120_CHANNEL ANALOG6_CHANNEL
#endif</v>
      </c>
      <c r="I119" s="4" t="str">
        <f t="shared" si="20"/>
        <v>#if !(ANALOG6&lt;0)
mcu_config_analog(ANALOG6);
#endif</v>
      </c>
      <c r="J119" s="4"/>
      <c r="K119" s="4"/>
      <c r="L119" s="4"/>
      <c r="M119" s="4"/>
      <c r="N119">
        <v>-4</v>
      </c>
      <c r="O119">
        <f t="shared" si="21"/>
        <v>64</v>
      </c>
    </row>
    <row r="120" spans="1:15" ht="15" customHeight="1" x14ac:dyDescent="0.25">
      <c r="A120" s="4">
        <v>121</v>
      </c>
      <c r="B120" s="4" t="str">
        <f t="shared" si="1"/>
        <v>DIO121</v>
      </c>
      <c r="C120" s="4" t="s">
        <v>80</v>
      </c>
      <c r="D120" s="4">
        <v>7</v>
      </c>
      <c r="E120" s="9" t="str">
        <f t="shared" si="2"/>
        <v>#if(defined(ANALOG7_PORT) &amp;&amp; defined(ANALOG7_BIT))
#define DIO121 121
#define ANALOG7 121
#define DIO121_PORT (ANALOG7_PORT)
#define DIO121_BIT (ANALOG7_BIT)
#define ANALOG7_OUTREG (__outreg__(ANALOG7_PORT))
#define ANALOG7_INREG (__inreg__(ANALOG7_PORT))
#define ANALOG7_DIRREG (__dirreg__(ANALOG7_PORT))
#define DIO121_OUTREG (__outreg__(ANALOG7_PORT))
#define DIO121_INREG (__inreg__(ANALOG7_PORT))
#define DIO121_DIRREG (__dirreg__(ANALOG7_PORT))
#endif</v>
      </c>
      <c r="F120" s="9"/>
      <c r="G120" s="9"/>
      <c r="H120" s="12" t="str">
        <f t="shared" si="19"/>
        <v>#ifdef ANALOG7
#define  DIO121_CHANNEL ANALOG7_CHANNEL
#endif</v>
      </c>
      <c r="I120" s="4" t="str">
        <f t="shared" si="20"/>
        <v>#if !(ANALOG7&lt;0)
mcu_config_analog(ANALOG7);
#endif</v>
      </c>
      <c r="J120" s="4"/>
      <c r="K120" s="4"/>
      <c r="L120" s="4"/>
      <c r="M120" s="4"/>
      <c r="N120">
        <v>-5</v>
      </c>
      <c r="O120">
        <f t="shared" ref="O120:O123" si="22">_xlfn.BITLSHIFT(1,(ABS(N120)-5)*2)</f>
        <v>1</v>
      </c>
    </row>
    <row r="121" spans="1:15" ht="15" customHeight="1" x14ac:dyDescent="0.25">
      <c r="A121" s="4">
        <v>122</v>
      </c>
      <c r="B121" s="4" t="str">
        <f t="shared" si="1"/>
        <v>DIO122</v>
      </c>
      <c r="C121" s="4" t="s">
        <v>81</v>
      </c>
      <c r="D121" s="4">
        <v>8</v>
      </c>
      <c r="E121" s="9" t="str">
        <f t="shared" si="2"/>
        <v>#if(defined(ANALOG8_PORT) &amp;&amp; defined(ANALOG8_BIT))
#define DIO122 122
#define ANALOG8 122
#define DIO122_PORT (ANALOG8_PORT)
#define DIO122_BIT (ANALOG8_BIT)
#define ANALOG8_OUTREG (__outreg__(ANALOG8_PORT))
#define ANALOG8_INREG (__inreg__(ANALOG8_PORT))
#define ANALOG8_DIRREG (__dirreg__(ANALOG8_PORT))
#define DIO122_OUTREG (__outreg__(ANALOG8_PORT))
#define DIO122_INREG (__inreg__(ANALOG8_PORT))
#define DIO122_DIRREG (__dirreg__(ANALOG8_PORT))
#endif</v>
      </c>
      <c r="F121" s="9"/>
      <c r="G121" s="9"/>
      <c r="H121" s="12" t="str">
        <f t="shared" si="19"/>
        <v>#ifdef ANALOG8
#define  DIO122_CHANNEL ANALOG8_CHANNEL
#endif</v>
      </c>
      <c r="I121" s="4" t="str">
        <f t="shared" si="20"/>
        <v>#if !(ANALOG8&lt;0)
mcu_config_analog(ANALOG8);
#endif</v>
      </c>
      <c r="J121" s="4"/>
      <c r="K121" s="4"/>
      <c r="L121" s="4"/>
      <c r="M121" s="4"/>
      <c r="N121">
        <v>-6</v>
      </c>
      <c r="O121">
        <f t="shared" si="22"/>
        <v>4</v>
      </c>
    </row>
    <row r="122" spans="1:15" ht="15" customHeight="1" x14ac:dyDescent="0.25">
      <c r="A122" s="4">
        <v>123</v>
      </c>
      <c r="B122" s="4" t="str">
        <f t="shared" si="1"/>
        <v>DIO123</v>
      </c>
      <c r="C122" s="4" t="s">
        <v>82</v>
      </c>
      <c r="D122" s="4">
        <v>9</v>
      </c>
      <c r="E122" s="9" t="str">
        <f t="shared" si="2"/>
        <v>#if(defined(ANALOG9_PORT) &amp;&amp; defined(ANALOG9_BIT))
#define DIO123 123
#define ANALOG9 123
#define DIO123_PORT (ANALOG9_PORT)
#define DIO123_BIT (ANALOG9_BIT)
#define ANALOG9_OUTREG (__outreg__(ANALOG9_PORT))
#define ANALOG9_INREG (__inreg__(ANALOG9_PORT))
#define ANALOG9_DIRREG (__dirreg__(ANALOG9_PORT))
#define DIO123_OUTREG (__outreg__(ANALOG9_PORT))
#define DIO123_INREG (__inreg__(ANALOG9_PORT))
#define DIO123_DIRREG (__dirreg__(ANALOG9_PORT))
#endif</v>
      </c>
      <c r="F122" s="9"/>
      <c r="G122" s="9"/>
      <c r="H122" s="12" t="str">
        <f t="shared" si="19"/>
        <v>#ifdef ANALOG9
#define  DIO123_CHANNEL ANALOG9_CHANNEL
#endif</v>
      </c>
      <c r="I122" s="4" t="str">
        <f t="shared" si="20"/>
        <v>#if !(ANALOG9&lt;0)
mcu_config_analog(ANALOG9);
#endif</v>
      </c>
      <c r="J122" s="4"/>
      <c r="K122" s="4"/>
      <c r="L122" s="4"/>
      <c r="M122" s="4"/>
      <c r="N122">
        <v>-7</v>
      </c>
      <c r="O122">
        <f t="shared" si="22"/>
        <v>16</v>
      </c>
    </row>
    <row r="123" spans="1:15" ht="15" customHeight="1" x14ac:dyDescent="0.25">
      <c r="A123" s="4">
        <v>124</v>
      </c>
      <c r="B123" s="4" t="str">
        <f t="shared" si="1"/>
        <v>DIO124</v>
      </c>
      <c r="C123" s="4" t="s">
        <v>83</v>
      </c>
      <c r="D123" s="4">
        <v>10</v>
      </c>
      <c r="E123" s="9" t="str">
        <f t="shared" si="2"/>
        <v>#if(defined(ANALOG10_PORT) &amp;&amp; defined(ANALOG10_BIT))
#define DIO124 124
#define ANALOG10 124
#define DIO124_PORT (ANALOG10_PORT)
#define DIO124_BIT (ANALOG10_BIT)
#define ANALOG10_OUTREG (__outreg__(ANALOG10_PORT))
#define ANALOG10_INREG (__inreg__(ANALOG10_PORT))
#define ANALOG10_DIRREG (__dirreg__(ANALOG10_PORT))
#define DIO124_OUTREG (__outreg__(ANALOG10_PORT))
#define DIO124_INREG (__inreg__(ANALOG10_PORT))
#define DIO124_DIRREG (__dirreg__(ANALOG10_PORT))
#endif</v>
      </c>
      <c r="F123" s="9"/>
      <c r="G123" s="9"/>
      <c r="H123" s="12" t="str">
        <f t="shared" si="19"/>
        <v>#ifdef ANALOG10
#define  DIO124_CHANNEL ANALOG10_CHANNEL
#endif</v>
      </c>
      <c r="I123" s="4" t="str">
        <f t="shared" si="20"/>
        <v>#if !(ANALOG10&lt;0)
mcu_config_analog(ANALOG10);
#endif</v>
      </c>
      <c r="J123" s="4"/>
      <c r="K123" s="4"/>
      <c r="L123" s="4"/>
      <c r="M123" s="4"/>
      <c r="N123">
        <v>-8</v>
      </c>
      <c r="O123">
        <f t="shared" si="22"/>
        <v>64</v>
      </c>
    </row>
    <row r="124" spans="1:15" ht="15" customHeight="1" x14ac:dyDescent="0.25">
      <c r="A124" s="4">
        <v>125</v>
      </c>
      <c r="B124" s="4" t="str">
        <f t="shared" si="1"/>
        <v>DIO125</v>
      </c>
      <c r="C124" s="4" t="s">
        <v>84</v>
      </c>
      <c r="D124" s="4">
        <v>11</v>
      </c>
      <c r="E124" s="9" t="str">
        <f t="shared" si="2"/>
        <v>#if(defined(ANALOG11_PORT) &amp;&amp; defined(ANALOG11_BIT))
#define DIO125 125
#define ANALOG11 125
#define DIO125_PORT (ANALOG11_PORT)
#define DIO125_BIT (ANALOG11_BIT)
#define ANALOG11_OUTREG (__outreg__(ANALOG11_PORT))
#define ANALOG11_INREG (__inreg__(ANALOG11_PORT))
#define ANALOG11_DIRREG (__dirreg__(ANALOG11_PORT))
#define DIO125_OUTREG (__outreg__(ANALOG11_PORT))
#define DIO125_INREG (__inreg__(ANALOG11_PORT))
#define DIO125_DIRREG (__dirreg__(ANALOG11_PORT))
#endif</v>
      </c>
      <c r="F124" s="9"/>
      <c r="G124" s="9"/>
      <c r="H124" s="12" t="str">
        <f t="shared" si="19"/>
        <v>#ifdef ANALOG11
#define  DIO125_CHANNEL ANALOG11_CHANNEL
#endif</v>
      </c>
      <c r="I124" s="4" t="str">
        <f t="shared" si="20"/>
        <v>#if !(ANALOG11&lt;0)
mcu_config_analog(ANALOG11);
#endif</v>
      </c>
      <c r="J124" s="4"/>
      <c r="K124" s="4"/>
      <c r="L124" s="4"/>
      <c r="M124" s="4"/>
    </row>
    <row r="125" spans="1:15" ht="15" customHeight="1" x14ac:dyDescent="0.25">
      <c r="A125" s="4">
        <v>126</v>
      </c>
      <c r="B125" s="4" t="str">
        <f t="shared" si="1"/>
        <v>DIO126</v>
      </c>
      <c r="C125" s="4" t="s">
        <v>85</v>
      </c>
      <c r="D125" s="4">
        <v>12</v>
      </c>
      <c r="E125" s="9" t="str">
        <f t="shared" si="2"/>
        <v>#if(defined(ANALOG12_PORT) &amp;&amp; defined(ANALOG12_BIT))
#define DIO126 126
#define ANALOG12 126
#define DIO126_PORT (ANALOG12_PORT)
#define DIO126_BIT (ANALOG12_BIT)
#define ANALOG12_OUTREG (__outreg__(ANALOG12_PORT))
#define ANALOG12_INREG (__inreg__(ANALOG12_PORT))
#define ANALOG12_DIRREG (__dirreg__(ANALOG12_PORT))
#define DIO126_OUTREG (__outreg__(ANALOG12_PORT))
#define DIO126_INREG (__inreg__(ANALOG12_PORT))
#define DIO126_DIRREG (__dirreg__(ANALOG12_PORT))
#endif</v>
      </c>
      <c r="F125" s="9"/>
      <c r="G125" s="9"/>
      <c r="H125" s="12" t="str">
        <f t="shared" si="19"/>
        <v>#ifdef ANALOG12
#define  DIO126_CHANNEL ANALOG12_CHANNEL
#endif</v>
      </c>
      <c r="I125" s="4" t="str">
        <f t="shared" si="20"/>
        <v>#if !(ANALOG12&lt;0)
mcu_config_analog(ANALOG12);
#endif</v>
      </c>
      <c r="J125" s="4"/>
      <c r="K125" s="4"/>
      <c r="L125" s="4"/>
      <c r="M125" s="4"/>
    </row>
    <row r="126" spans="1:15" ht="15" customHeight="1" x14ac:dyDescent="0.25">
      <c r="A126" s="4">
        <v>127</v>
      </c>
      <c r="B126" s="4" t="str">
        <f t="shared" si="1"/>
        <v>DIO127</v>
      </c>
      <c r="C126" s="4" t="s">
        <v>86</v>
      </c>
      <c r="D126" s="4">
        <v>13</v>
      </c>
      <c r="E126" s="9" t="str">
        <f t="shared" si="2"/>
        <v>#if(defined(ANALOG13_PORT) &amp;&amp; defined(ANALOG13_BIT))
#define DIO127 127
#define ANALOG13 127
#define DIO127_PORT (ANALOG13_PORT)
#define DIO127_BIT (ANALOG13_BIT)
#define ANALOG13_OUTREG (__outreg__(ANALOG13_PORT))
#define ANALOG13_INREG (__inreg__(ANALOG13_PORT))
#define ANALOG13_DIRREG (__dirreg__(ANALOG13_PORT))
#define DIO127_OUTREG (__outreg__(ANALOG13_PORT))
#define DIO127_INREG (__inreg__(ANALOG13_PORT))
#define DIO127_DIRREG (__dirreg__(ANALOG13_PORT))
#endif</v>
      </c>
      <c r="F126" s="9"/>
      <c r="G126" s="9"/>
      <c r="H126" s="12" t="str">
        <f t="shared" si="19"/>
        <v>#ifdef ANALOG13
#define  DIO127_CHANNEL ANALOG13_CHANNEL
#endif</v>
      </c>
      <c r="I126" s="4" t="str">
        <f t="shared" si="20"/>
        <v>#if !(ANALOG13&lt;0)
mcu_config_analog(ANALOG13);
#endif</v>
      </c>
      <c r="J126" s="4"/>
      <c r="K126" s="4"/>
      <c r="L126" s="4"/>
      <c r="M126" s="4"/>
    </row>
    <row r="127" spans="1:15" ht="15" customHeight="1" x14ac:dyDescent="0.25">
      <c r="A127" s="4">
        <v>128</v>
      </c>
      <c r="B127" s="4" t="str">
        <f t="shared" si="1"/>
        <v>DIO128</v>
      </c>
      <c r="C127" s="4" t="s">
        <v>87</v>
      </c>
      <c r="D127" s="4">
        <v>14</v>
      </c>
      <c r="E127" s="9" t="str">
        <f t="shared" si="2"/>
        <v>#if(defined(ANALOG14_PORT) &amp;&amp; defined(ANALOG14_BIT))
#define DIO128 128
#define ANALOG14 128
#define DIO128_PORT (ANALOG14_PORT)
#define DIO128_BIT (ANALOG14_BIT)
#define ANALOG14_OUTREG (__outreg__(ANALOG14_PORT))
#define ANALOG14_INREG (__inreg__(ANALOG14_PORT))
#define ANALOG14_DIRREG (__dirreg__(ANALOG14_PORT))
#define DIO128_OUTREG (__outreg__(ANALOG14_PORT))
#define DIO128_INREG (__inreg__(ANALOG14_PORT))
#define DIO128_DIRREG (__dirreg__(ANALOG14_PORT))
#endif</v>
      </c>
      <c r="F127" s="9"/>
      <c r="G127" s="9"/>
      <c r="H127" s="12" t="str">
        <f t="shared" si="19"/>
        <v>#ifdef ANALOG14
#define  DIO128_CHANNEL ANALOG14_CHANNEL
#endif</v>
      </c>
      <c r="I127" s="4" t="str">
        <f t="shared" si="20"/>
        <v>#if !(ANALOG14&lt;0)
mcu_config_analog(ANALOG14);
#endif</v>
      </c>
      <c r="J127" s="4"/>
      <c r="K127" s="4"/>
      <c r="L127" s="4"/>
      <c r="M127" s="4"/>
    </row>
    <row r="128" spans="1:15" ht="15" customHeight="1" x14ac:dyDescent="0.25">
      <c r="A128" s="4">
        <v>129</v>
      </c>
      <c r="B128" s="4" t="str">
        <f t="shared" si="1"/>
        <v>DIO129</v>
      </c>
      <c r="C128" s="4" t="s">
        <v>88</v>
      </c>
      <c r="D128" s="4">
        <v>15</v>
      </c>
      <c r="E128" s="9" t="str">
        <f t="shared" si="2"/>
        <v>#if(defined(ANALOG15_PORT) &amp;&amp; defined(ANALOG15_BIT))
#define DIO129 129
#define ANALOG15 129
#define DIO129_PORT (ANALOG15_PORT)
#define DIO129_BIT (ANALOG15_BIT)
#define ANALOG15_OUTREG (__outreg__(ANALOG15_PORT))
#define ANALOG15_INREG (__inreg__(ANALOG15_PORT))
#define ANALOG15_DIRREG (__dirreg__(ANALOG15_PORT))
#define DIO129_OUTREG (__outreg__(ANALOG15_PORT))
#define DIO129_INREG (__inreg__(ANALOG15_PORT))
#define DIO129_DIRREG (__dirreg__(ANALOG15_PORT))
#endif</v>
      </c>
      <c r="F128" s="9"/>
      <c r="G128" s="9"/>
      <c r="H128" s="12" t="str">
        <f t="shared" si="19"/>
        <v>#ifdef ANALOG15
#define  DIO129_CHANNEL ANALOG15_CHANNEL
#endif</v>
      </c>
      <c r="I128" s="4" t="str">
        <f t="shared" si="20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1"/>
        <v>DIO130</v>
      </c>
      <c r="C129" s="5" t="s">
        <v>89</v>
      </c>
      <c r="D129" s="4">
        <v>0</v>
      </c>
      <c r="E129" s="9" t="str">
        <f t="shared" si="2"/>
        <v>#if(defined(DIN0_PORT) &amp;&amp; defined(DIN0_BIT))
#define DIO130 130
#define DIN0 130
#define DIO130_PORT (DIN0_PORT)
#define DIO130_BIT (DIN0_BIT)
#define DIN0_OUTREG (__outreg__(DIN0_PORT))
#define DIN0_INREG (__inreg__(DIN0_PORT))
#define DIN0_DIRREG (__dirreg__(DIN0_PORT))
#define DIO130_OUTREG (__outreg__(DIN0_PORT))
#define DIO130_INREG (__inreg__(DIN0_PORT))
#define DIO130_DIRREG (__dirreg__(DIN0_PORT))
#endif</v>
      </c>
      <c r="F129" s="9" t="str">
        <f t="shared" ref="F129:F136" si="23">"#if(defined("&amp;C129&amp;"_ISR) &amp;&amp; defined("&amp;C129&amp;"))
#define "&amp;B129&amp;"_ISR ("&amp;C129&amp;"_ISR)
#if("&amp;C129&amp;"_ISR == -8)
#define "&amp;C129&amp;"_ISRREG EICRB
#define "&amp;C129&amp;"_ISRA (64)
#define "&amp;C129&amp;"_EIMSK (1 &lt;&lt; 7)
#elif("&amp;C129&amp;"_ISR == -7)
#define "&amp;C129&amp;"_ISRREG EICRB
#define "&amp;C129&amp;"_ISRA (16)
#define "&amp;C129&amp;"_EIMSK (1 &lt;&lt; 6)
#elif("&amp;C129&amp;"_ISR == -6)
#define "&amp;C129&amp;"_ISRREG EICRB
#define "&amp;C129&amp;"_ISRA (4)
#define "&amp;C129&amp;"_EIMSK (1 &lt;&lt; 5)
#elif("&amp;C129&amp;"_ISR == -5)
#define "&amp;C129&amp;"_ISRREG EICRB
#define "&amp;C129&amp;"_ISRA (1)
#define "&amp;C129&amp;"_EIMSK (1 &lt;&lt; 4)
#elif("&amp;C129&amp;"_ISR == -4)
#define "&amp;C129&amp;"_ISRREG EICRA
#define "&amp;C129&amp;"_ISRA (64)
#define "&amp;C129&amp;"_EIMSK (1 &lt;&lt; 3)
#elif("&amp;C129&amp;"_ISR == -3)
#define "&amp;C129&amp;"_ISRREG EICRA
#define "&amp;C129&amp;"_ISRA (16)
#define "&amp;C129&amp;"_EIMSK (1 &lt;&lt; 2)
#elif("&amp;C129&amp;"_ISR == -2)
#define "&amp;C129&amp;"_ISRREG EICRA
#define "&amp;C129&amp;"_ISRA (4)
#define "&amp;C129&amp;"_EIMSK (1 &lt;&lt; 1)
#elif("&amp;C129&amp;"_ISR == -1)
#define "&amp;C129&amp;"_ISRREG EICRA
#define "&amp;C129&amp;"_ISRA (1)
#define "&amp;C129&amp;"_EIMSK (1 &lt;&lt; 0)
#elif(((("&amp;C129&amp;"_ISR &amp; 0xF8)&gt;&gt;3)&amp;0x3) == 0)
#define "&amp;C129&amp;"_ISRREG PCMSK0
#define "&amp;C129&amp;"_ISR0 (1 &lt;&lt; ("&amp;C129&amp;"_ISR&amp;0x7))
#elif(((("&amp;C129&amp;"_ISR &amp; 0xF8) &gt;&gt; 3) &amp; 0x3) == 1)
#define "&amp;C129&amp;"_ISRREG PCMSK1
#define "&amp;C129&amp;"_ISR1 (1 &lt;&lt; ("&amp;C129&amp;"_ISR&amp;0x7))
#elif(((("&amp;C129&amp;"_ISR &amp; 0xF8) &gt;&gt; 3) &amp; 0x3) == 2)
#define "&amp;C129&amp;"_ISRREG PCMSK2
#define "&amp;C129&amp;"_ISR2 (1 &lt;&lt; ("&amp;C129&amp;"_ISR&amp;0x7))
#elif(((("&amp;C129&amp;"_ISR &amp; 0xF8) &gt;&gt; 3) &amp; 0x3) == 3)
#define "&amp;C129&amp;"_ISRREG PCMSK3
#define "&amp;C129&amp;"_ISR3 (1 &lt;&lt; ("&amp;C129&amp;"_ISR&amp;0x7))
#endif
#define "&amp;B129&amp;"_ISRREG "&amp;C129&amp;"_ISRREG
#endif"</f>
        <v>#if(defined(DIN0_ISR) &amp;&amp; defined(DIN0))
#define DIO130_ISR (DIN0_ISR)
#if(DIN0_ISR == -8)
#define DIN0_ISRREG EICRB
#define DIN0_ISRA (64)
#define DIN0_EIMSK (1 &lt;&lt; 7)
#elif(DIN0_ISR == -7)
#define DIN0_ISRREG EICRB
#define DIN0_ISRA (16)
#define DIN0_EIMSK (1 &lt;&lt; 6)
#elif(DIN0_ISR == -6)
#define DIN0_ISRREG EICRB
#define DIN0_ISRA (4)
#define DIN0_EIMSK (1 &lt;&lt; 5)
#elif(DIN0_ISR == -5)
#define DIN0_ISRREG EICRB
#define DIN0_ISRA (1)
#define DIN0_EIMSK (1 &lt;&lt; 4)
#elif(DIN0_ISR == -4)
#define DIN0_ISRREG EICRA
#define DIN0_ISRA (64)
#define DIN0_EIMSK (1 &lt;&lt; 3)
#elif(DIN0_ISR == -3)
#define DIN0_ISRREG EICRA
#define DIN0_ISRA (16)
#define DIN0_EIMSK (1 &lt;&lt; 2)
#elif(DIN0_ISR == -2)
#define DIN0_ISRREG EICRA
#define DIN0_ISRA (4)
#define DIN0_EIMSK (1 &lt;&lt; 1)
#elif(DIN0_ISR == -1)
#define DIN0_ISRREG EICRA
#define DIN0_ISRA (1)
#define DIN0_EIMSK (1 &lt;&lt; 0)
#elif((((DIN0_ISR &amp; 0xF8)&gt;&gt;3)&amp;0x3) == 0)
#define DIN0_ISRREG PCMSK0
#define DIN0_ISR0 (1 &lt;&lt; (DIN0_ISR&amp;0x7))
#elif((((DIN0_ISR &amp; 0xF8) &gt;&gt; 3) &amp; 0x3) == 1)
#define DIN0_ISRREG PCMSK1
#define DIN0_ISR1 (1 &lt;&lt; (DIN0_ISR&amp;0x7))
#elif((((DIN0_ISR &amp; 0xF8) &gt;&gt; 3) &amp; 0x3) == 2)
#define DIN0_ISRREG PCMSK2
#define DIN0_ISR2 (1 &lt;&lt; (DIN0_ISR&amp;0x7))
#elif((((DIN0_ISR &amp; 0xF8) &gt;&gt; 3) &amp; 0x3) == 3)
#define DIN0_ISRREG PCMSK3
#define DIN0_ISR3 (1 &lt;&lt; (DIN0_ISR&amp;0x7))
#endif
#define DIO130_ISRREG DIN0_ISRREG
#endif</v>
      </c>
      <c r="G129" s="9" t="str">
        <f t="shared" ref="G129:G136" si="24">"#ifndef "&amp;C129&amp;"_ISR0
#define "&amp;C129&amp;"_ISR0 0
#endif
#ifndef "&amp;C129&amp;"_ISR1
#define "&amp;C129&amp;"_ISR1 0
#endif
#ifndef "&amp;C129&amp;"_ISR2
#define "&amp;C129&amp;"_ISR2 0
#endif
#ifndef "&amp;C129&amp;"_ISR3
#define "&amp;C129&amp;"_ISR3 0
#endif
#ifndef "&amp;C129&amp;"_ISRA
#define "&amp;C129&amp;"_ISRA 0
#endif
#ifndef "&amp;C129&amp;"_ISRB
#define "&amp;C129&amp;"_ISRB 0
#endif
#define "&amp;C129&amp;"_ISR_MASK ("&amp;C129&amp;"_ISR0 | "&amp;C129&amp;"_ISR1 | "&amp;C129&amp;"_ISR2 | "&amp;C129&amp;"_ISR3 | "&amp;C129&amp;"_ISRA | "&amp;C129&amp;"_ISRB)
#ifndef "&amp;C129&amp;"_ISR_MASK
#define "&amp;C129&amp;"_ISR_MASK 0
#endif
#ifndef "&amp;C129&amp;"_EIMSK
#define "&amp;C129&amp;"_EIMSK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DIN0_ISR3
#define DIN0_ISR3 0
#endif
#ifndef DIN0_ISRA
#define DIN0_ISRA 0
#endif
#ifndef DIN0_ISRB
#define DIN0_ISRB 0
#endif
#define DIN0_ISR_MASK (DIN0_ISR0 | DIN0_ISR1 | DIN0_ISR2 | DIN0_ISR3 | DIN0_ISRA | DIN0_ISRB)
#ifndef DIN0_ISR_MASK
#define DIN0_ISR_MASK 0
#endif
#ifndef DIN0_EIMSK
#define DIN0_EIMSK 0
#endif
#define DIO130_ISR_MASK DIN0_ISR_MASK
#define DIO130_ISRREG DIN0_ISRREG</v>
      </c>
      <c r="H129" s="9"/>
      <c r="I129" s="9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1"/>
        <v>DIO131</v>
      </c>
      <c r="C130" s="5" t="s">
        <v>90</v>
      </c>
      <c r="D130" s="4">
        <v>1</v>
      </c>
      <c r="E130" s="9" t="str">
        <f t="shared" si="2"/>
        <v>#if(defined(DIN1_PORT) &amp;&amp; defined(DIN1_BIT))
#define DIO131 131
#define DIN1 131
#define DIO131_PORT (DIN1_PORT)
#define DIO131_BIT (DIN1_BIT)
#define DIN1_OUTREG (__outreg__(DIN1_PORT))
#define DIN1_INREG (__inreg__(DIN1_PORT))
#define DIN1_DIRREG (__dirreg__(DIN1_PORT))
#define DIO131_OUTREG (__outreg__(DIN1_PORT))
#define DIO131_INREG (__inreg__(DIN1_PORT))
#define DIO131_DIRREG (__dirreg__(DIN1_PORT))
#endif</v>
      </c>
      <c r="F130" s="9" t="str">
        <f t="shared" si="23"/>
        <v>#if(defined(DIN1_ISR) &amp;&amp; defined(DIN1))
#define DIO131_ISR (DIN1_ISR)
#if(DIN1_ISR == -8)
#define DIN1_ISRREG EICRB
#define DIN1_ISRA (64)
#define DIN1_EIMSK (1 &lt;&lt; 7)
#elif(DIN1_ISR == -7)
#define DIN1_ISRREG EICRB
#define DIN1_ISRA (16)
#define DIN1_EIMSK (1 &lt;&lt; 6)
#elif(DIN1_ISR == -6)
#define DIN1_ISRREG EICRB
#define DIN1_ISRA (4)
#define DIN1_EIMSK (1 &lt;&lt; 5)
#elif(DIN1_ISR == -5)
#define DIN1_ISRREG EICRB
#define DIN1_ISRA (1)
#define DIN1_EIMSK (1 &lt;&lt; 4)
#elif(DIN1_ISR == -4)
#define DIN1_ISRREG EICRA
#define DIN1_ISRA (64)
#define DIN1_EIMSK (1 &lt;&lt; 3)
#elif(DIN1_ISR == -3)
#define DIN1_ISRREG EICRA
#define DIN1_ISRA (16)
#define DIN1_EIMSK (1 &lt;&lt; 2)
#elif(DIN1_ISR == -2)
#define DIN1_ISRREG EICRA
#define DIN1_ISRA (4)
#define DIN1_EIMSK (1 &lt;&lt; 1)
#elif(DIN1_ISR == -1)
#define DIN1_ISRREG EICRA
#define DIN1_ISRA (1)
#define DIN1_EIMSK (1 &lt;&lt; 0)
#elif((((DIN1_ISR &amp; 0xF8)&gt;&gt;3)&amp;0x3) == 0)
#define DIN1_ISRREG PCMSK0
#define DIN1_ISR0 (1 &lt;&lt; (DIN1_ISR&amp;0x7))
#elif((((DIN1_ISR &amp; 0xF8) &gt;&gt; 3) &amp; 0x3) == 1)
#define DIN1_ISRREG PCMSK1
#define DIN1_ISR1 (1 &lt;&lt; (DIN1_ISR&amp;0x7))
#elif((((DIN1_ISR &amp; 0xF8) &gt;&gt; 3) &amp; 0x3) == 2)
#define DIN1_ISRREG PCMSK2
#define DIN1_ISR2 (1 &lt;&lt; (DIN1_ISR&amp;0x7))
#elif((((DIN1_ISR &amp; 0xF8) &gt;&gt; 3) &amp; 0x3) == 3)
#define DIN1_ISRREG PCMSK3
#define DIN1_ISR3 (1 &lt;&lt; (DIN1_ISR&amp;0x7))
#endif
#define DIO131_ISRREG DIN1_ISRREG
#endif</v>
      </c>
      <c r="G130" s="9" t="str">
        <f t="shared" si="24"/>
        <v>#ifndef DIN1_ISR0
#define DIN1_ISR0 0
#endif
#ifndef DIN1_ISR1
#define DIN1_ISR1 0
#endif
#ifndef DIN1_ISR2
#define DIN1_ISR2 0
#endif
#ifndef DIN1_ISR3
#define DIN1_ISR3 0
#endif
#ifndef DIN1_ISRA
#define DIN1_ISRA 0
#endif
#ifndef DIN1_ISRB
#define DIN1_ISRB 0
#endif
#define DIN1_ISR_MASK (DIN1_ISR0 | DIN1_ISR1 | DIN1_ISR2 | DIN1_ISR3 | DIN1_ISRA | DIN1_ISRB)
#ifndef DIN1_ISR_MASK
#define DIN1_ISR_MASK 0
#endif
#ifndef DIN1_EIMSK
#define DIN1_EIMSK 0
#endif
#define DIO131_ISR_MASK DIN1_ISR_MASK
#define DIO131_ISRREG DIN1_ISRREG</v>
      </c>
      <c r="H130" s="9"/>
      <c r="I130" s="9" t="str">
        <f t="shared" ref="I130:I136" si="25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1"/>
        <v>DIO132</v>
      </c>
      <c r="C131" s="5" t="s">
        <v>91</v>
      </c>
      <c r="D131" s="4">
        <v>2</v>
      </c>
      <c r="E131" s="9" t="str">
        <f t="shared" si="2"/>
        <v>#if(defined(DIN2_PORT) &amp;&amp; defined(DIN2_BIT))
#define DIO132 132
#define DIN2 132
#define DIO132_PORT (DIN2_PORT)
#define DIO132_BIT (DIN2_BIT)
#define DIN2_OUTREG (__outreg__(DIN2_PORT))
#define DIN2_INREG (__inreg__(DIN2_PORT))
#define DIN2_DIRREG (__dirreg__(DIN2_PORT))
#define DIO132_OUTREG (__outreg__(DIN2_PORT))
#define DIO132_INREG (__inreg__(DIN2_PORT))
#define DIO132_DIRREG (__dirreg__(DIN2_PORT))
#endif</v>
      </c>
      <c r="F131" s="9" t="str">
        <f t="shared" si="23"/>
        <v>#if(defined(DIN2_ISR) &amp;&amp; defined(DIN2))
#define DIO132_ISR (DIN2_ISR)
#if(DIN2_ISR == -8)
#define DIN2_ISRREG EICRB
#define DIN2_ISRA (64)
#define DIN2_EIMSK (1 &lt;&lt; 7)
#elif(DIN2_ISR == -7)
#define DIN2_ISRREG EICRB
#define DIN2_ISRA (16)
#define DIN2_EIMSK (1 &lt;&lt; 6)
#elif(DIN2_ISR == -6)
#define DIN2_ISRREG EICRB
#define DIN2_ISRA (4)
#define DIN2_EIMSK (1 &lt;&lt; 5)
#elif(DIN2_ISR == -5)
#define DIN2_ISRREG EICRB
#define DIN2_ISRA (1)
#define DIN2_EIMSK (1 &lt;&lt; 4)
#elif(DIN2_ISR == -4)
#define DIN2_ISRREG EICRA
#define DIN2_ISRA (64)
#define DIN2_EIMSK (1 &lt;&lt; 3)
#elif(DIN2_ISR == -3)
#define DIN2_ISRREG EICRA
#define DIN2_ISRA (16)
#define DIN2_EIMSK (1 &lt;&lt; 2)
#elif(DIN2_ISR == -2)
#define DIN2_ISRREG EICRA
#define DIN2_ISRA (4)
#define DIN2_EIMSK (1 &lt;&lt; 1)
#elif(DIN2_ISR == -1)
#define DIN2_ISRREG EICRA
#define DIN2_ISRA (1)
#define DIN2_EIMSK (1 &lt;&lt; 0)
#elif((((DIN2_ISR &amp; 0xF8)&gt;&gt;3)&amp;0x3) == 0)
#define DIN2_ISRREG PCMSK0
#define DIN2_ISR0 (1 &lt;&lt; (DIN2_ISR&amp;0x7))
#elif((((DIN2_ISR &amp; 0xF8) &gt;&gt; 3) &amp; 0x3) == 1)
#define DIN2_ISRREG PCMSK1
#define DIN2_ISR1 (1 &lt;&lt; (DIN2_ISR&amp;0x7))
#elif((((DIN2_ISR &amp; 0xF8) &gt;&gt; 3) &amp; 0x3) == 2)
#define DIN2_ISRREG PCMSK2
#define DIN2_ISR2 (1 &lt;&lt; (DIN2_ISR&amp;0x7))
#elif((((DIN2_ISR &amp; 0xF8) &gt;&gt; 3) &amp; 0x3) == 3)
#define DIN2_ISRREG PCMSK3
#define DIN2_ISR3 (1 &lt;&lt; (DIN2_ISR&amp;0x7))
#endif
#define DIO132_ISRREG DIN2_ISRREG
#endif</v>
      </c>
      <c r="G131" s="9" t="str">
        <f t="shared" si="24"/>
        <v>#ifndef DIN2_ISR0
#define DIN2_ISR0 0
#endif
#ifndef DIN2_ISR1
#define DIN2_ISR1 0
#endif
#ifndef DIN2_ISR2
#define DIN2_ISR2 0
#endif
#ifndef DIN2_ISR3
#define DIN2_ISR3 0
#endif
#ifndef DIN2_ISRA
#define DIN2_ISRA 0
#endif
#ifndef DIN2_ISRB
#define DIN2_ISRB 0
#endif
#define DIN2_ISR_MASK (DIN2_ISR0 | DIN2_ISR1 | DIN2_ISR2 | DIN2_ISR3 | DIN2_ISRA | DIN2_ISRB)
#ifndef DIN2_ISR_MASK
#define DIN2_ISR_MASK 0
#endif
#ifndef DIN2_EIMSK
#define DIN2_EIMSK 0
#endif
#define DIO132_ISR_MASK DIN2_ISR_MASK
#define DIO132_ISRREG DIN2_ISRREG</v>
      </c>
      <c r="H131" s="9"/>
      <c r="I131" s="9" t="str">
        <f t="shared" si="25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1"/>
        <v>DIO133</v>
      </c>
      <c r="C132" s="5" t="s">
        <v>92</v>
      </c>
      <c r="D132" s="4">
        <v>3</v>
      </c>
      <c r="E132" s="9" t="str">
        <f t="shared" si="2"/>
        <v>#if(defined(DIN3_PORT) &amp;&amp; defined(DIN3_BIT))
#define DIO133 133
#define DIN3 133
#define DIO133_PORT (DIN3_PORT)
#define DIO133_BIT (DIN3_BIT)
#define DIN3_OUTREG (__outreg__(DIN3_PORT))
#define DIN3_INREG (__inreg__(DIN3_PORT))
#define DIN3_DIRREG (__dirreg__(DIN3_PORT))
#define DIO133_OUTREG (__outreg__(DIN3_PORT))
#define DIO133_INREG (__inreg__(DIN3_PORT))
#define DIO133_DIRREG (__dirreg__(DIN3_PORT))
#endif</v>
      </c>
      <c r="F132" s="9" t="str">
        <f t="shared" si="23"/>
        <v>#if(defined(DIN3_ISR) &amp;&amp; defined(DIN3))
#define DIO133_ISR (DIN3_ISR)
#if(DIN3_ISR == -8)
#define DIN3_ISRREG EICRB
#define DIN3_ISRA (64)
#define DIN3_EIMSK (1 &lt;&lt; 7)
#elif(DIN3_ISR == -7)
#define DIN3_ISRREG EICRB
#define DIN3_ISRA (16)
#define DIN3_EIMSK (1 &lt;&lt; 6)
#elif(DIN3_ISR == -6)
#define DIN3_ISRREG EICRB
#define DIN3_ISRA (4)
#define DIN3_EIMSK (1 &lt;&lt; 5)
#elif(DIN3_ISR == -5)
#define DIN3_ISRREG EICRB
#define DIN3_ISRA (1)
#define DIN3_EIMSK (1 &lt;&lt; 4)
#elif(DIN3_ISR == -4)
#define DIN3_ISRREG EICRA
#define DIN3_ISRA (64)
#define DIN3_EIMSK (1 &lt;&lt; 3)
#elif(DIN3_ISR == -3)
#define DIN3_ISRREG EICRA
#define DIN3_ISRA (16)
#define DIN3_EIMSK (1 &lt;&lt; 2)
#elif(DIN3_ISR == -2)
#define DIN3_ISRREG EICRA
#define DIN3_ISRA (4)
#define DIN3_EIMSK (1 &lt;&lt; 1)
#elif(DIN3_ISR == -1)
#define DIN3_ISRREG EICRA
#define DIN3_ISRA (1)
#define DIN3_EIMSK (1 &lt;&lt; 0)
#elif((((DIN3_ISR &amp; 0xF8)&gt;&gt;3)&amp;0x3) == 0)
#define DIN3_ISRREG PCMSK0
#define DIN3_ISR0 (1 &lt;&lt; (DIN3_ISR&amp;0x7))
#elif((((DIN3_ISR &amp; 0xF8) &gt;&gt; 3) &amp; 0x3) == 1)
#define DIN3_ISRREG PCMSK1
#define DIN3_ISR1 (1 &lt;&lt; (DIN3_ISR&amp;0x7))
#elif((((DIN3_ISR &amp; 0xF8) &gt;&gt; 3) &amp; 0x3) == 2)
#define DIN3_ISRREG PCMSK2
#define DIN3_ISR2 (1 &lt;&lt; (DIN3_ISR&amp;0x7))
#elif((((DIN3_ISR &amp; 0xF8) &gt;&gt; 3) &amp; 0x3) == 3)
#define DIN3_ISRREG PCMSK3
#define DIN3_ISR3 (1 &lt;&lt; (DIN3_ISR&amp;0x7))
#endif
#define DIO133_ISRREG DIN3_ISRREG
#endif</v>
      </c>
      <c r="G132" s="9" t="str">
        <f t="shared" si="24"/>
        <v>#ifndef DIN3_ISR0
#define DIN3_ISR0 0
#endif
#ifndef DIN3_ISR1
#define DIN3_ISR1 0
#endif
#ifndef DIN3_ISR2
#define DIN3_ISR2 0
#endif
#ifndef DIN3_ISR3
#define DIN3_ISR3 0
#endif
#ifndef DIN3_ISRA
#define DIN3_ISRA 0
#endif
#ifndef DIN3_ISRB
#define DIN3_ISRB 0
#endif
#define DIN3_ISR_MASK (DIN3_ISR0 | DIN3_ISR1 | DIN3_ISR2 | DIN3_ISR3 | DIN3_ISRA | DIN3_ISRB)
#ifndef DIN3_ISR_MASK
#define DIN3_ISR_MASK 0
#endif
#ifndef DIN3_EIMSK
#define DIN3_EIMSK 0
#endif
#define DIO133_ISR_MASK DIN3_ISR_MASK
#define DIO133_ISRREG DIN3_ISRREG</v>
      </c>
      <c r="H132" s="9"/>
      <c r="I132" s="9" t="str">
        <f t="shared" si="25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1"/>
        <v>DIO134</v>
      </c>
      <c r="C133" s="5" t="s">
        <v>93</v>
      </c>
      <c r="D133" s="4">
        <v>4</v>
      </c>
      <c r="E133" s="9" t="str">
        <f t="shared" si="2"/>
        <v>#if(defined(DIN4_PORT) &amp;&amp; defined(DIN4_BIT))
#define DIO134 134
#define DIN4 134
#define DIO134_PORT (DIN4_PORT)
#define DIO134_BIT (DIN4_BIT)
#define DIN4_OUTREG (__outreg__(DIN4_PORT))
#define DIN4_INREG (__inreg__(DIN4_PORT))
#define DIN4_DIRREG (__dirreg__(DIN4_PORT))
#define DIO134_OUTREG (__outreg__(DIN4_PORT))
#define DIO134_INREG (__inreg__(DIN4_PORT))
#define DIO134_DIRREG (__dirreg__(DIN4_PORT))
#endif</v>
      </c>
      <c r="F133" s="9" t="str">
        <f t="shared" si="23"/>
        <v>#if(defined(DIN4_ISR) &amp;&amp; defined(DIN4))
#define DIO134_ISR (DIN4_ISR)
#if(DIN4_ISR == -8)
#define DIN4_ISRREG EICRB
#define DIN4_ISRA (64)
#define DIN4_EIMSK (1 &lt;&lt; 7)
#elif(DIN4_ISR == -7)
#define DIN4_ISRREG EICRB
#define DIN4_ISRA (16)
#define DIN4_EIMSK (1 &lt;&lt; 6)
#elif(DIN4_ISR == -6)
#define DIN4_ISRREG EICRB
#define DIN4_ISRA (4)
#define DIN4_EIMSK (1 &lt;&lt; 5)
#elif(DIN4_ISR == -5)
#define DIN4_ISRREG EICRB
#define DIN4_ISRA (1)
#define DIN4_EIMSK (1 &lt;&lt; 4)
#elif(DIN4_ISR == -4)
#define DIN4_ISRREG EICRA
#define DIN4_ISRA (64)
#define DIN4_EIMSK (1 &lt;&lt; 3)
#elif(DIN4_ISR == -3)
#define DIN4_ISRREG EICRA
#define DIN4_ISRA (16)
#define DIN4_EIMSK (1 &lt;&lt; 2)
#elif(DIN4_ISR == -2)
#define DIN4_ISRREG EICRA
#define DIN4_ISRA (4)
#define DIN4_EIMSK (1 &lt;&lt; 1)
#elif(DIN4_ISR == -1)
#define DIN4_ISRREG EICRA
#define DIN4_ISRA (1)
#define DIN4_EIMSK (1 &lt;&lt; 0)
#elif((((DIN4_ISR &amp; 0xF8)&gt;&gt;3)&amp;0x3) == 0)
#define DIN4_ISRREG PCMSK0
#define DIN4_ISR0 (1 &lt;&lt; (DIN4_ISR&amp;0x7))
#elif((((DIN4_ISR &amp; 0xF8) &gt;&gt; 3) &amp; 0x3) == 1)
#define DIN4_ISRREG PCMSK1
#define DIN4_ISR1 (1 &lt;&lt; (DIN4_ISR&amp;0x7))
#elif((((DIN4_ISR &amp; 0xF8) &gt;&gt; 3) &amp; 0x3) == 2)
#define DIN4_ISRREG PCMSK2
#define DIN4_ISR2 (1 &lt;&lt; (DIN4_ISR&amp;0x7))
#elif((((DIN4_ISR &amp; 0xF8) &gt;&gt; 3) &amp; 0x3) == 3)
#define DIN4_ISRREG PCMSK3
#define DIN4_ISR3 (1 &lt;&lt; (DIN4_ISR&amp;0x7))
#endif
#define DIO134_ISRREG DIN4_ISRREG
#endif</v>
      </c>
      <c r="G133" s="9" t="str">
        <f t="shared" si="24"/>
        <v>#ifndef DIN4_ISR0
#define DIN4_ISR0 0
#endif
#ifndef DIN4_ISR1
#define DIN4_ISR1 0
#endif
#ifndef DIN4_ISR2
#define DIN4_ISR2 0
#endif
#ifndef DIN4_ISR3
#define DIN4_ISR3 0
#endif
#ifndef DIN4_ISRA
#define DIN4_ISRA 0
#endif
#ifndef DIN4_ISRB
#define DIN4_ISRB 0
#endif
#define DIN4_ISR_MASK (DIN4_ISR0 | DIN4_ISR1 | DIN4_ISR2 | DIN4_ISR3 | DIN4_ISRA | DIN4_ISRB)
#ifndef DIN4_ISR_MASK
#define DIN4_ISR_MASK 0
#endif
#ifndef DIN4_EIMSK
#define DIN4_EIMSK 0
#endif
#define DIO134_ISR_MASK DIN4_ISR_MASK
#define DIO134_ISRREG DIN4_ISRREG</v>
      </c>
      <c r="H133" s="9"/>
      <c r="I133" s="9" t="str">
        <f t="shared" si="25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1"/>
        <v>DIO135</v>
      </c>
      <c r="C134" s="5" t="s">
        <v>94</v>
      </c>
      <c r="D134" s="4">
        <v>5</v>
      </c>
      <c r="E134" s="9" t="str">
        <f t="shared" si="2"/>
        <v>#if(defined(DIN5_PORT) &amp;&amp; defined(DIN5_BIT))
#define DIO135 135
#define DIN5 135
#define DIO135_PORT (DIN5_PORT)
#define DIO135_BIT (DIN5_BIT)
#define DIN5_OUTREG (__outreg__(DIN5_PORT))
#define DIN5_INREG (__inreg__(DIN5_PORT))
#define DIN5_DIRREG (__dirreg__(DIN5_PORT))
#define DIO135_OUTREG (__outreg__(DIN5_PORT))
#define DIO135_INREG (__inreg__(DIN5_PORT))
#define DIO135_DIRREG (__dirreg__(DIN5_PORT))
#endif</v>
      </c>
      <c r="F134" s="9" t="str">
        <f t="shared" si="23"/>
        <v>#if(defined(DIN5_ISR) &amp;&amp; defined(DIN5))
#define DIO135_ISR (DIN5_ISR)
#if(DIN5_ISR == -8)
#define DIN5_ISRREG EICRB
#define DIN5_ISRA (64)
#define DIN5_EIMSK (1 &lt;&lt; 7)
#elif(DIN5_ISR == -7)
#define DIN5_ISRREG EICRB
#define DIN5_ISRA (16)
#define DIN5_EIMSK (1 &lt;&lt; 6)
#elif(DIN5_ISR == -6)
#define DIN5_ISRREG EICRB
#define DIN5_ISRA (4)
#define DIN5_EIMSK (1 &lt;&lt; 5)
#elif(DIN5_ISR == -5)
#define DIN5_ISRREG EICRB
#define DIN5_ISRA (1)
#define DIN5_EIMSK (1 &lt;&lt; 4)
#elif(DIN5_ISR == -4)
#define DIN5_ISRREG EICRA
#define DIN5_ISRA (64)
#define DIN5_EIMSK (1 &lt;&lt; 3)
#elif(DIN5_ISR == -3)
#define DIN5_ISRREG EICRA
#define DIN5_ISRA (16)
#define DIN5_EIMSK (1 &lt;&lt; 2)
#elif(DIN5_ISR == -2)
#define DIN5_ISRREG EICRA
#define DIN5_ISRA (4)
#define DIN5_EIMSK (1 &lt;&lt; 1)
#elif(DIN5_ISR == -1)
#define DIN5_ISRREG EICRA
#define DIN5_ISRA (1)
#define DIN5_EIMSK (1 &lt;&lt; 0)
#elif((((DIN5_ISR &amp; 0xF8)&gt;&gt;3)&amp;0x3) == 0)
#define DIN5_ISRREG PCMSK0
#define DIN5_ISR0 (1 &lt;&lt; (DIN5_ISR&amp;0x7))
#elif((((DIN5_ISR &amp; 0xF8) &gt;&gt; 3) &amp; 0x3) == 1)
#define DIN5_ISRREG PCMSK1
#define DIN5_ISR1 (1 &lt;&lt; (DIN5_ISR&amp;0x7))
#elif((((DIN5_ISR &amp; 0xF8) &gt;&gt; 3) &amp; 0x3) == 2)
#define DIN5_ISRREG PCMSK2
#define DIN5_ISR2 (1 &lt;&lt; (DIN5_ISR&amp;0x7))
#elif((((DIN5_ISR &amp; 0xF8) &gt;&gt; 3) &amp; 0x3) == 3)
#define DIN5_ISRREG PCMSK3
#define DIN5_ISR3 (1 &lt;&lt; (DIN5_ISR&amp;0x7))
#endif
#define DIO135_ISRREG DIN5_ISRREG
#endif</v>
      </c>
      <c r="G134" s="9" t="str">
        <f t="shared" si="24"/>
        <v>#ifndef DIN5_ISR0
#define DIN5_ISR0 0
#endif
#ifndef DIN5_ISR1
#define DIN5_ISR1 0
#endif
#ifndef DIN5_ISR2
#define DIN5_ISR2 0
#endif
#ifndef DIN5_ISR3
#define DIN5_ISR3 0
#endif
#ifndef DIN5_ISRA
#define DIN5_ISRA 0
#endif
#ifndef DIN5_ISRB
#define DIN5_ISRB 0
#endif
#define DIN5_ISR_MASK (DIN5_ISR0 | DIN5_ISR1 | DIN5_ISR2 | DIN5_ISR3 | DIN5_ISRA | DIN5_ISRB)
#ifndef DIN5_ISR_MASK
#define DIN5_ISR_MASK 0
#endif
#ifndef DIN5_EIMSK
#define DIN5_EIMSK 0
#endif
#define DIO135_ISR_MASK DIN5_ISR_MASK
#define DIO135_ISRREG DIN5_ISRREG</v>
      </c>
      <c r="H134" s="9"/>
      <c r="I134" s="9" t="str">
        <f t="shared" si="25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1"/>
        <v>DIO136</v>
      </c>
      <c r="C135" s="5" t="s">
        <v>95</v>
      </c>
      <c r="D135" s="4">
        <v>6</v>
      </c>
      <c r="E135" s="9" t="str">
        <f t="shared" si="2"/>
        <v>#if(defined(DIN6_PORT) &amp;&amp; defined(DIN6_BIT))
#define DIO136 136
#define DIN6 136
#define DIO136_PORT (DIN6_PORT)
#define DIO136_BIT (DIN6_BIT)
#define DIN6_OUTREG (__outreg__(DIN6_PORT))
#define DIN6_INREG (__inreg__(DIN6_PORT))
#define DIN6_DIRREG (__dirreg__(DIN6_PORT))
#define DIO136_OUTREG (__outreg__(DIN6_PORT))
#define DIO136_INREG (__inreg__(DIN6_PORT))
#define DIO136_DIRREG (__dirreg__(DIN6_PORT))
#endif</v>
      </c>
      <c r="F135" s="9" t="str">
        <f t="shared" si="23"/>
        <v>#if(defined(DIN6_ISR) &amp;&amp; defined(DIN6))
#define DIO136_ISR (DIN6_ISR)
#if(DIN6_ISR == -8)
#define DIN6_ISRREG EICRB
#define DIN6_ISRA (64)
#define DIN6_EIMSK (1 &lt;&lt; 7)
#elif(DIN6_ISR == -7)
#define DIN6_ISRREG EICRB
#define DIN6_ISRA (16)
#define DIN6_EIMSK (1 &lt;&lt; 6)
#elif(DIN6_ISR == -6)
#define DIN6_ISRREG EICRB
#define DIN6_ISRA (4)
#define DIN6_EIMSK (1 &lt;&lt; 5)
#elif(DIN6_ISR == -5)
#define DIN6_ISRREG EICRB
#define DIN6_ISRA (1)
#define DIN6_EIMSK (1 &lt;&lt; 4)
#elif(DIN6_ISR == -4)
#define DIN6_ISRREG EICRA
#define DIN6_ISRA (64)
#define DIN6_EIMSK (1 &lt;&lt; 3)
#elif(DIN6_ISR == -3)
#define DIN6_ISRREG EICRA
#define DIN6_ISRA (16)
#define DIN6_EIMSK (1 &lt;&lt; 2)
#elif(DIN6_ISR == -2)
#define DIN6_ISRREG EICRA
#define DIN6_ISRA (4)
#define DIN6_EIMSK (1 &lt;&lt; 1)
#elif(DIN6_ISR == -1)
#define DIN6_ISRREG EICRA
#define DIN6_ISRA (1)
#define DIN6_EIMSK (1 &lt;&lt; 0)
#elif((((DIN6_ISR &amp; 0xF8)&gt;&gt;3)&amp;0x3) == 0)
#define DIN6_ISRREG PCMSK0
#define DIN6_ISR0 (1 &lt;&lt; (DIN6_ISR&amp;0x7))
#elif((((DIN6_ISR &amp; 0xF8) &gt;&gt; 3) &amp; 0x3) == 1)
#define DIN6_ISRREG PCMSK1
#define DIN6_ISR1 (1 &lt;&lt; (DIN6_ISR&amp;0x7))
#elif((((DIN6_ISR &amp; 0xF8) &gt;&gt; 3) &amp; 0x3) == 2)
#define DIN6_ISRREG PCMSK2
#define DIN6_ISR2 (1 &lt;&lt; (DIN6_ISR&amp;0x7))
#elif((((DIN6_ISR &amp; 0xF8) &gt;&gt; 3) &amp; 0x3) == 3)
#define DIN6_ISRREG PCMSK3
#define DIN6_ISR3 (1 &lt;&lt; (DIN6_ISR&amp;0x7))
#endif
#define DIO136_ISRREG DIN6_ISRREG
#endif</v>
      </c>
      <c r="G135" s="9" t="str">
        <f t="shared" si="24"/>
        <v>#ifndef DIN6_ISR0
#define DIN6_ISR0 0
#endif
#ifndef DIN6_ISR1
#define DIN6_ISR1 0
#endif
#ifndef DIN6_ISR2
#define DIN6_ISR2 0
#endif
#ifndef DIN6_ISR3
#define DIN6_ISR3 0
#endif
#ifndef DIN6_ISRA
#define DIN6_ISRA 0
#endif
#ifndef DIN6_ISRB
#define DIN6_ISRB 0
#endif
#define DIN6_ISR_MASK (DIN6_ISR0 | DIN6_ISR1 | DIN6_ISR2 | DIN6_ISR3 | DIN6_ISRA | DIN6_ISRB)
#ifndef DIN6_ISR_MASK
#define DIN6_ISR_MASK 0
#endif
#ifndef DIN6_EIMSK
#define DIN6_EIMSK 0
#endif
#define DIO136_ISR_MASK DIN6_ISR_MASK
#define DIO136_ISRREG DIN6_ISRREG</v>
      </c>
      <c r="H135" s="9"/>
      <c r="I135" s="9" t="str">
        <f t="shared" si="25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1"/>
        <v>DIO137</v>
      </c>
      <c r="C136" s="5" t="s">
        <v>96</v>
      </c>
      <c r="D136" s="4">
        <v>7</v>
      </c>
      <c r="E136" s="9" t="str">
        <f t="shared" si="2"/>
        <v>#if(defined(DIN7_PORT) &amp;&amp; defined(DIN7_BIT))
#define DIO137 137
#define DIN7 137
#define DIO137_PORT (DIN7_PORT)
#define DIO137_BIT (DIN7_BIT)
#define DIN7_OUTREG (__outreg__(DIN7_PORT))
#define DIN7_INREG (__inreg__(DIN7_PORT))
#define DIN7_DIRREG (__dirreg__(DIN7_PORT))
#define DIO137_OUTREG (__outreg__(DIN7_PORT))
#define DIO137_INREG (__inreg__(DIN7_PORT))
#define DIO137_DIRREG (__dirreg__(DIN7_PORT))
#endif</v>
      </c>
      <c r="F136" s="9" t="str">
        <f t="shared" si="23"/>
        <v>#if(defined(DIN7_ISR) &amp;&amp; defined(DIN7))
#define DIO137_ISR (DIN7_ISR)
#if(DIN7_ISR == -8)
#define DIN7_ISRREG EICRB
#define DIN7_ISRA (64)
#define DIN7_EIMSK (1 &lt;&lt; 7)
#elif(DIN7_ISR == -7)
#define DIN7_ISRREG EICRB
#define DIN7_ISRA (16)
#define DIN7_EIMSK (1 &lt;&lt; 6)
#elif(DIN7_ISR == -6)
#define DIN7_ISRREG EICRB
#define DIN7_ISRA (4)
#define DIN7_EIMSK (1 &lt;&lt; 5)
#elif(DIN7_ISR == -5)
#define DIN7_ISRREG EICRB
#define DIN7_ISRA (1)
#define DIN7_EIMSK (1 &lt;&lt; 4)
#elif(DIN7_ISR == -4)
#define DIN7_ISRREG EICRA
#define DIN7_ISRA (64)
#define DIN7_EIMSK (1 &lt;&lt; 3)
#elif(DIN7_ISR == -3)
#define DIN7_ISRREG EICRA
#define DIN7_ISRA (16)
#define DIN7_EIMSK (1 &lt;&lt; 2)
#elif(DIN7_ISR == -2)
#define DIN7_ISRREG EICRA
#define DIN7_ISRA (4)
#define DIN7_EIMSK (1 &lt;&lt; 1)
#elif(DIN7_ISR == -1)
#define DIN7_ISRREG EICRA
#define DIN7_ISRA (1)
#define DIN7_EIMSK (1 &lt;&lt; 0)
#elif((((DIN7_ISR &amp; 0xF8)&gt;&gt;3)&amp;0x3) == 0)
#define DIN7_ISRREG PCMSK0
#define DIN7_ISR0 (1 &lt;&lt; (DIN7_ISR&amp;0x7))
#elif((((DIN7_ISR &amp; 0xF8) &gt;&gt; 3) &amp; 0x3) == 1)
#define DIN7_ISRREG PCMSK1
#define DIN7_ISR1 (1 &lt;&lt; (DIN7_ISR&amp;0x7))
#elif((((DIN7_ISR &amp; 0xF8) &gt;&gt; 3) &amp; 0x3) == 2)
#define DIN7_ISRREG PCMSK2
#define DIN7_ISR2 (1 &lt;&lt; (DIN7_ISR&amp;0x7))
#elif((((DIN7_ISR &amp; 0xF8) &gt;&gt; 3) &amp; 0x3) == 3)
#define DIN7_ISRREG PCMSK3
#define DIN7_ISR3 (1 &lt;&lt; (DIN7_ISR&amp;0x7))
#endif
#define DIO137_ISRREG DIN7_ISRREG
#endif</v>
      </c>
      <c r="G136" s="9" t="str">
        <f t="shared" si="24"/>
        <v>#ifndef DIN7_ISR0
#define DIN7_ISR0 0
#endif
#ifndef DIN7_ISR1
#define DIN7_ISR1 0
#endif
#ifndef DIN7_ISR2
#define DIN7_ISR2 0
#endif
#ifndef DIN7_ISR3
#define DIN7_ISR3 0
#endif
#ifndef DIN7_ISRA
#define DIN7_ISRA 0
#endif
#ifndef DIN7_ISRB
#define DIN7_ISRB 0
#endif
#define DIN7_ISR_MASK (DIN7_ISR0 | DIN7_ISR1 | DIN7_ISR2 | DIN7_ISR3 | DIN7_ISRA | DIN7_ISRB)
#ifndef DIN7_ISR_MASK
#define DIN7_ISR_MASK 0
#endif
#ifndef DIN7_EIMSK
#define DIN7_EIMSK 0
#endif
#define DIO137_ISR_MASK DIN7_ISR_MASK
#define DIO137_ISRREG DIN7_ISRREG</v>
      </c>
      <c r="H136" s="9"/>
      <c r="I136" s="9" t="str">
        <f t="shared" si="25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1"/>
        <v>DIO138</v>
      </c>
      <c r="C137" s="5" t="s">
        <v>97</v>
      </c>
      <c r="D137" s="4">
        <v>8</v>
      </c>
      <c r="E137" s="9" t="str">
        <f t="shared" si="2"/>
        <v>#if(defined(DIN8_PORT) &amp;&amp; defined(DIN8_BIT))
#define DIO138 138
#define DIN8 138
#define DIO138_PORT (DIN8_PORT)
#define DIO138_BIT (DIN8_BIT)
#define DIN8_OUTREG (__outreg__(DIN8_PORT))
#define DIN8_INREG (__inreg__(DIN8_PORT))
#define DIN8_DIRREG (__dirreg__(DIN8_PORT))
#define DIO138_OUTREG (__outreg__(DIN8_PORT))
#define DIO138_INREG (__inreg__(DIN8_PORT))
#define DIO138_DIRREG (__dirreg__(DIN8_PORT))
#endif</v>
      </c>
      <c r="F137" s="9"/>
      <c r="G137" s="9"/>
      <c r="H137" s="9"/>
      <c r="I137" s="9" t="str">
        <f>"#if ASSERT_PIN_IO("&amp;C137&amp;")
	mcu_config_input("&amp;C137&amp;");
#ifdef "&amp;C137&amp;"_PULLUP
	mcu_config_pullup("&amp;C137&amp;");
#endif
#endif"</f>
        <v>#if ASSERT_PIN_IO(DIN8)
	mcu_config_input(DIN8);
#ifdef DIN8_PULLUP
	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1"/>
        <v>DIO139</v>
      </c>
      <c r="C138" s="5" t="s">
        <v>98</v>
      </c>
      <c r="D138" s="4">
        <v>9</v>
      </c>
      <c r="E138" s="9" t="str">
        <f t="shared" si="2"/>
        <v>#if(defined(DIN9_PORT) &amp;&amp; defined(DIN9_BIT))
#define DIO139 139
#define DIN9 139
#define DIO139_PORT (DIN9_PORT)
#define DIO139_BIT (DIN9_BIT)
#define DIN9_OUTREG (__outreg__(DIN9_PORT))
#define DIN9_INREG (__inreg__(DIN9_PORT))
#define DIN9_DIRREG (__dirreg__(DIN9_PORT))
#define DIO139_OUTREG (__outreg__(DIN9_PORT))
#define DIO139_INREG (__inreg__(DIN9_PORT))
#define DIO139_DIRREG (__dirreg__(DIN9_PORT))
#endif</v>
      </c>
      <c r="F138" s="9"/>
      <c r="G138" s="9"/>
      <c r="H138" s="9"/>
      <c r="I138" s="9" t="str">
        <f t="shared" ref="I138:I178" si="26">"#if ASSERT_PIN_IO("&amp;C138&amp;")
	mcu_config_input("&amp;C138&amp;");
#ifdef "&amp;C138&amp;"_PULLUP
	mcu_config_pullup("&amp;C138&amp;");
#endif
#endif"</f>
        <v>#if ASSERT_PIN_IO(DIN9)
	mcu_config_input(DIN9);
#ifdef DIN9_PULLUP
	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1"/>
        <v>DIO140</v>
      </c>
      <c r="C139" s="5" t="s">
        <v>99</v>
      </c>
      <c r="D139" s="4">
        <v>10</v>
      </c>
      <c r="E139" s="9" t="str">
        <f t="shared" si="2"/>
        <v>#if(defined(DIN10_PORT) &amp;&amp; defined(DIN10_BIT))
#define DIO140 140
#define DIN10 140
#define DIO140_PORT (DIN10_PORT)
#define DIO140_BIT (DIN10_BIT)
#define DIN10_OUTREG (__outreg__(DIN10_PORT))
#define DIN10_INREG (__inreg__(DIN10_PORT))
#define DIN10_DIRREG (__dirreg__(DIN10_PORT))
#define DIO140_OUTREG (__outreg__(DIN10_PORT))
#define DIO140_INREG (__inreg__(DIN10_PORT))
#define DIO140_DIRREG (__dirreg__(DIN10_PORT))
#endif</v>
      </c>
      <c r="F139" s="9"/>
      <c r="G139" s="9"/>
      <c r="H139" s="9"/>
      <c r="I139" s="9" t="str">
        <f t="shared" si="26"/>
        <v>#if ASSERT_PIN_IO(DIN10)
	mcu_config_input(DIN10);
#ifdef DIN10_PULLUP
	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1"/>
        <v>DIO141</v>
      </c>
      <c r="C140" s="5" t="s">
        <v>100</v>
      </c>
      <c r="D140" s="4">
        <v>11</v>
      </c>
      <c r="E140" s="9" t="str">
        <f t="shared" si="2"/>
        <v>#if(defined(DIN11_PORT) &amp;&amp; defined(DIN11_BIT))
#define DIO141 141
#define DIN11 141
#define DIO141_PORT (DIN11_PORT)
#define DIO141_BIT (DIN11_BIT)
#define DIN11_OUTREG (__outreg__(DIN11_PORT))
#define DIN11_INREG (__inreg__(DIN11_PORT))
#define DIN11_DIRREG (__dirreg__(DIN11_PORT))
#define DIO141_OUTREG (__outreg__(DIN11_PORT))
#define DIO141_INREG (__inreg__(DIN11_PORT))
#define DIO141_DIRREG (__dirreg__(DIN11_PORT))
#endif</v>
      </c>
      <c r="F140" s="9"/>
      <c r="G140" s="9"/>
      <c r="H140" s="9"/>
      <c r="I140" s="9" t="str">
        <f t="shared" si="26"/>
        <v>#if ASSERT_PIN_IO(DIN11)
	mcu_config_input(DIN11);
#ifdef DIN11_PULLUP
	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1"/>
        <v>DIO142</v>
      </c>
      <c r="C141" s="5" t="s">
        <v>101</v>
      </c>
      <c r="D141" s="4">
        <v>12</v>
      </c>
      <c r="E141" s="9" t="str">
        <f t="shared" si="2"/>
        <v>#if(defined(DIN12_PORT) &amp;&amp; defined(DIN12_BIT))
#define DIO142 142
#define DIN12 142
#define DIO142_PORT (DIN12_PORT)
#define DIO142_BIT (DIN12_BIT)
#define DIN12_OUTREG (__outreg__(DIN12_PORT))
#define DIN12_INREG (__inreg__(DIN12_PORT))
#define DIN12_DIRREG (__dirreg__(DIN12_PORT))
#define DIO142_OUTREG (__outreg__(DIN12_PORT))
#define DIO142_INREG (__inreg__(DIN12_PORT))
#define DIO142_DIRREG (__dirreg__(DIN12_PORT))
#endif</v>
      </c>
      <c r="F141" s="9"/>
      <c r="G141" s="9"/>
      <c r="H141" s="9"/>
      <c r="I141" s="9" t="str">
        <f t="shared" si="26"/>
        <v>#if ASSERT_PIN_IO(DIN12)
	mcu_config_input(DIN12);
#ifdef DIN12_PULLUP
	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1"/>
        <v>DIO143</v>
      </c>
      <c r="C142" s="5" t="s">
        <v>102</v>
      </c>
      <c r="D142" s="4">
        <v>13</v>
      </c>
      <c r="E142" s="9" t="str">
        <f t="shared" si="2"/>
        <v>#if(defined(DIN13_PORT) &amp;&amp; defined(DIN13_BIT))
#define DIO143 143
#define DIN13 143
#define DIO143_PORT (DIN13_PORT)
#define DIO143_BIT (DIN13_BIT)
#define DIN13_OUTREG (__outreg__(DIN13_PORT))
#define DIN13_INREG (__inreg__(DIN13_PORT))
#define DIN13_DIRREG (__dirreg__(DIN13_PORT))
#define DIO143_OUTREG (__outreg__(DIN13_PORT))
#define DIO143_INREG (__inreg__(DIN13_PORT))
#define DIO143_DIRREG (__dirreg__(DIN13_PORT))
#endif</v>
      </c>
      <c r="F142" s="9"/>
      <c r="G142" s="9"/>
      <c r="H142" s="9"/>
      <c r="I142" s="9" t="str">
        <f t="shared" si="26"/>
        <v>#if ASSERT_PIN_IO(DIN13)
	mcu_config_input(DIN13);
#ifdef DIN13_PULLUP
	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1"/>
        <v>DIO144</v>
      </c>
      <c r="C143" s="5" t="s">
        <v>103</v>
      </c>
      <c r="D143" s="4">
        <v>14</v>
      </c>
      <c r="E143" s="9" t="str">
        <f t="shared" si="2"/>
        <v>#if(defined(DIN14_PORT) &amp;&amp; defined(DIN14_BIT))
#define DIO144 144
#define DIN14 144
#define DIO144_PORT (DIN14_PORT)
#define DIO144_BIT (DIN14_BIT)
#define DIN14_OUTREG (__outreg__(DIN14_PORT))
#define DIN14_INREG (__inreg__(DIN14_PORT))
#define DIN14_DIRREG (__dirreg__(DIN14_PORT))
#define DIO144_OUTREG (__outreg__(DIN14_PORT))
#define DIO144_INREG (__inreg__(DIN14_PORT))
#define DIO144_DIRREG (__dirreg__(DIN14_PORT))
#endif</v>
      </c>
      <c r="F143" s="9"/>
      <c r="G143" s="9"/>
      <c r="H143" s="9"/>
      <c r="I143" s="9" t="str">
        <f t="shared" si="26"/>
        <v>#if ASSERT_PIN_IO(DIN14)
	mcu_config_input(DIN14);
#ifdef DIN14_PULLUP
	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1"/>
        <v>DIO145</v>
      </c>
      <c r="C144" s="5" t="s">
        <v>104</v>
      </c>
      <c r="D144" s="4">
        <v>15</v>
      </c>
      <c r="E144" s="9" t="str">
        <f t="shared" si="2"/>
        <v>#if(defined(DIN15_PORT) &amp;&amp; defined(DIN15_BIT))
#define DIO145 145
#define DIN15 145
#define DIO145_PORT (DIN15_PORT)
#define DIO145_BIT (DIN15_BIT)
#define DIN15_OUTREG (__outreg__(DIN15_PORT))
#define DIN15_INREG (__inreg__(DIN15_PORT))
#define DIN15_DIRREG (__dirreg__(DIN15_PORT))
#define DIO145_OUTREG (__outreg__(DIN15_PORT))
#define DIO145_INREG (__inreg__(DIN15_PORT))
#define DIO145_DIRREG (__dirreg__(DIN15_PORT))
#endif</v>
      </c>
      <c r="F144" s="9"/>
      <c r="G144" s="9"/>
      <c r="H144" s="9"/>
      <c r="I144" s="9" t="str">
        <f t="shared" si="26"/>
        <v>#if ASSERT_PIN_IO(DIN15)
	mcu_config_input(DIN15);
#ifdef DIN15_PULLUP
	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1"/>
        <v>DIO146</v>
      </c>
      <c r="C145" s="5" t="s">
        <v>207</v>
      </c>
      <c r="D145" s="4">
        <v>16</v>
      </c>
      <c r="E145" s="9" t="str">
        <f t="shared" ref="E145:E160" si="27">"#if(defined("&amp;C145&amp;"_PORT) &amp;&amp; defined("&amp;C145&amp;"_BIT))
#define "&amp;B145&amp;" "&amp;A145&amp;"
#define "&amp;C145&amp;" "&amp;A145&amp;"
#define "&amp;B145&amp;"_PORT ("&amp;C145&amp;"_PORT)
#define "&amp;B145&amp;"_BIT ("&amp;C145&amp;"_BIT)
#define "&amp;C145&amp;"_OUTREG (__outreg__("&amp;C145&amp;"_PORT))
#define "&amp;C145&amp;"_INREG (__inreg__("&amp;C145&amp;"_PORT))
#define "&amp;C145&amp;"_DIRREG (__dirreg__("&amp;C145&amp;"_PORT))
#define "&amp;B145&amp;"_OUTREG (__outreg__("&amp;C145&amp;"_PORT))
#define "&amp;B145&amp;"_INREG (__inreg__("&amp;C145&amp;"_PORT))
#define "&amp;B145&amp;"_DIRREG (__dirreg__("&amp;C145&amp;"_PORT))
#endif"</f>
        <v>#if(defined(DIN16_PORT) &amp;&amp; defined(DIN16_BIT))
#define DIO146 146
#define DIN16 146
#define DIO146_PORT (DIN16_PORT)
#define DIO146_BIT (DIN16_BIT)
#define DIN16_OUTREG (__outreg__(DIN16_PORT))
#define DIN16_INREG (__inreg__(DIN16_PORT))
#define DIN16_DIRREG (__dirreg__(DIN16_PORT))
#define DIO146_OUTREG (__outreg__(DIN16_PORT))
#define DIO146_INREG (__inreg__(DIN16_PORT))
#define DIO146_DIRREG (__dirreg__(DIN16_PORT))
#endif</v>
      </c>
      <c r="F145" s="12"/>
      <c r="G145" s="9"/>
      <c r="H145" s="9"/>
      <c r="I145" s="9" t="str">
        <f t="shared" si="26"/>
        <v>#if ASSERT_PIN_IO(DIN16)
	mcu_config_input(DIN16);
#ifdef DIN16_PULLUP
	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1"/>
        <v>DIO147</v>
      </c>
      <c r="C146" s="5" t="s">
        <v>208</v>
      </c>
      <c r="D146" s="4">
        <v>17</v>
      </c>
      <c r="E146" s="9" t="str">
        <f t="shared" si="27"/>
        <v>#if(defined(DIN17_PORT) &amp;&amp; defined(DIN17_BIT))
#define DIO147 147
#define DIN17 147
#define DIO147_PORT (DIN17_PORT)
#define DIO147_BIT (DIN17_BIT)
#define DIN17_OUTREG (__outreg__(DIN17_PORT))
#define DIN17_INREG (__inreg__(DIN17_PORT))
#define DIN17_DIRREG (__dirreg__(DIN17_PORT))
#define DIO147_OUTREG (__outreg__(DIN17_PORT))
#define DIO147_INREG (__inreg__(DIN17_PORT))
#define DIO147_DIRREG (__dirreg__(DIN17_PORT))
#endif</v>
      </c>
      <c r="F146" s="12"/>
      <c r="G146" s="9"/>
      <c r="H146" s="9"/>
      <c r="I146" s="9" t="str">
        <f t="shared" si="26"/>
        <v>#if ASSERT_PIN_IO(DIN17)
	mcu_config_input(DIN17);
#ifdef DIN17_PULLUP
	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1"/>
        <v>DIO148</v>
      </c>
      <c r="C147" s="5" t="s">
        <v>209</v>
      </c>
      <c r="D147" s="4">
        <v>18</v>
      </c>
      <c r="E147" s="9" t="str">
        <f t="shared" si="27"/>
        <v>#if(defined(DIN18_PORT) &amp;&amp; defined(DIN18_BIT))
#define DIO148 148
#define DIN18 148
#define DIO148_PORT (DIN18_PORT)
#define DIO148_BIT (DIN18_BIT)
#define DIN18_OUTREG (__outreg__(DIN18_PORT))
#define DIN18_INREG (__inreg__(DIN18_PORT))
#define DIN18_DIRREG (__dirreg__(DIN18_PORT))
#define DIO148_OUTREG (__outreg__(DIN18_PORT))
#define DIO148_INREG (__inreg__(DIN18_PORT))
#define DIO148_DIRREG (__dirreg__(DIN18_PORT))
#endif</v>
      </c>
      <c r="F147" s="12"/>
      <c r="G147" s="9"/>
      <c r="H147" s="9"/>
      <c r="I147" s="9" t="str">
        <f t="shared" si="26"/>
        <v>#if ASSERT_PIN_IO(DIN18)
	mcu_config_input(DIN18);
#ifdef DIN18_PULLUP
	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1"/>
        <v>DIO149</v>
      </c>
      <c r="C148" s="5" t="s">
        <v>210</v>
      </c>
      <c r="D148" s="4">
        <v>19</v>
      </c>
      <c r="E148" s="9" t="str">
        <f t="shared" si="27"/>
        <v>#if(defined(DIN19_PORT) &amp;&amp; defined(DIN19_BIT))
#define DIO149 149
#define DIN19 149
#define DIO149_PORT (DIN19_PORT)
#define DIO149_BIT (DIN19_BIT)
#define DIN19_OUTREG (__outreg__(DIN19_PORT))
#define DIN19_INREG (__inreg__(DIN19_PORT))
#define DIN19_DIRREG (__dirreg__(DIN19_PORT))
#define DIO149_OUTREG (__outreg__(DIN19_PORT))
#define DIO149_INREG (__inreg__(DIN19_PORT))
#define DIO149_DIRREG (__dirreg__(DIN19_PORT))
#endif</v>
      </c>
      <c r="F148" s="12"/>
      <c r="G148" s="9"/>
      <c r="H148" s="9"/>
      <c r="I148" s="9" t="str">
        <f t="shared" si="26"/>
        <v>#if ASSERT_PIN_IO(DIN19)
	mcu_config_input(DIN19);
#ifdef DIN19_PULLUP
	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1"/>
        <v>DIO150</v>
      </c>
      <c r="C149" s="5" t="s">
        <v>211</v>
      </c>
      <c r="D149" s="4">
        <v>20</v>
      </c>
      <c r="E149" s="9" t="str">
        <f t="shared" si="27"/>
        <v>#if(defined(DIN20_PORT) &amp;&amp; defined(DIN20_BIT))
#define DIO150 150
#define DIN20 150
#define DIO150_PORT (DIN20_PORT)
#define DIO150_BIT (DIN20_BIT)
#define DIN20_OUTREG (__outreg__(DIN20_PORT))
#define DIN20_INREG (__inreg__(DIN20_PORT))
#define DIN20_DIRREG (__dirreg__(DIN20_PORT))
#define DIO150_OUTREG (__outreg__(DIN20_PORT))
#define DIO150_INREG (__inreg__(DIN20_PORT))
#define DIO150_DIRREG (__dirreg__(DIN20_PORT))
#endif</v>
      </c>
      <c r="F149" s="12"/>
      <c r="G149" s="9"/>
      <c r="H149" s="9"/>
      <c r="I149" s="9" t="str">
        <f t="shared" si="26"/>
        <v>#if ASSERT_PIN_IO(DIN20)
	mcu_config_input(DIN20);
#ifdef DIN20_PULLUP
	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1"/>
        <v>DIO151</v>
      </c>
      <c r="C150" s="5" t="s">
        <v>212</v>
      </c>
      <c r="D150" s="4">
        <v>21</v>
      </c>
      <c r="E150" s="9" t="str">
        <f t="shared" si="27"/>
        <v>#if(defined(DIN21_PORT) &amp;&amp; defined(DIN21_BIT))
#define DIO151 151
#define DIN21 151
#define DIO151_PORT (DIN21_PORT)
#define DIO151_BIT (DIN21_BIT)
#define DIN21_OUTREG (__outreg__(DIN21_PORT))
#define DIN21_INREG (__inreg__(DIN21_PORT))
#define DIN21_DIRREG (__dirreg__(DIN21_PORT))
#define DIO151_OUTREG (__outreg__(DIN21_PORT))
#define DIO151_INREG (__inreg__(DIN21_PORT))
#define DIO151_DIRREG (__dirreg__(DIN21_PORT))
#endif</v>
      </c>
      <c r="F150" s="12"/>
      <c r="G150" s="9"/>
      <c r="H150" s="9"/>
      <c r="I150" s="9" t="str">
        <f t="shared" si="26"/>
        <v>#if ASSERT_PIN_IO(DIN21)
	mcu_config_input(DIN21);
#ifdef DIN21_PULLUP
	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1"/>
        <v>DIO152</v>
      </c>
      <c r="C151" s="5" t="s">
        <v>213</v>
      </c>
      <c r="D151" s="4">
        <v>22</v>
      </c>
      <c r="E151" s="9" t="str">
        <f t="shared" si="27"/>
        <v>#if(defined(DIN22_PORT) &amp;&amp; defined(DIN22_BIT))
#define DIO152 152
#define DIN22 152
#define DIO152_PORT (DIN22_PORT)
#define DIO152_BIT (DIN22_BIT)
#define DIN22_OUTREG (__outreg__(DIN22_PORT))
#define DIN22_INREG (__inreg__(DIN22_PORT))
#define DIN22_DIRREG (__dirreg__(DIN22_PORT))
#define DIO152_OUTREG (__outreg__(DIN22_PORT))
#define DIO152_INREG (__inreg__(DIN22_PORT))
#define DIO152_DIRREG (__dirreg__(DIN22_PORT))
#endif</v>
      </c>
      <c r="F151" s="12"/>
      <c r="G151" s="9"/>
      <c r="H151" s="9"/>
      <c r="I151" s="9" t="str">
        <f t="shared" si="26"/>
        <v>#if ASSERT_PIN_IO(DIN22)
	mcu_config_input(DIN22);
#ifdef DIN22_PULLUP
	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1"/>
        <v>DIO153</v>
      </c>
      <c r="C152" s="5" t="s">
        <v>214</v>
      </c>
      <c r="D152" s="4">
        <v>23</v>
      </c>
      <c r="E152" s="9" t="str">
        <f t="shared" si="27"/>
        <v>#if(defined(DIN23_PORT) &amp;&amp; defined(DIN23_BIT))
#define DIO153 153
#define DIN23 153
#define DIO153_PORT (DIN23_PORT)
#define DIO153_BIT (DIN23_BIT)
#define DIN23_OUTREG (__outreg__(DIN23_PORT))
#define DIN23_INREG (__inreg__(DIN23_PORT))
#define DIN23_DIRREG (__dirreg__(DIN23_PORT))
#define DIO153_OUTREG (__outreg__(DIN23_PORT))
#define DIO153_INREG (__inreg__(DIN23_PORT))
#define DIO153_DIRREG (__dirreg__(DIN23_PORT))
#endif</v>
      </c>
      <c r="F152" s="12"/>
      <c r="G152" s="9"/>
      <c r="H152" s="9"/>
      <c r="I152" s="9" t="str">
        <f t="shared" si="26"/>
        <v>#if ASSERT_PIN_IO(DIN23)
	mcu_config_input(DIN23);
#ifdef DIN23_PULLUP
	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1"/>
        <v>DIO154</v>
      </c>
      <c r="C153" s="5" t="s">
        <v>215</v>
      </c>
      <c r="D153" s="4">
        <v>24</v>
      </c>
      <c r="E153" s="9" t="str">
        <f t="shared" si="27"/>
        <v>#if(defined(DIN24_PORT) &amp;&amp; defined(DIN24_BIT))
#define DIO154 154
#define DIN24 154
#define DIO154_PORT (DIN24_PORT)
#define DIO154_BIT (DIN24_BIT)
#define DIN24_OUTREG (__outreg__(DIN24_PORT))
#define DIN24_INREG (__inreg__(DIN24_PORT))
#define DIN24_DIRREG (__dirreg__(DIN24_PORT))
#define DIO154_OUTREG (__outreg__(DIN24_PORT))
#define DIO154_INREG (__inreg__(DIN24_PORT))
#define DIO154_DIRREG (__dirreg__(DIN24_PORT))
#endif</v>
      </c>
      <c r="F153" s="9"/>
      <c r="G153" s="9"/>
      <c r="H153" s="9"/>
      <c r="I153" s="9" t="str">
        <f t="shared" si="26"/>
        <v>#if ASSERT_PIN_IO(DIN24)
	mcu_config_input(DIN24);
#ifdef DIN24_PULLUP
	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1"/>
        <v>DIO155</v>
      </c>
      <c r="C154" s="5" t="s">
        <v>216</v>
      </c>
      <c r="D154" s="4">
        <v>25</v>
      </c>
      <c r="E154" s="9" t="str">
        <f t="shared" si="27"/>
        <v>#if(defined(DIN25_PORT) &amp;&amp; defined(DIN25_BIT))
#define DIO155 155
#define DIN25 155
#define DIO155_PORT (DIN25_PORT)
#define DIO155_BIT (DIN25_BIT)
#define DIN25_OUTREG (__outreg__(DIN25_PORT))
#define DIN25_INREG (__inreg__(DIN25_PORT))
#define DIN25_DIRREG (__dirreg__(DIN25_PORT))
#define DIO155_OUTREG (__outreg__(DIN25_PORT))
#define DIO155_INREG (__inreg__(DIN25_PORT))
#define DIO155_DIRREG (__dirreg__(DIN25_PORT))
#endif</v>
      </c>
      <c r="F154" s="9"/>
      <c r="G154" s="9"/>
      <c r="H154" s="9"/>
      <c r="I154" s="9" t="str">
        <f t="shared" si="26"/>
        <v>#if ASSERT_PIN_IO(DIN25)
	mcu_config_input(DIN25);
#ifdef DIN25_PULLUP
	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1"/>
        <v>DIO156</v>
      </c>
      <c r="C155" s="5" t="s">
        <v>217</v>
      </c>
      <c r="D155" s="4">
        <v>26</v>
      </c>
      <c r="E155" s="9" t="str">
        <f t="shared" si="27"/>
        <v>#if(defined(DIN26_PORT) &amp;&amp; defined(DIN26_BIT))
#define DIO156 156
#define DIN26 156
#define DIO156_PORT (DIN26_PORT)
#define DIO156_BIT (DIN26_BIT)
#define DIN26_OUTREG (__outreg__(DIN26_PORT))
#define DIN26_INREG (__inreg__(DIN26_PORT))
#define DIN26_DIRREG (__dirreg__(DIN26_PORT))
#define DIO156_OUTREG (__outreg__(DIN26_PORT))
#define DIO156_INREG (__inreg__(DIN26_PORT))
#define DIO156_DIRREG (__dirreg__(DIN26_PORT))
#endif</v>
      </c>
      <c r="F155" s="9"/>
      <c r="G155" s="9"/>
      <c r="H155" s="9"/>
      <c r="I155" s="9" t="str">
        <f t="shared" si="26"/>
        <v>#if ASSERT_PIN_IO(DIN26)
	mcu_config_input(DIN26);
#ifdef DIN26_PULLUP
	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1"/>
        <v>DIO157</v>
      </c>
      <c r="C156" s="5" t="s">
        <v>218</v>
      </c>
      <c r="D156" s="4">
        <v>27</v>
      </c>
      <c r="E156" s="9" t="str">
        <f t="shared" si="27"/>
        <v>#if(defined(DIN27_PORT) &amp;&amp; defined(DIN27_BIT))
#define DIO157 157
#define DIN27 157
#define DIO157_PORT (DIN27_PORT)
#define DIO157_BIT (DIN27_BIT)
#define DIN27_OUTREG (__outreg__(DIN27_PORT))
#define DIN27_INREG (__inreg__(DIN27_PORT))
#define DIN27_DIRREG (__dirreg__(DIN27_PORT))
#define DIO157_OUTREG (__outreg__(DIN27_PORT))
#define DIO157_INREG (__inreg__(DIN27_PORT))
#define DIO157_DIRREG (__dirreg__(DIN27_PORT))
#endif</v>
      </c>
      <c r="F156" s="9"/>
      <c r="G156" s="9"/>
      <c r="H156" s="9"/>
      <c r="I156" s="9" t="str">
        <f t="shared" si="26"/>
        <v>#if ASSERT_PIN_IO(DIN27)
	mcu_config_input(DIN27);
#ifdef DIN27_PULLUP
	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1"/>
        <v>DIO158</v>
      </c>
      <c r="C157" s="5" t="s">
        <v>219</v>
      </c>
      <c r="D157" s="4">
        <v>28</v>
      </c>
      <c r="E157" s="9" t="str">
        <f t="shared" si="27"/>
        <v>#if(defined(DIN28_PORT) &amp;&amp; defined(DIN28_BIT))
#define DIO158 158
#define DIN28 158
#define DIO158_PORT (DIN28_PORT)
#define DIO158_BIT (DIN28_BIT)
#define DIN28_OUTREG (__outreg__(DIN28_PORT))
#define DIN28_INREG (__inreg__(DIN28_PORT))
#define DIN28_DIRREG (__dirreg__(DIN28_PORT))
#define DIO158_OUTREG (__outreg__(DIN28_PORT))
#define DIO158_INREG (__inreg__(DIN28_PORT))
#define DIO158_DIRREG (__dirreg__(DIN28_PORT))
#endif</v>
      </c>
      <c r="F157" s="9"/>
      <c r="G157" s="9"/>
      <c r="H157" s="9"/>
      <c r="I157" s="9" t="str">
        <f t="shared" si="26"/>
        <v>#if ASSERT_PIN_IO(DIN28)
	mcu_config_input(DIN28);
#ifdef DIN28_PULLUP
	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1"/>
        <v>DIO159</v>
      </c>
      <c r="C158" s="5" t="s">
        <v>220</v>
      </c>
      <c r="D158" s="4">
        <v>29</v>
      </c>
      <c r="E158" s="9" t="str">
        <f t="shared" si="27"/>
        <v>#if(defined(DIN29_PORT) &amp;&amp; defined(DIN29_BIT))
#define DIO159 159
#define DIN29 159
#define DIO159_PORT (DIN29_PORT)
#define DIO159_BIT (DIN29_BIT)
#define DIN29_OUTREG (__outreg__(DIN29_PORT))
#define DIN29_INREG (__inreg__(DIN29_PORT))
#define DIN29_DIRREG (__dirreg__(DIN29_PORT))
#define DIO159_OUTREG (__outreg__(DIN29_PORT))
#define DIO159_INREG (__inreg__(DIN29_PORT))
#define DIO159_DIRREG (__dirreg__(DIN29_PORT))
#endif</v>
      </c>
      <c r="F158" s="9"/>
      <c r="G158" s="9"/>
      <c r="H158" s="9"/>
      <c r="I158" s="9" t="str">
        <f t="shared" si="26"/>
        <v>#if ASSERT_PIN_IO(DIN29)
	mcu_config_input(DIN29);
#ifdef DIN29_PULLUP
	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1"/>
        <v>DIO160</v>
      </c>
      <c r="C159" s="5" t="s">
        <v>221</v>
      </c>
      <c r="D159" s="4">
        <v>30</v>
      </c>
      <c r="E159" s="9" t="str">
        <f t="shared" si="27"/>
        <v>#if(defined(DIN30_PORT) &amp;&amp; defined(DIN30_BIT))
#define DIO160 160
#define DIN30 160
#define DIO160_PORT (DIN30_PORT)
#define DIO160_BIT (DIN30_BIT)
#define DIN30_OUTREG (__outreg__(DIN30_PORT))
#define DIN30_INREG (__inreg__(DIN30_PORT))
#define DIN30_DIRREG (__dirreg__(DIN30_PORT))
#define DIO160_OUTREG (__outreg__(DIN30_PORT))
#define DIO160_INREG (__inreg__(DIN30_PORT))
#define DIO160_DIRREG (__dirreg__(DIN30_PORT))
#endif</v>
      </c>
      <c r="F159" s="9"/>
      <c r="G159" s="9"/>
      <c r="H159" s="9"/>
      <c r="I159" s="9" t="str">
        <f t="shared" si="26"/>
        <v>#if ASSERT_PIN_IO(DIN30)
	mcu_config_input(DIN30);
#ifdef DIN30_PULLUP
	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1"/>
        <v>DIO161</v>
      </c>
      <c r="C160" s="5" t="s">
        <v>222</v>
      </c>
      <c r="D160" s="4">
        <v>31</v>
      </c>
      <c r="E160" s="9" t="str">
        <f t="shared" si="27"/>
        <v>#if(defined(DIN31_PORT) &amp;&amp; defined(DIN31_BIT))
#define DIO161 161
#define DIN31 161
#define DIO161_PORT (DIN31_PORT)
#define DIO161_BIT (DIN31_BIT)
#define DIN31_OUTREG (__outreg__(DIN31_PORT))
#define DIN31_INREG (__inreg__(DIN31_PORT))
#define DIN31_DIRREG (__dirreg__(DIN31_PORT))
#define DIO161_OUTREG (__outreg__(DIN31_PORT))
#define DIO161_INREG (__inreg__(DIN31_PORT))
#define DIO161_DIRREG (__dirreg__(DIN31_PORT))
#endif</v>
      </c>
      <c r="F160" s="9"/>
      <c r="G160" s="9"/>
      <c r="H160" s="9"/>
      <c r="I160" s="9" t="str">
        <f t="shared" si="26"/>
        <v>#if ASSERT_PIN_IO(DIN31)
	mcu_config_input(DIN31);
#ifdef DIN31_PULLUP
	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8">"DIO"&amp;A161</f>
        <v>DIO162</v>
      </c>
      <c r="C161" s="5" t="s">
        <v>545</v>
      </c>
      <c r="D161" s="4">
        <v>32</v>
      </c>
      <c r="E161" s="9" t="str">
        <f t="shared" ref="E161:E178" si="29">"#if(defined("&amp;C161&amp;"_PORT) &amp;&amp; defined("&amp;C161&amp;"_BIT))
#define "&amp;B161&amp;" "&amp;A161&amp;"
#define "&amp;C161&amp;" "&amp;A161&amp;"
#define "&amp;B161&amp;"_PORT ("&amp;C161&amp;"_PORT)
#define "&amp;B161&amp;"_BIT ("&amp;C161&amp;"_BIT)
#define "&amp;C161&amp;"_OUTREG (__outreg__("&amp;C161&amp;"_PORT))
#define "&amp;C161&amp;"_INREG (__inreg__("&amp;C161&amp;"_PORT))
#define "&amp;C161&amp;"_DIRREG (__dirreg__("&amp;C161&amp;"_PORT))
#define "&amp;B161&amp;"_OUTREG (__outreg__("&amp;C161&amp;"_PORT))
#define "&amp;B161&amp;"_INREG (__inreg__("&amp;C161&amp;"_PORT))
#define "&amp;B161&amp;"_DIRREG (__dirreg__("&amp;C161&amp;"_PORT))
#endif"</f>
        <v>#if(defined(DIN32_PORT) &amp;&amp; defined(DIN32_BIT))
#define DIO162 162
#define DIN32 162
#define DIO162_PORT (DIN32_PORT)
#define DIO162_BIT (DIN32_BIT)
#define DIN32_OUTREG (__outreg__(DIN32_PORT))
#define DIN32_INREG (__inreg__(DIN32_PORT))
#define DIN32_DIRREG (__dirreg__(DIN32_PORT))
#define DIO162_OUTREG (__outreg__(DIN32_PORT))
#define DIO162_INREG (__inreg__(DIN32_PORT))
#define DIO162_DIRREG (__dirreg__(DIN32_PORT))
#endif</v>
      </c>
      <c r="F161" s="9"/>
      <c r="G161" s="9"/>
      <c r="H161" s="9"/>
      <c r="I161" s="9" t="str">
        <f t="shared" si="26"/>
        <v>#if ASSERT_PIN_IO(DIN32)
	mcu_config_input(DIN32);
#ifdef DIN32_PULLUP
	mcu_config_pullup(DIN32);
#endif
#endif</v>
      </c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8"/>
        <v>DIO163</v>
      </c>
      <c r="C162" s="5" t="s">
        <v>546</v>
      </c>
      <c r="D162" s="4">
        <v>33</v>
      </c>
      <c r="E162" s="9" t="str">
        <f t="shared" si="29"/>
        <v>#if(defined(DIN33_PORT) &amp;&amp; defined(DIN33_BIT))
#define DIO163 163
#define DIN33 163
#define DIO163_PORT (DIN33_PORT)
#define DIO163_BIT (DIN33_BIT)
#define DIN33_OUTREG (__outreg__(DIN33_PORT))
#define DIN33_INREG (__inreg__(DIN33_PORT))
#define DIN33_DIRREG (__dirreg__(DIN33_PORT))
#define DIO163_OUTREG (__outreg__(DIN33_PORT))
#define DIO163_INREG (__inreg__(DIN33_PORT))
#define DIO163_DIRREG (__dirreg__(DIN33_PORT))
#endif</v>
      </c>
      <c r="F162" s="9"/>
      <c r="G162" s="9"/>
      <c r="H162" s="9"/>
      <c r="I162" s="9" t="str">
        <f t="shared" si="26"/>
        <v>#if ASSERT_PIN_IO(DIN33)
	mcu_config_input(DIN33);
#ifdef DIN33_PULLUP
	mcu_config_pullup(DIN33);
#endif
#endif</v>
      </c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8"/>
        <v>DIO164</v>
      </c>
      <c r="C163" s="5" t="s">
        <v>547</v>
      </c>
      <c r="D163" s="4">
        <v>34</v>
      </c>
      <c r="E163" s="9" t="str">
        <f t="shared" si="29"/>
        <v>#if(defined(DIN34_PORT) &amp;&amp; defined(DIN34_BIT))
#define DIO164 164
#define DIN34 164
#define DIO164_PORT (DIN34_PORT)
#define DIO164_BIT (DIN34_BIT)
#define DIN34_OUTREG (__outreg__(DIN34_PORT))
#define DIN34_INREG (__inreg__(DIN34_PORT))
#define DIN34_DIRREG (__dirreg__(DIN34_PORT))
#define DIO164_OUTREG (__outreg__(DIN34_PORT))
#define DIO164_INREG (__inreg__(DIN34_PORT))
#define DIO164_DIRREG (__dirreg__(DIN34_PORT))
#endif</v>
      </c>
      <c r="F163" s="9"/>
      <c r="G163" s="9"/>
      <c r="H163" s="9"/>
      <c r="I163" s="9" t="str">
        <f t="shared" si="26"/>
        <v>#if ASSERT_PIN_IO(DIN34)
	mcu_config_input(DIN34);
#ifdef DIN34_PULLUP
	mcu_config_pullup(DIN34);
#endif
#endif</v>
      </c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8"/>
        <v>DIO165</v>
      </c>
      <c r="C164" s="5" t="s">
        <v>548</v>
      </c>
      <c r="D164" s="4">
        <v>35</v>
      </c>
      <c r="E164" s="9" t="str">
        <f t="shared" si="29"/>
        <v>#if(defined(DIN35_PORT) &amp;&amp; defined(DIN35_BIT))
#define DIO165 165
#define DIN35 165
#define DIO165_PORT (DIN35_PORT)
#define DIO165_BIT (DIN35_BIT)
#define DIN35_OUTREG (__outreg__(DIN35_PORT))
#define DIN35_INREG (__inreg__(DIN35_PORT))
#define DIN35_DIRREG (__dirreg__(DIN35_PORT))
#define DIO165_OUTREG (__outreg__(DIN35_PORT))
#define DIO165_INREG (__inreg__(DIN35_PORT))
#define DIO165_DIRREG (__dirreg__(DIN35_PORT))
#endif</v>
      </c>
      <c r="F164" s="9"/>
      <c r="G164" s="9"/>
      <c r="H164" s="9"/>
      <c r="I164" s="9" t="str">
        <f t="shared" si="26"/>
        <v>#if ASSERT_PIN_IO(DIN35)
	mcu_config_input(DIN35);
#ifdef DIN35_PULLUP
	mcu_config_pullup(DIN35);
#endif
#endif</v>
      </c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8"/>
        <v>DIO166</v>
      </c>
      <c r="C165" s="5" t="s">
        <v>549</v>
      </c>
      <c r="D165" s="4">
        <v>36</v>
      </c>
      <c r="E165" s="9" t="str">
        <f t="shared" si="29"/>
        <v>#if(defined(DIN36_PORT) &amp;&amp; defined(DIN36_BIT))
#define DIO166 166
#define DIN36 166
#define DIO166_PORT (DIN36_PORT)
#define DIO166_BIT (DIN36_BIT)
#define DIN36_OUTREG (__outreg__(DIN36_PORT))
#define DIN36_INREG (__inreg__(DIN36_PORT))
#define DIN36_DIRREG (__dirreg__(DIN36_PORT))
#define DIO166_OUTREG (__outreg__(DIN36_PORT))
#define DIO166_INREG (__inreg__(DIN36_PORT))
#define DIO166_DIRREG (__dirreg__(DIN36_PORT))
#endif</v>
      </c>
      <c r="F165" s="9"/>
      <c r="G165" s="9"/>
      <c r="H165" s="9"/>
      <c r="I165" s="9" t="str">
        <f t="shared" si="26"/>
        <v>#if ASSERT_PIN_IO(DIN36)
	mcu_config_input(DIN36);
#ifdef DIN36_PULLUP
	mcu_config_pullup(DIN36);
#endif
#endif</v>
      </c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8"/>
        <v>DIO167</v>
      </c>
      <c r="C166" s="5" t="s">
        <v>550</v>
      </c>
      <c r="D166" s="4">
        <v>37</v>
      </c>
      <c r="E166" s="9" t="str">
        <f t="shared" si="29"/>
        <v>#if(defined(DIN37_PORT) &amp;&amp; defined(DIN37_BIT))
#define DIO167 167
#define DIN37 167
#define DIO167_PORT (DIN37_PORT)
#define DIO167_BIT (DIN37_BIT)
#define DIN37_OUTREG (__outreg__(DIN37_PORT))
#define DIN37_INREG (__inreg__(DIN37_PORT))
#define DIN37_DIRREG (__dirreg__(DIN37_PORT))
#define DIO167_OUTREG (__outreg__(DIN37_PORT))
#define DIO167_INREG (__inreg__(DIN37_PORT))
#define DIO167_DIRREG (__dirreg__(DIN37_PORT))
#endif</v>
      </c>
      <c r="F166" s="9"/>
      <c r="G166" s="9"/>
      <c r="H166" s="9"/>
      <c r="I166" s="9" t="str">
        <f t="shared" si="26"/>
        <v>#if ASSERT_PIN_IO(DIN37)
	mcu_config_input(DIN37);
#ifdef DIN37_PULLUP
	mcu_config_pullup(DIN37);
#endif
#endif</v>
      </c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8"/>
        <v>DIO168</v>
      </c>
      <c r="C167" s="5" t="s">
        <v>551</v>
      </c>
      <c r="D167" s="4">
        <v>38</v>
      </c>
      <c r="E167" s="9" t="str">
        <f t="shared" si="29"/>
        <v>#if(defined(DIN38_PORT) &amp;&amp; defined(DIN38_BIT))
#define DIO168 168
#define DIN38 168
#define DIO168_PORT (DIN38_PORT)
#define DIO168_BIT (DIN38_BIT)
#define DIN38_OUTREG (__outreg__(DIN38_PORT))
#define DIN38_INREG (__inreg__(DIN38_PORT))
#define DIN38_DIRREG (__dirreg__(DIN38_PORT))
#define DIO168_OUTREG (__outreg__(DIN38_PORT))
#define DIO168_INREG (__inreg__(DIN38_PORT))
#define DIO168_DIRREG (__dirreg__(DIN38_PORT))
#endif</v>
      </c>
      <c r="F167" s="9"/>
      <c r="G167" s="9"/>
      <c r="H167" s="9"/>
      <c r="I167" s="9" t="str">
        <f t="shared" si="26"/>
        <v>#if ASSERT_PIN_IO(DIN38)
	mcu_config_input(DIN38);
#ifdef DIN38_PULLUP
	mcu_config_pullup(DIN38);
#endif
#endif</v>
      </c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8"/>
        <v>DIO169</v>
      </c>
      <c r="C168" s="5" t="s">
        <v>552</v>
      </c>
      <c r="D168" s="4">
        <v>39</v>
      </c>
      <c r="E168" s="9" t="str">
        <f t="shared" si="29"/>
        <v>#if(defined(DIN39_PORT) &amp;&amp; defined(DIN39_BIT))
#define DIO169 169
#define DIN39 169
#define DIO169_PORT (DIN39_PORT)
#define DIO169_BIT (DIN39_BIT)
#define DIN39_OUTREG (__outreg__(DIN39_PORT))
#define DIN39_INREG (__inreg__(DIN39_PORT))
#define DIN39_DIRREG (__dirreg__(DIN39_PORT))
#define DIO169_OUTREG (__outreg__(DIN39_PORT))
#define DIO169_INREG (__inreg__(DIN39_PORT))
#define DIO169_DIRREG (__dirreg__(DIN39_PORT))
#endif</v>
      </c>
      <c r="F168" s="9"/>
      <c r="G168" s="9"/>
      <c r="H168" s="9"/>
      <c r="I168" s="9" t="str">
        <f t="shared" si="26"/>
        <v>#if ASSERT_PIN_IO(DIN39)
	mcu_config_input(DIN39);
#ifdef DIN39_PULLUP
	mcu_config_pullup(DIN39);
#endif
#endif</v>
      </c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8"/>
        <v>DIO170</v>
      </c>
      <c r="C169" s="5" t="s">
        <v>553</v>
      </c>
      <c r="D169" s="4">
        <v>40</v>
      </c>
      <c r="E169" s="9" t="str">
        <f t="shared" si="29"/>
        <v>#if(defined(DIN40_PORT) &amp;&amp; defined(DIN40_BIT))
#define DIO170 170
#define DIN40 170
#define DIO170_PORT (DIN40_PORT)
#define DIO170_BIT (DIN40_BIT)
#define DIN40_OUTREG (__outreg__(DIN40_PORT))
#define DIN40_INREG (__inreg__(DIN40_PORT))
#define DIN40_DIRREG (__dirreg__(DIN40_PORT))
#define DIO170_OUTREG (__outreg__(DIN40_PORT))
#define DIO170_INREG (__inreg__(DIN40_PORT))
#define DIO170_DIRREG (__dirreg__(DIN40_PORT))
#endif</v>
      </c>
      <c r="F169" s="9"/>
      <c r="G169" s="9"/>
      <c r="H169" s="9"/>
      <c r="I169" s="9" t="str">
        <f t="shared" si="26"/>
        <v>#if ASSERT_PIN_IO(DIN40)
	mcu_config_input(DIN40);
#ifdef DIN40_PULLUP
	mcu_config_pullup(DIN40);
#endif
#endif</v>
      </c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8"/>
        <v>DIO171</v>
      </c>
      <c r="C170" s="5" t="s">
        <v>554</v>
      </c>
      <c r="D170" s="4">
        <v>41</v>
      </c>
      <c r="E170" s="9" t="str">
        <f t="shared" si="29"/>
        <v>#if(defined(DIN41_PORT) &amp;&amp; defined(DIN41_BIT))
#define DIO171 171
#define DIN41 171
#define DIO171_PORT (DIN41_PORT)
#define DIO171_BIT (DIN41_BIT)
#define DIN41_OUTREG (__outreg__(DIN41_PORT))
#define DIN41_INREG (__inreg__(DIN41_PORT))
#define DIN41_DIRREG (__dirreg__(DIN41_PORT))
#define DIO171_OUTREG (__outreg__(DIN41_PORT))
#define DIO171_INREG (__inreg__(DIN41_PORT))
#define DIO171_DIRREG (__dirreg__(DIN41_PORT))
#endif</v>
      </c>
      <c r="F170" s="9"/>
      <c r="G170" s="9"/>
      <c r="H170" s="9"/>
      <c r="I170" s="9" t="str">
        <f t="shared" si="26"/>
        <v>#if ASSERT_PIN_IO(DIN41)
	mcu_config_input(DIN41);
#ifdef DIN41_PULLUP
	mcu_config_pullup(DIN41);
#endif
#endif</v>
      </c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8"/>
        <v>DIO172</v>
      </c>
      <c r="C171" s="5" t="s">
        <v>555</v>
      </c>
      <c r="D171" s="4">
        <v>42</v>
      </c>
      <c r="E171" s="9" t="str">
        <f t="shared" si="29"/>
        <v>#if(defined(DIN42_PORT) &amp;&amp; defined(DIN42_BIT))
#define DIO172 172
#define DIN42 172
#define DIO172_PORT (DIN42_PORT)
#define DIO172_BIT (DIN42_BIT)
#define DIN42_OUTREG (__outreg__(DIN42_PORT))
#define DIN42_INREG (__inreg__(DIN42_PORT))
#define DIN42_DIRREG (__dirreg__(DIN42_PORT))
#define DIO172_OUTREG (__outreg__(DIN42_PORT))
#define DIO172_INREG (__inreg__(DIN42_PORT))
#define DIO172_DIRREG (__dirreg__(DIN42_PORT))
#endif</v>
      </c>
      <c r="F171" s="9"/>
      <c r="G171" s="9"/>
      <c r="H171" s="9"/>
      <c r="I171" s="9" t="str">
        <f t="shared" si="26"/>
        <v>#if ASSERT_PIN_IO(DIN42)
	mcu_config_input(DIN42);
#ifdef DIN42_PULLUP
	mcu_config_pullup(DIN42);
#endif
#endif</v>
      </c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8"/>
        <v>DIO173</v>
      </c>
      <c r="C172" s="5" t="s">
        <v>556</v>
      </c>
      <c r="D172" s="4">
        <v>43</v>
      </c>
      <c r="E172" s="9" t="str">
        <f t="shared" si="29"/>
        <v>#if(defined(DIN43_PORT) &amp;&amp; defined(DIN43_BIT))
#define DIO173 173
#define DIN43 173
#define DIO173_PORT (DIN43_PORT)
#define DIO173_BIT (DIN43_BIT)
#define DIN43_OUTREG (__outreg__(DIN43_PORT))
#define DIN43_INREG (__inreg__(DIN43_PORT))
#define DIN43_DIRREG (__dirreg__(DIN43_PORT))
#define DIO173_OUTREG (__outreg__(DIN43_PORT))
#define DIO173_INREG (__inreg__(DIN43_PORT))
#define DIO173_DIRREG (__dirreg__(DIN43_PORT))
#endif</v>
      </c>
      <c r="F172" s="9"/>
      <c r="G172" s="9"/>
      <c r="H172" s="9"/>
      <c r="I172" s="9" t="str">
        <f t="shared" si="26"/>
        <v>#if ASSERT_PIN_IO(DIN43)
	mcu_config_input(DIN43);
#ifdef DIN43_PULLUP
	mcu_config_pullup(DIN43);
#endif
#endif</v>
      </c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8"/>
        <v>DIO174</v>
      </c>
      <c r="C173" s="5" t="s">
        <v>557</v>
      </c>
      <c r="D173" s="4">
        <v>44</v>
      </c>
      <c r="E173" s="9" t="str">
        <f t="shared" si="29"/>
        <v>#if(defined(DIN44_PORT) &amp;&amp; defined(DIN44_BIT))
#define DIO174 174
#define DIN44 174
#define DIO174_PORT (DIN44_PORT)
#define DIO174_BIT (DIN44_BIT)
#define DIN44_OUTREG (__outreg__(DIN44_PORT))
#define DIN44_INREG (__inreg__(DIN44_PORT))
#define DIN44_DIRREG (__dirreg__(DIN44_PORT))
#define DIO174_OUTREG (__outreg__(DIN44_PORT))
#define DIO174_INREG (__inreg__(DIN44_PORT))
#define DIO174_DIRREG (__dirreg__(DIN44_PORT))
#endif</v>
      </c>
      <c r="F173" s="9"/>
      <c r="G173" s="9"/>
      <c r="H173" s="9"/>
      <c r="I173" s="9" t="str">
        <f t="shared" si="26"/>
        <v>#if ASSERT_PIN_IO(DIN44)
	mcu_config_input(DIN44);
#ifdef DIN44_PULLUP
	mcu_config_pullup(DIN44);
#endif
#endif</v>
      </c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8"/>
        <v>DIO175</v>
      </c>
      <c r="C174" s="5" t="s">
        <v>558</v>
      </c>
      <c r="D174" s="4">
        <v>45</v>
      </c>
      <c r="E174" s="9" t="str">
        <f t="shared" si="29"/>
        <v>#if(defined(DIN45_PORT) &amp;&amp; defined(DIN45_BIT))
#define DIO175 175
#define DIN45 175
#define DIO175_PORT (DIN45_PORT)
#define DIO175_BIT (DIN45_BIT)
#define DIN45_OUTREG (__outreg__(DIN45_PORT))
#define DIN45_INREG (__inreg__(DIN45_PORT))
#define DIN45_DIRREG (__dirreg__(DIN45_PORT))
#define DIO175_OUTREG (__outreg__(DIN45_PORT))
#define DIO175_INREG (__inreg__(DIN45_PORT))
#define DIO175_DIRREG (__dirreg__(DIN45_PORT))
#endif</v>
      </c>
      <c r="F174" s="9"/>
      <c r="G174" s="9"/>
      <c r="H174" s="9"/>
      <c r="I174" s="9" t="str">
        <f t="shared" si="26"/>
        <v>#if ASSERT_PIN_IO(DIN45)
	mcu_config_input(DIN45);
#ifdef DIN45_PULLUP
	mcu_config_pullup(DIN45);
#endif
#endif</v>
      </c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8"/>
        <v>DIO176</v>
      </c>
      <c r="C175" s="5" t="s">
        <v>559</v>
      </c>
      <c r="D175" s="4">
        <v>46</v>
      </c>
      <c r="E175" s="9" t="str">
        <f t="shared" si="29"/>
        <v>#if(defined(DIN46_PORT) &amp;&amp; defined(DIN46_BIT))
#define DIO176 176
#define DIN46 176
#define DIO176_PORT (DIN46_PORT)
#define DIO176_BIT (DIN46_BIT)
#define DIN46_OUTREG (__outreg__(DIN46_PORT))
#define DIN46_INREG (__inreg__(DIN46_PORT))
#define DIN46_DIRREG (__dirreg__(DIN46_PORT))
#define DIO176_OUTREG (__outreg__(DIN46_PORT))
#define DIO176_INREG (__inreg__(DIN46_PORT))
#define DIO176_DIRREG (__dirreg__(DIN46_PORT))
#endif</v>
      </c>
      <c r="F175" s="9"/>
      <c r="G175" s="9"/>
      <c r="H175" s="9"/>
      <c r="I175" s="9" t="str">
        <f t="shared" si="26"/>
        <v>#if ASSERT_PIN_IO(DIN46)
	mcu_config_input(DIN46);
#ifdef DIN46_PULLUP
	mcu_config_pullup(DIN46);
#endif
#endif</v>
      </c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8"/>
        <v>DIO177</v>
      </c>
      <c r="C176" s="5" t="s">
        <v>560</v>
      </c>
      <c r="D176" s="4">
        <v>47</v>
      </c>
      <c r="E176" s="9" t="str">
        <f t="shared" si="29"/>
        <v>#if(defined(DIN47_PORT) &amp;&amp; defined(DIN47_BIT))
#define DIO177 177
#define DIN47 177
#define DIO177_PORT (DIN47_PORT)
#define DIO177_BIT (DIN47_BIT)
#define DIN47_OUTREG (__outreg__(DIN47_PORT))
#define DIN47_INREG (__inreg__(DIN47_PORT))
#define DIN47_DIRREG (__dirreg__(DIN47_PORT))
#define DIO177_OUTREG (__outreg__(DIN47_PORT))
#define DIO177_INREG (__inreg__(DIN47_PORT))
#define DIO177_DIRREG (__dirreg__(DIN47_PORT))
#endif</v>
      </c>
      <c r="F176" s="9"/>
      <c r="G176" s="9"/>
      <c r="H176" s="9"/>
      <c r="I176" s="9" t="str">
        <f t="shared" si="26"/>
        <v>#if ASSERT_PIN_IO(DIN47)
	mcu_config_input(DIN47);
#ifdef DIN47_PULLUP
	mcu_config_pullup(DIN47);
#endif
#endif</v>
      </c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8"/>
        <v>DIO178</v>
      </c>
      <c r="C177" s="5" t="s">
        <v>561</v>
      </c>
      <c r="D177" s="4">
        <v>48</v>
      </c>
      <c r="E177" s="9" t="str">
        <f t="shared" si="29"/>
        <v>#if(defined(DIN48_PORT) &amp;&amp; defined(DIN48_BIT))
#define DIO178 178
#define DIN48 178
#define DIO178_PORT (DIN48_PORT)
#define DIO178_BIT (DIN48_BIT)
#define DIN48_OUTREG (__outreg__(DIN48_PORT))
#define DIN48_INREG (__inreg__(DIN48_PORT))
#define DIN48_DIRREG (__dirreg__(DIN48_PORT))
#define DIO178_OUTREG (__outreg__(DIN48_PORT))
#define DIO178_INREG (__inreg__(DIN48_PORT))
#define DIO178_DIRREG (__dirreg__(DIN48_PORT))
#endif</v>
      </c>
      <c r="F177" s="9"/>
      <c r="G177" s="9"/>
      <c r="H177" s="9"/>
      <c r="I177" s="9" t="str">
        <f t="shared" si="26"/>
        <v>#if ASSERT_PIN_IO(DIN48)
	mcu_config_input(DIN48);
#ifdef DIN48_PULLUP
	mcu_config_pullup(DIN48);
#endif
#endif</v>
      </c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8"/>
        <v>DIO179</v>
      </c>
      <c r="C178" s="5" t="s">
        <v>562</v>
      </c>
      <c r="D178" s="4">
        <v>49</v>
      </c>
      <c r="E178" s="9" t="str">
        <f t="shared" si="29"/>
        <v>#if(defined(DIN49_PORT) &amp;&amp; defined(DIN49_BIT))
#define DIO179 179
#define DIN49 179
#define DIO179_PORT (DIN49_PORT)
#define DIO179_BIT (DIN49_BIT)
#define DIN49_OUTREG (__outreg__(DIN49_PORT))
#define DIN49_INREG (__inreg__(DIN49_PORT))
#define DIN49_DIRREG (__dirreg__(DIN49_PORT))
#define DIO179_OUTREG (__outreg__(DIN49_PORT))
#define DIO179_INREG (__inreg__(DIN49_PORT))
#define DIO179_DIRREG (__dirreg__(DIN49_PORT))
#endif</v>
      </c>
      <c r="F178" s="9"/>
      <c r="G178" s="9"/>
      <c r="H178" s="9"/>
      <c r="I178" s="9" t="str">
        <f t="shared" si="26"/>
        <v>#if ASSERT_PIN_IO(DIN49)
	mcu_config_input(DIN49);
#ifdef DIN49_PULLUP
	mcu_config_pullup(DIN49);
#endif
#endif</v>
      </c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1"/>
        <v>DIO200</v>
      </c>
      <c r="C179" s="4" t="s">
        <v>105</v>
      </c>
      <c r="D179" s="4">
        <v>0</v>
      </c>
      <c r="E179" s="9" t="str">
        <f t="shared" si="2"/>
        <v>#if(defined(TX_PORT) &amp;&amp; defined(TX_BIT))
#define DIO200 200
#define TX 200
#define DIO200_PORT (TX_PORT)
#define DIO200_BIT (TX_BIT)
#define TX_OUTREG (__outreg__(TX_PORT))
#define TX_INREG (__inreg__(TX_PORT))
#define TX_DIRREG (__dirreg__(TX_PORT))
#define DIO200_OUTREG (__outreg__(TX_PORT))
#define DIO200_INREG (__inreg__(TX_PORT))
#define DIO200_DIRREG (__dirreg__(TX_PORT))
#endif</v>
      </c>
      <c r="F179" s="9"/>
      <c r="G179" s="9"/>
      <c r="H179" s="9"/>
      <c r="I179" s="4" t="str">
        <f t="shared" ref="I179" si="30"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1"/>
        <v>DIO201</v>
      </c>
      <c r="C180" s="4" t="s">
        <v>106</v>
      </c>
      <c r="D180" s="4">
        <v>1</v>
      </c>
      <c r="E180" s="9" t="str">
        <f t="shared" si="2"/>
        <v>#if(defined(RX_PORT) &amp;&amp; defined(RX_BIT))
#define DIO201 201
#define RX 201
#define DIO201_PORT (RX_PORT)
#define DIO201_BIT (RX_BIT)
#define RX_OUTREG (__outreg__(RX_PORT))
#define RX_INREG (__inreg__(RX_PORT))
#define RX_DIRREG (__dirreg__(RX_PORT))
#define DIO201_OUTREG (__outreg__(RX_PORT))
#define DIO201_INREG (__inreg__(RX_PORT))
#define DIO201_DIRREG (__dirreg__(RX_PORT))
#endif</v>
      </c>
      <c r="F180" s="9"/>
      <c r="G180" s="9"/>
      <c r="H180" s="9"/>
      <c r="I180" s="9" t="str">
        <f t="shared" ref="I180:I184" si="31"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1"/>
        <v>DIO202</v>
      </c>
      <c r="C181" s="4" t="s">
        <v>107</v>
      </c>
      <c r="D181" s="4">
        <v>0</v>
      </c>
      <c r="E181" s="9" t="str">
        <f t="shared" ref="E181:E185" si="32">"#if(defined("&amp;C181&amp;"_PORT) &amp;&amp; defined("&amp;C181&amp;"_BIT))
#define "&amp;B181&amp;" "&amp;A181&amp;"
#define "&amp;C181&amp;" "&amp;A181&amp;"
#define "&amp;B181&amp;"_PORT ("&amp;C181&amp;"_PORT)
#define "&amp;B181&amp;"_BIT ("&amp;C181&amp;"_BIT)
#define "&amp;C181&amp;"_OUTREG (__outreg__("&amp;C181&amp;"_PORT))
#define "&amp;C181&amp;"_INREG (__inreg__("&amp;C181&amp;"_PORT))
#define "&amp;C181&amp;"_DIRREG (__dirreg__("&amp;C181&amp;"_PORT))
#define "&amp;B181&amp;"_OUTREG (__outreg__("&amp;C181&amp;"_PORT))
#define "&amp;B181&amp;"_INREG (__inreg__("&amp;C181&amp;"_PORT))
#define "&amp;B181&amp;"_DIRREG (__dirreg__("&amp;C181&amp;"_PORT))
#endif"</f>
        <v>#if(defined(USB_DM_PORT) &amp;&amp; defined(USB_DM_BIT))
#define DIO202 202
#define USB_DM 202
#define DIO202_PORT (USB_DM_PORT)
#define DIO202_BIT (USB_DM_BIT)
#define USB_DM_OUTREG (__outreg__(USB_DM_PORT))
#define USB_DM_INREG (__inreg__(USB_DM_PORT))
#define USB_DM_DIRREG (__dirreg__(USB_DM_PORT))
#define DIO202_OUTREG (__outreg__(USB_DM_PORT))
#define DIO202_INREG (__inreg__(USB_DM_PORT))
#define DIO202_DIRREG (__dirreg__(USB_DM_PORT))
#endif</v>
      </c>
      <c r="F181" s="9"/>
      <c r="G181" s="9"/>
      <c r="H181" s="9"/>
      <c r="I181" s="9" t="str">
        <f t="shared" si="31"/>
        <v>#if !(USB_DM&lt;0)
mcu_config_input(USB_DM);
#ifdef USB_DM_PULLUP
mcu_config_pullup(USB_DM);
#endif
#endif</v>
      </c>
      <c r="J181" s="9"/>
      <c r="K181" s="9"/>
      <c r="L181" s="9"/>
      <c r="M181" s="9"/>
    </row>
    <row r="182" spans="1:13" ht="15" customHeight="1" x14ac:dyDescent="0.25">
      <c r="A182" s="4">
        <v>203</v>
      </c>
      <c r="B182" s="4" t="str">
        <f t="shared" si="1"/>
        <v>DIO203</v>
      </c>
      <c r="C182" s="4" t="s">
        <v>108</v>
      </c>
      <c r="D182" s="5">
        <v>1</v>
      </c>
      <c r="E182" s="9" t="str">
        <f t="shared" si="32"/>
        <v>#if(defined(USB_DP_PORT) &amp;&amp; defined(USB_DP_BIT))
#define DIO203 203
#define USB_DP 203
#define DIO203_PORT (USB_DP_PORT)
#define DIO203_BIT (USB_DP_BIT)
#define USB_DP_OUTREG (__outreg__(USB_DP_PORT))
#define USB_DP_INREG (__inreg__(USB_DP_PORT))
#define USB_DP_DIRREG (__dirreg__(USB_DP_PORT))
#define DIO203_OUTREG (__outreg__(USB_DP_PORT))
#define DIO203_INREG (__inreg__(USB_DP_PORT))
#define DIO203_DIRREG (__dirreg__(USB_DP_PORT))
#endif</v>
      </c>
      <c r="F182" s="9"/>
      <c r="G182" s="9"/>
      <c r="H182" s="9"/>
      <c r="I182" s="9" t="str">
        <f t="shared" si="31"/>
        <v>#if !(USB_DP&lt;0)
mcu_config_input(USB_DP);
#ifdef USB_DP_PULLUP
mcu_config_pullup(USB_DP);
#endif
#endif</v>
      </c>
      <c r="J182" s="9"/>
      <c r="K182" s="9"/>
      <c r="L182" s="9"/>
      <c r="M182" s="9"/>
    </row>
    <row r="183" spans="1:13" ht="15" customHeight="1" x14ac:dyDescent="0.25">
      <c r="A183" s="4">
        <v>204</v>
      </c>
      <c r="B183" s="4" t="str">
        <f t="shared" si="1"/>
        <v>DIO204</v>
      </c>
      <c r="C183" s="4" t="s">
        <v>223</v>
      </c>
      <c r="D183" s="4">
        <v>0</v>
      </c>
      <c r="E183" s="9" t="str">
        <f t="shared" si="32"/>
        <v>#if(defined(SPI_CLK_PORT) &amp;&amp; defined(SPI_CLK_BIT))
#define DIO204 204
#define SPI_CLK 204
#define DIO204_PORT (SPI_CLK_PORT)
#define DIO204_BIT (SPI_CLK_BIT)
#define SPI_CLK_OUTREG (__outreg__(SPI_CLK_PORT))
#define SPI_CLK_INREG (__inreg__(SPI_CLK_PORT))
#define SPI_CLK_DIRREG (__dirreg__(SPI_CLK_PORT))
#define DIO204_OUTREG (__outreg__(SPI_CLK_PORT))
#define DIO204_INREG (__inreg__(SPI_CLK_PORT))
#define DIO204_DIRREG (__dirreg__(SPI_CLK_PORT))
#endif</v>
      </c>
      <c r="F183" s="9"/>
      <c r="G183" s="9"/>
      <c r="H183" s="9"/>
      <c r="I183" s="4" t="str">
        <f t="shared" ref="I183" si="33">"#if !("&amp;C183&amp;"&lt;0)
mcu_config_output("&amp;C183&amp;");
#endif"</f>
        <v>#if !(SPI_CLK&lt;0)
mcu_config_output(SPI_CLK);
#endif</v>
      </c>
      <c r="J183" s="9"/>
      <c r="K183" s="9"/>
      <c r="L183" s="9"/>
      <c r="M183" s="9"/>
    </row>
    <row r="184" spans="1:13" ht="15" customHeight="1" x14ac:dyDescent="0.25">
      <c r="A184" s="4">
        <v>205</v>
      </c>
      <c r="B184" s="4" t="str">
        <f t="shared" ref="B184:B190" si="34">"DIO"&amp;A184</f>
        <v>DIO205</v>
      </c>
      <c r="C184" s="4" t="s">
        <v>224</v>
      </c>
      <c r="D184" s="4">
        <v>1</v>
      </c>
      <c r="E184" s="9" t="str">
        <f t="shared" si="32"/>
        <v>#if(defined(SPI_SDI_PORT) &amp;&amp; defined(SPI_SDI_BIT))
#define DIO205 205
#define SPI_SDI 205
#define DIO205_PORT (SPI_SDI_PORT)
#define DIO205_BIT (SPI_SDI_BIT)
#define SPI_SDI_OUTREG (__outreg__(SPI_SDI_PORT))
#define SPI_SDI_INREG (__inreg__(SPI_SDI_PORT))
#define SPI_SDI_DIRREG (__dirreg__(SPI_SDI_PORT))
#define DIO205_OUTREG (__outreg__(SPI_SDI_PORT))
#define DIO205_INREG (__inreg__(SPI_SDI_PORT))
#define DIO205_DIRREG (__dirreg__(SPI_SDI_PORT))
#endif</v>
      </c>
      <c r="F184" s="9"/>
      <c r="G184" s="9"/>
      <c r="H184" s="9"/>
      <c r="I184" s="9" t="str">
        <f t="shared" si="31"/>
        <v>#if !(SPI_SDI&lt;0)
mcu_config_input(SPI_SDI);
#ifdef SPI_SDI_PULLUP
mcu_config_pullup(SPI_SDI);
#endif
#endif</v>
      </c>
      <c r="J184" s="9"/>
      <c r="K184" s="9"/>
      <c r="L184" s="9"/>
      <c r="M184" s="9"/>
    </row>
    <row r="185" spans="1:13" ht="15" customHeight="1" x14ac:dyDescent="0.25">
      <c r="A185" s="4">
        <v>206</v>
      </c>
      <c r="B185" s="4" t="str">
        <f t="shared" si="34"/>
        <v>DIO206</v>
      </c>
      <c r="C185" s="4" t="s">
        <v>225</v>
      </c>
      <c r="D185" s="5">
        <v>2</v>
      </c>
      <c r="E185" s="9" t="str">
        <f t="shared" si="32"/>
        <v>#if(defined(SPI_SDO_PORT) &amp;&amp; defined(SPI_SDO_BIT))
#define DIO206 206
#define SPI_SDO 206
#define DIO206_PORT (SPI_SDO_PORT)
#define DIO206_BIT (SPI_SDO_BIT)
#define SPI_SDO_OUTREG (__outreg__(SPI_SDO_PORT))
#define SPI_SDO_INREG (__inreg__(SPI_SDO_PORT))
#define SPI_SDO_DIRREG (__dirreg__(SPI_SDO_PORT))
#define DIO206_OUTREG (__outreg__(SPI_SDO_PORT))
#define DIO206_INREG (__inreg__(SPI_SDO_PORT))
#define DIO206_DIRREG (__dirreg__(SPI_SDO_PORT))
#endif</v>
      </c>
      <c r="F185" s="9"/>
      <c r="G185" s="9"/>
      <c r="H185" s="9"/>
      <c r="I185" s="4" t="str">
        <f t="shared" ref="I185:I186" si="35">"#if !("&amp;C185&amp;"&lt;0)
mcu_config_output("&amp;C185&amp;");
#endif"</f>
        <v>#if !(SPI_SDO&lt;0)
mcu_config_output(SPI_SDO);
#endif</v>
      </c>
      <c r="J185" s="9"/>
      <c r="K185" s="9"/>
      <c r="L185" s="9"/>
      <c r="M185" s="9"/>
    </row>
    <row r="186" spans="1:13" ht="15" customHeight="1" x14ac:dyDescent="0.25">
      <c r="A186" s="4">
        <v>207</v>
      </c>
      <c r="B186" s="4" t="str">
        <f t="shared" si="34"/>
        <v>DIO207</v>
      </c>
      <c r="C186" s="4" t="s">
        <v>459</v>
      </c>
      <c r="D186" s="5">
        <v>3</v>
      </c>
      <c r="E186" s="9" t="str">
        <f t="shared" ref="E186:E187" si="36">"#if(defined("&amp;C186&amp;"_PORT) &amp;&amp; defined("&amp;C186&amp;"_BIT))
#define "&amp;B186&amp;" "&amp;A186&amp;"
#define "&amp;C186&amp;" "&amp;A186&amp;"
#define "&amp;B186&amp;"_PORT ("&amp;C186&amp;"_PORT)
#define "&amp;B186&amp;"_BIT ("&amp;C186&amp;"_BIT)
#define "&amp;C186&amp;"_OUTREG (__outreg__("&amp;C186&amp;"_PORT))
#define "&amp;C186&amp;"_INREG (__inreg__("&amp;C186&amp;"_PORT))
#define "&amp;C186&amp;"_DIRREG (__dirreg__("&amp;C186&amp;"_PORT))
#define "&amp;B186&amp;"_OUTREG (__outreg__("&amp;C186&amp;"_PORT))
#define "&amp;B186&amp;"_INREG (__inreg__("&amp;C186&amp;"_PORT))
#define "&amp;B186&amp;"_DIRREG (__dirreg__("&amp;C186&amp;"_PORT))
#endif"</f>
        <v>#if(defined(SPI_CS_PORT) &amp;&amp; defined(SPI_CS_BIT))
#define DIO207 207
#define SPI_CS 207
#define DIO207_PORT (SPI_CS_PORT)
#define DIO207_BIT (SPI_CS_BIT)
#define SPI_CS_OUTREG (__outreg__(SPI_CS_PORT))
#define SPI_CS_INREG (__inreg__(SPI_CS_PORT))
#define SPI_CS_DIRREG (__dirreg__(SPI_CS_PORT))
#define DIO207_OUTREG (__outreg__(SPI_CS_PORT))
#define DIO207_INREG (__inreg__(SPI_CS_PORT))
#define DIO207_DIRREG (__dirreg__(SPI_CS_PORT))
#endif</v>
      </c>
      <c r="F186" s="9"/>
      <c r="G186" s="9"/>
      <c r="H186" s="9"/>
      <c r="I186" s="4" t="str">
        <f t="shared" si="35"/>
        <v>#if !(SPI_CS&lt;0)
mcu_config_output(SPI_CS);
#endif</v>
      </c>
      <c r="J186" s="9"/>
      <c r="K186" s="9"/>
      <c r="L186" s="9"/>
      <c r="M186" s="9"/>
    </row>
    <row r="187" spans="1:13" ht="15" customHeight="1" x14ac:dyDescent="0.25">
      <c r="A187" s="4">
        <v>208</v>
      </c>
      <c r="B187" s="4" t="str">
        <f t="shared" si="34"/>
        <v>DIO208</v>
      </c>
      <c r="C187" s="4" t="s">
        <v>237</v>
      </c>
      <c r="D187" s="5">
        <v>0</v>
      </c>
      <c r="E187" s="9" t="str">
        <f t="shared" si="36"/>
        <v>#if(defined(I2C_SCL_PORT) &amp;&amp; defined(I2C_SCL_BIT))
#define DIO208 208
#define I2C_SCL 208
#define DIO208_PORT (I2C_SCL_PORT)
#define DIO208_BIT (I2C_SCL_BIT)
#define I2C_SCL_OUTREG (__outreg__(I2C_SCL_PORT))
#define I2C_SCL_INREG (__inreg__(I2C_SCL_PORT))
#define I2C_SCL_DIRREG (__dirreg__(I2C_SCL_PORT))
#define DIO208_OUTREG (__outreg__(I2C_SCL_PORT))
#define DIO208_INREG (__inreg__(I2C_SCL_PORT))
#define DIO208_DIRREG (__dirreg__(I2C_SCL_PORT))
#endif</v>
      </c>
      <c r="F187" s="9"/>
      <c r="G187" s="9"/>
      <c r="H187" s="9"/>
      <c r="I187" s="9" t="str">
        <f>"#if !("&amp;C187&amp;"&lt;0)
mcu_config_input("&amp;C187&amp;");
mcu_config_pullup("&amp;C187&amp;");
#endif"</f>
        <v>#if !(I2C_SCL&lt;0)
mcu_config_input(I2C_SCL);
mcu_config_pullup(I2C_SCL);
#endif</v>
      </c>
      <c r="J187" s="9"/>
      <c r="K187" s="9"/>
      <c r="L187" s="9"/>
      <c r="M187" s="9"/>
    </row>
    <row r="188" spans="1:13" ht="15" customHeight="1" x14ac:dyDescent="0.25">
      <c r="A188" s="4">
        <v>209</v>
      </c>
      <c r="B188" s="4" t="str">
        <f t="shared" si="34"/>
        <v>DIO209</v>
      </c>
      <c r="C188" s="4" t="s">
        <v>238</v>
      </c>
      <c r="D188" s="5">
        <v>1</v>
      </c>
      <c r="E188" s="9" t="str">
        <f t="shared" ref="E188:E194" si="37">"#if(defined("&amp;C188&amp;"_PORT) &amp;&amp; defined("&amp;C188&amp;"_BIT))
#define "&amp;B188&amp;" "&amp;A188&amp;"
#define "&amp;C188&amp;" "&amp;A188&amp;"
#define "&amp;B188&amp;"_PORT ("&amp;C188&amp;"_PORT)
#define "&amp;B188&amp;"_BIT ("&amp;C188&amp;"_BIT)
#define "&amp;C188&amp;"_OUTREG (__outreg__("&amp;C188&amp;"_PORT))
#define "&amp;C188&amp;"_INREG (__inreg__("&amp;C188&amp;"_PORT))
#define "&amp;C188&amp;"_DIRREG (__dirreg__("&amp;C188&amp;"_PORT))
#define "&amp;B188&amp;"_OUTREG (__outreg__("&amp;C188&amp;"_PORT))
#define "&amp;B188&amp;"_INREG (__inreg__("&amp;C188&amp;"_PORT))
#define "&amp;B188&amp;"_DIRREG (__dirreg__("&amp;C188&amp;"_PORT))
#endif"</f>
        <v>#if(defined(I2C_SDA_PORT) &amp;&amp; defined(I2C_SDA_BIT))
#define DIO209 209
#define I2C_SDA 209
#define DIO209_PORT (I2C_SDA_PORT)
#define DIO209_BIT (I2C_SDA_BIT)
#define I2C_SDA_OUTREG (__outreg__(I2C_SDA_PORT))
#define I2C_SDA_INREG (__inreg__(I2C_SDA_PORT))
#define I2C_SDA_DIRREG (__dirreg__(I2C_SDA_PORT))
#define DIO209_OUTREG (__outreg__(I2C_SDA_PORT))
#define DIO209_INREG (__inreg__(I2C_SDA_PORT))
#define DIO209_DIRREG (__dirreg__(I2C_SDA_PORT))
#endif</v>
      </c>
      <c r="F188" s="9"/>
      <c r="G188" s="9"/>
      <c r="H188" s="9"/>
      <c r="I188" s="9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34"/>
        <v>DIO210</v>
      </c>
      <c r="C189" s="4" t="s">
        <v>467</v>
      </c>
      <c r="D189" s="4">
        <v>0</v>
      </c>
      <c r="E189" s="9" t="str">
        <f t="shared" si="37"/>
        <v>#if(defined(TX2_PORT) &amp;&amp; defined(TX2_BIT))
#define DIO210 210
#define TX2 210
#define DIO210_PORT (TX2_PORT)
#define DIO210_BIT (TX2_BIT)
#define TX2_OUTREG (__outreg__(TX2_PORT))
#define TX2_INREG (__inreg__(TX2_PORT))
#define TX2_DIRREG (__dirreg__(TX2_PORT))
#define DIO210_OUTREG (__outreg__(TX2_PORT))
#define DIO210_INREG (__inreg__(TX2_PORT))
#define DIO210_DIRREG (__dirreg__(TX2_PORT))
#endif</v>
      </c>
      <c r="F189" s="9"/>
      <c r="G189" s="9"/>
      <c r="H189" s="9"/>
      <c r="I189" s="4" t="str">
        <f>"#if ASSERT_PIN("&amp;C189&amp;")
mcu_config_output("&amp;C189&amp;");
#endif"</f>
        <v>#if ASSERT_PIN(TX2)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34"/>
        <v>DIO211</v>
      </c>
      <c r="C190" s="4" t="s">
        <v>468</v>
      </c>
      <c r="D190" s="4">
        <v>1</v>
      </c>
      <c r="E190" s="9" t="str">
        <f t="shared" si="37"/>
        <v>#if(defined(RX2_PORT) &amp;&amp; defined(RX2_BIT))
#define DIO211 211
#define RX2 211
#define DIO211_PORT (RX2_PORT)
#define DIO211_BIT (RX2_BIT)
#define RX2_OUTREG (__outreg__(RX2_PORT))
#define RX2_INREG (__inreg__(RX2_PORT))
#define RX2_DIRREG (__dirreg__(RX2_PORT))
#define DIO211_OUTREG (__outreg__(RX2_PORT))
#define DIO211_INREG (__inreg__(RX2_PORT))
#define DIO211_DIRREG (__dirreg__(RX2_PORT))
#endif</v>
      </c>
      <c r="F190" s="9"/>
      <c r="G190" s="9"/>
      <c r="H190" s="9"/>
      <c r="I190" s="9" t="str">
        <f>"#if ASSERT_PIN("&amp;C190&amp;")
mcu_config_input("&amp;C190&amp;");
#ifdef "&amp;C190&amp;"_PULLUP
mcu_config_pullup("&amp;C190&amp;");
#endif
#endif"</f>
        <v>#if ASSERT_PIN(RX2)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37"/>
        <v>#if(defined(SPI2_CLK_PORT) &amp;&amp; defined(SPI2_CLK_BIT))
#define DIO212 212
#define SPI2_CLK 212
#define DIO212_PORT (SPI2_CLK_PORT)
#define DIO212_BIT (SPI2_CLK_BIT)
#define SPI2_CLK_OUTREG (__outreg__(SPI2_CLK_PORT))
#define SPI2_CLK_INREG (__inreg__(SPI2_CLK_PORT))
#define SPI2_CLK_DIRREG (__dirreg__(SPI2_CLK_PORT))
#define DIO212_OUTREG (__outreg__(SPI2_CLK_PORT))
#define DIO212_INREG (__inreg__(SPI2_CLK_PORT))
#define DIO212_DIRREG (__dirreg__(SPI2_CLK_PORT))
#endif</v>
      </c>
      <c r="F191" s="6"/>
      <c r="G191" s="6"/>
      <c r="H191" s="6"/>
      <c r="I191" s="4" t="str">
        <f t="shared" ref="I191" si="38"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37"/>
        <v>#if(defined(SPI2_SDI_PORT) &amp;&amp; defined(SPI2_SDI_BIT))
#define DIO213 213
#define SPI2_SDI 213
#define DIO213_PORT (SPI2_SDI_PORT)
#define DIO213_BIT (SPI2_SDI_BIT)
#define SPI2_SDI_OUTREG (__outreg__(SPI2_SDI_PORT))
#define SPI2_SDI_INREG (__inreg__(SPI2_SDI_PORT))
#define SPI2_SDI_DIRREG (__dirreg__(SPI2_SDI_PORT))
#define DIO213_OUTREG (__outreg__(SPI2_SDI_PORT))
#define DIO213_INREG (__inreg__(SPI2_SDI_PORT))
#define DIO213_DIRREG (__dirreg__(SPI2_SDI_PORT))
#endif</v>
      </c>
      <c r="F192" s="6"/>
      <c r="G192" s="6"/>
      <c r="H192" s="6"/>
      <c r="I192" s="9" t="str">
        <f t="shared" ref="I192" si="39"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37"/>
        <v>#if(defined(SPI2_SDO_PORT) &amp;&amp; defined(SPI2_SDO_BIT))
#define DIO214 214
#define SPI2_SDO 214
#define DIO214_PORT (SPI2_SDO_PORT)
#define DIO214_BIT (SPI2_SDO_BIT)
#define SPI2_SDO_OUTREG (__outreg__(SPI2_SDO_PORT))
#define SPI2_SDO_INREG (__inreg__(SPI2_SDO_PORT))
#define SPI2_SDO_DIRREG (__dirreg__(SPI2_SDO_PORT))
#define DIO214_OUTREG (__outreg__(SPI2_SDO_PORT))
#define DIO214_INREG (__inreg__(SPI2_SDO_PORT))
#define DIO214_DIRREG (__dirreg__(SPI2_SDO_PORT))
#endif</v>
      </c>
      <c r="F193" s="6"/>
      <c r="G193" s="6"/>
      <c r="H193" s="6"/>
      <c r="I193" s="4" t="str">
        <f t="shared" ref="I193:I194" si="40"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37"/>
        <v>#if(defined(SPI2_CS_PORT) &amp;&amp; defined(SPI2_CS_BIT))
#define DIO215 215
#define SPI2_CS 215
#define DIO215_PORT (SPI2_CS_PORT)
#define DIO215_BIT (SPI2_CS_BIT)
#define SPI2_CS_OUTREG (__outreg__(SPI2_CS_PORT))
#define SPI2_CS_INREG (__inreg__(SPI2_CS_PORT))
#define SPI2_CS_DIRREG (__dirreg__(SPI2_CS_PORT))
#define DIO215_OUTREG (__outreg__(SPI2_CS_PORT))
#define DIO215_INREG (__inreg__(SPI2_CS_PORT))
#define DIO215_DIRREG (__dirreg__(SPI2_CS_PORT))
#endif</v>
      </c>
      <c r="F194" s="6"/>
      <c r="G194" s="6"/>
      <c r="H194" s="6"/>
      <c r="I194" s="4" t="str">
        <f t="shared" si="40"/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</row>
    <row r="198" spans="1:13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.75" customHeight="1" x14ac:dyDescent="0.25"/>
    <row r="374" spans="1:13" ht="15.75" customHeight="1" x14ac:dyDescent="0.25"/>
    <row r="375" spans="1:13" ht="15.75" customHeight="1" x14ac:dyDescent="0.25"/>
    <row r="376" spans="1:13" ht="15.75" customHeight="1" x14ac:dyDescent="0.25"/>
    <row r="377" spans="1:13" ht="15.75" customHeight="1" x14ac:dyDescent="0.25"/>
    <row r="378" spans="1:13" ht="15.75" customHeight="1" x14ac:dyDescent="0.25"/>
    <row r="379" spans="1:13" ht="15.75" customHeight="1" x14ac:dyDescent="0.25"/>
    <row r="380" spans="1:13" ht="15.75" customHeight="1" x14ac:dyDescent="0.25"/>
    <row r="381" spans="1:13" ht="15.75" customHeight="1" x14ac:dyDescent="0.25"/>
    <row r="382" spans="1:13" ht="15.75" customHeight="1" x14ac:dyDescent="0.25"/>
    <row r="383" spans="1:13" ht="15.75" customHeight="1" x14ac:dyDescent="0.25"/>
    <row r="384" spans="1:1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  <row r="1062" ht="15.75" customHeight="1" x14ac:dyDescent="0.25"/>
    <row r="1063" ht="15.75" customHeight="1" x14ac:dyDescent="0.25"/>
    <row r="1064" ht="15.75" customHeight="1" x14ac:dyDescent="0.25"/>
    <row r="1065" ht="15.75" customHeight="1" x14ac:dyDescent="0.25"/>
    <row r="1066" ht="15.75" customHeight="1" x14ac:dyDescent="0.25"/>
    <row r="1067" ht="15.75" customHeight="1" x14ac:dyDescent="0.25"/>
    <row r="1068" ht="15.7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092"/>
  <sheetViews>
    <sheetView tabSelected="1" topLeftCell="A171" workbookViewId="0">
      <selection activeCell="E3" sqref="E3:E194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26" width="22.140625" customWidth="1"/>
  </cols>
  <sheetData>
    <row r="1" spans="1:13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  <c r="J1" s="8"/>
      <c r="K1" s="4"/>
      <c r="L1" s="4"/>
      <c r="M1" s="4"/>
    </row>
    <row r="2" spans="1:13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  <c r="J2" s="43"/>
      <c r="K2" s="41"/>
      <c r="L2" s="41"/>
      <c r="M2" s="42"/>
    </row>
    <row r="3" spans="1:13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66" si="1">"#if (defined("&amp;C3&amp;"_PORT) &amp;&amp; defined("&amp;C3&amp;"_BIT))
#define "&amp;C3&amp;" "&amp;A3&amp;"
#define "&amp;C3&amp;"_GPIO (PORTREG("&amp;C3&amp;"_PORT))
#define "&amp;C3&amp;"_PPORT (pinport("&amp;C3&amp;"_PORT))
#define "&amp;B3&amp;" "&amp;A3&amp;"
#define "&amp;B3&amp;"_PORT "&amp;C3&amp;"_PORT
#define "&amp;B3&amp;"_BIT "&amp;C3&amp;"_BIT
#define "&amp;B3&amp;"_GPIO "&amp;C3&amp;"_GPIO
#define "&amp;B3&amp;"_PPORT "&amp;C3&amp;"_PPORT
#endif"</f>
        <v>#if (defined(STEP0_PORT) &amp;&amp; defined(STEP0_BIT))
#define STEP0 1
#define STEP0_GPIO (PORTREG(STEP0_PORT))
#define STEP0_PPORT (pinport(STEP0_PORT))
#define DIO1 1
#define DIO1_PORT STEP0_PORT
#define DIO1_BIT STEP0_BIT
#define DIO1_GPIO STEP0_GPIO
#define DIO1_PPORT STEP0_PPORT
#endif</v>
      </c>
      <c r="F3" s="9"/>
      <c r="G3" s="9"/>
      <c r="H3" s="9"/>
      <c r="I3" s="13" t="str">
        <f>"#if !("&amp;C3&amp;"&lt;0)
mcu_config_output("&amp;C3&amp;");
#endif"</f>
        <v>#if !(STEP0&lt;0)
mcu_config_output(STEP0);
#endif</v>
      </c>
      <c r="J3" s="4">
        <v>0</v>
      </c>
      <c r="K3" s="4" t="s">
        <v>119</v>
      </c>
      <c r="L3" s="4">
        <v>1</v>
      </c>
      <c r="M3" s="4" t="str">
        <f t="shared" ref="M3:M10" si="2">"#if(PCINT"&amp;K3&amp;"_MASK=="&amp;L3&amp;")
ISR(INT"&amp;J3&amp;"_vect, ISR_BLOCK) // input pin on change service routine
{
#if(PCINT"&amp;K3&amp;"_LIMITS_MASK=="&amp;L3&amp;")
    io_limits_isr();
#endif
#if(PCINT"&amp;K3&amp;"_CONTROLS_MASK=="&amp;L3&amp;")
    io_controls_isr();
#endif
#if(PROBE_ISR"&amp;K3&amp;"=="&amp;L3&amp;")
    io_probe_isr();
#endif
}
#endif"</f>
        <v>#if(PCINTA_MASK==1)
ISR(INT0_vect, ISR_BLOCK) // input pin on change service routine
{
#if(PCINTA_LIMITS_MASK==1)
    io_limits_isr();
#endif
#if(PCINTA_CONTROLS_MASK==1)
    io_controls_isr();
#endif
#if(PROBE_ISRA==1)
    io_probe_isr();
#endif
}
#endif</v>
      </c>
    </row>
    <row r="4" spans="1:13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STEP1_GPIO (PORTREG(STEP1_PORT))
#define STEP1_PPORT (pinport(STEP1_PORT))
#define DIO2 2
#define DIO2_PORT STEP1_PORT
#define DIO2_BIT STEP1_BIT
#define DIO2_GPIO STEP1_GPIO
#define DIO2_PPORT STEP1_PPORT
#endif</v>
      </c>
      <c r="F4" s="9"/>
      <c r="G4" s="9"/>
      <c r="H4" s="9"/>
      <c r="I4" s="13" t="str">
        <f t="shared" ref="I4:I26" si="3">"#if !("&amp;C4&amp;"&lt;0)
mcu_config_output("&amp;C4&amp;");
#endif"</f>
        <v>#if !(STEP1&lt;0)
mcu_config_output(STEP1);
#endif</v>
      </c>
      <c r="J4" s="4">
        <v>1</v>
      </c>
      <c r="K4" s="4" t="s">
        <v>119</v>
      </c>
      <c r="L4" s="4">
        <v>4</v>
      </c>
      <c r="M4" s="4" t="str">
        <f t="shared" si="2"/>
        <v>#if(PCINTA_MASK==4)
ISR(INT1_vect, ISR_BLOCK) // input pin on change service routine
{
#if(PCINTA_LIMITS_MASK==4)
    io_limits_isr();
#endif
#if(PCINTA_CONTROLS_MASK==4)
    io_controls_isr();
#endif
#if(PROBE_ISRA==4)
    io_probe_isr();
#endif
}
#endif</v>
      </c>
    </row>
    <row r="5" spans="1:13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STEP2_GPIO (PORTREG(STEP2_PORT))
#define STEP2_PPORT (pinport(STEP2_PORT))
#define DIO3 3
#define DIO3_PORT STEP2_PORT
#define DIO3_BIT STEP2_BIT
#define DIO3_GPIO STEP2_GPIO
#define DIO3_PPORT STEP2_PPORT
#endif</v>
      </c>
      <c r="F5" s="9"/>
      <c r="G5" s="9"/>
      <c r="H5" s="9"/>
      <c r="I5" s="13" t="str">
        <f t="shared" si="3"/>
        <v>#if !(STEP2&lt;0)
mcu_config_output(STEP2);
#endif</v>
      </c>
      <c r="J5" s="4">
        <v>2</v>
      </c>
      <c r="K5" s="4" t="s">
        <v>119</v>
      </c>
      <c r="L5" s="4">
        <v>16</v>
      </c>
      <c r="M5" s="4" t="str">
        <f t="shared" si="2"/>
        <v>#if(PCINTA_MASK==16)
ISR(INT2_vect, ISR_BLOCK) // input pin on change service routine
{
#if(PCINTA_LIMITS_MASK==16)
    io_limits_isr();
#endif
#if(PCINTA_CONTROLS_MASK==16)
    io_controls_isr();
#endif
#if(PROBE_ISRA==16)
    io_probe_isr();
#endif
}
#endif</v>
      </c>
    </row>
    <row r="6" spans="1:13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STEP3_GPIO (PORTREG(STEP3_PORT))
#define STEP3_PPORT (pinport(STEP3_PORT))
#define DIO4 4
#define DIO4_PORT STEP3_PORT
#define DIO4_BIT STEP3_BIT
#define DIO4_GPIO STEP3_GPIO
#define DIO4_PPORT STEP3_PPORT
#endif</v>
      </c>
      <c r="F6" s="9"/>
      <c r="G6" s="9"/>
      <c r="H6" s="9"/>
      <c r="I6" s="13" t="str">
        <f t="shared" si="3"/>
        <v>#if !(STEP3&lt;0)
mcu_config_output(STEP3);
#endif</v>
      </c>
      <c r="J6" s="4">
        <v>3</v>
      </c>
      <c r="K6" s="4" t="s">
        <v>119</v>
      </c>
      <c r="L6" s="4">
        <v>64</v>
      </c>
      <c r="M6" s="4" t="str">
        <f t="shared" si="2"/>
        <v>#if(PCINTA_MASK==64)
ISR(INT3_vect, ISR_BLOCK) // input pin on change service routine
{
#if(PCINTA_LIMITS_MASK==64)
    io_limits_isr();
#endif
#if(PCINTA_CONTROLS_MASK==64)
    io_controls_isr();
#endif
#if(PROBE_ISRA==64)
    io_probe_isr();
#endif
}
#endif</v>
      </c>
    </row>
    <row r="7" spans="1:13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STEP4_GPIO (PORTREG(STEP4_PORT))
#define STEP4_PPORT (pinport(STEP4_PORT))
#define DIO5 5
#define DIO5_PORT STEP4_PORT
#define DIO5_BIT STEP4_BIT
#define DIO5_GPIO STEP4_GPIO
#define DIO5_PPORT STEP4_PPORT
#endif</v>
      </c>
      <c r="F7" s="9"/>
      <c r="G7" s="9"/>
      <c r="H7" s="9"/>
      <c r="I7" s="13" t="str">
        <f t="shared" si="3"/>
        <v>#if !(STEP4&lt;0)
mcu_config_output(STEP4);
#endif</v>
      </c>
      <c r="J7" s="4">
        <v>4</v>
      </c>
      <c r="K7" s="4" t="s">
        <v>120</v>
      </c>
      <c r="L7" s="4">
        <v>1</v>
      </c>
      <c r="M7" s="4" t="str">
        <f t="shared" si="2"/>
        <v>#if(PCINTB_MASK==1)
ISR(INT4_vect, ISR_BLOCK) // input pin on change service routine
{
#if(PCINTB_LIMITS_MASK==1)
    io_limits_isr();
#endif
#if(PCINTB_CONTROLS_MASK==1)
    io_controls_isr();
#endif
#if(PROBE_ISRB==1)
    io_probe_isr();
#endif
}
#endif</v>
      </c>
    </row>
    <row r="8" spans="1:13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STEP5_GPIO (PORTREG(STEP5_PORT))
#define STEP5_PPORT (pinport(STEP5_PORT))
#define DIO6 6
#define DIO6_PORT STEP5_PORT
#define DIO6_BIT STEP5_BIT
#define DIO6_GPIO STEP5_GPIO
#define DIO6_PPORT STEP5_PPORT
#endif</v>
      </c>
      <c r="F8" s="9"/>
      <c r="G8" s="9"/>
      <c r="H8" s="9"/>
      <c r="I8" s="13" t="str">
        <f t="shared" si="3"/>
        <v>#if !(STEP5&lt;0)
mcu_config_output(STEP5);
#endif</v>
      </c>
      <c r="J8" s="4">
        <v>5</v>
      </c>
      <c r="K8" s="4" t="s">
        <v>120</v>
      </c>
      <c r="L8" s="4">
        <v>4</v>
      </c>
      <c r="M8" s="4" t="str">
        <f t="shared" si="2"/>
        <v>#if(PCINTB_MASK==4)
ISR(INT5_vect, ISR_BLOCK) // input pin on change service routine
{
#if(PCINTB_LIMITS_MASK==4)
    io_limits_isr();
#endif
#if(PCINTB_CONTROLS_MASK==4)
    io_controls_isr();
#endif
#if(PROBE_ISRB==4)
    io_probe_isr();
#endif
}
#endif</v>
      </c>
    </row>
    <row r="9" spans="1:13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STEP6_GPIO (PORTREG(STEP6_PORT))
#define STEP6_PPORT (pinport(STEP6_PORT))
#define DIO7 7
#define DIO7_PORT STEP6_PORT
#define DIO7_BIT STEP6_BIT
#define DIO7_GPIO STEP6_GPIO
#define DIO7_PPORT STEP6_PPORT
#endif</v>
      </c>
      <c r="F9" s="9"/>
      <c r="G9" s="9"/>
      <c r="H9" s="9"/>
      <c r="I9" s="13" t="str">
        <f t="shared" si="3"/>
        <v>#if !(STEP6&lt;0)
mcu_config_output(STEP6);
#endif</v>
      </c>
      <c r="J9" s="4">
        <v>6</v>
      </c>
      <c r="K9" s="4" t="s">
        <v>120</v>
      </c>
      <c r="L9" s="4">
        <v>16</v>
      </c>
      <c r="M9" s="4" t="str">
        <f t="shared" si="2"/>
        <v>#if(PCINTB_MASK==16)
ISR(INT6_vect, ISR_BLOCK) // input pin on change service routine
{
#if(PCINTB_LIMITS_MASK==16)
    io_limits_isr();
#endif
#if(PCINTB_CONTROLS_MASK==16)
    io_controls_isr();
#endif
#if(PROBE_ISRB==16)
    io_probe_isr();
#endif
}
#endif</v>
      </c>
    </row>
    <row r="10" spans="1:13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STEP7_GPIO (PORTREG(STEP7_PORT))
#define STEP7_PPORT (pinport(STEP7_PORT))
#define DIO8 8
#define DIO8_PORT STEP7_PORT
#define DIO8_BIT STEP7_BIT
#define DIO8_GPIO STEP7_GPIO
#define DIO8_PPORT STEP7_PPORT
#endif</v>
      </c>
      <c r="F10" s="9"/>
      <c r="G10" s="9"/>
      <c r="H10" s="9"/>
      <c r="I10" s="13" t="str">
        <f t="shared" si="3"/>
        <v>#if !(STEP7&lt;0)
mcu_config_output(STEP7);
#endif</v>
      </c>
      <c r="J10" s="4">
        <v>7</v>
      </c>
      <c r="K10" s="4" t="s">
        <v>120</v>
      </c>
      <c r="L10" s="4">
        <v>64</v>
      </c>
      <c r="M10" s="4" t="str">
        <f t="shared" si="2"/>
        <v>#if(PCINTB_MASK==64)
ISR(INT7_vect, ISR_BLOCK) // input pin on change service routine
{
#if(PCINTB_LIMITS_MASK==64)
    io_limits_isr();
#endif
#if(PCINTB_CONTROLS_MASK==64)
    io_controls_isr();
#endif
#if(PROBE_ISRB==64)
    io_probe_isr();
#endif
}
#endif</v>
      </c>
    </row>
    <row r="11" spans="1:13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DIR0_GPIO (PORTREG(DIR0_PORT))
#define DIR0_PPORT (pinport(DIR0_PORT))
#define DIO9 9
#define DIO9_PORT DIR0_PORT
#define DIO9_BIT DIR0_BIT
#define DIO9_GPIO DIR0_GPIO
#define DIO9_PPORT DIR0_PPORT
#endif</v>
      </c>
      <c r="F11" s="9"/>
      <c r="G11" s="9"/>
      <c r="H11" s="9"/>
      <c r="I11" s="13" t="str">
        <f t="shared" si="3"/>
        <v>#if !(DIR0&lt;0)
mcu_config_output(DIR0);
#endif</v>
      </c>
      <c r="J11" s="10"/>
      <c r="K11" s="10"/>
      <c r="L11" s="10"/>
      <c r="M11" s="10"/>
    </row>
    <row r="12" spans="1:13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DIR1_GPIO (PORTREG(DIR1_PORT))
#define DIR1_PPORT (pinport(DIR1_PORT))
#define DIO10 10
#define DIO10_PORT DIR1_PORT
#define DIO10_BIT DIR1_BIT
#define DIO10_GPIO DIR1_GPIO
#define DIO10_PPORT DIR1_PPORT
#endif</v>
      </c>
      <c r="F12" s="9"/>
      <c r="G12" s="9"/>
      <c r="H12" s="9"/>
      <c r="I12" s="13" t="str">
        <f t="shared" si="3"/>
        <v>#if !(DIR1&lt;0)
mcu_config_output(DIR1);
#endif</v>
      </c>
      <c r="J12" s="4"/>
      <c r="K12" s="4"/>
      <c r="L12" s="4"/>
      <c r="M12" s="4"/>
    </row>
    <row r="13" spans="1:13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DIR2_GPIO (PORTREG(DIR2_PORT))
#define DIR2_PPORT (pinport(DIR2_PORT))
#define DIO11 11
#define DIO11_PORT DIR2_PORT
#define DIO11_BIT DIR2_BIT
#define DIO11_GPIO DIR2_GPIO
#define DIO11_PPORT DIR2_PPORT
#endif</v>
      </c>
      <c r="F13" s="9"/>
      <c r="G13" s="9"/>
      <c r="H13" s="9"/>
      <c r="I13" s="13" t="str">
        <f t="shared" si="3"/>
        <v>#if !(DIR2&lt;0)
mcu_config_output(DIR2);
#endif</v>
      </c>
      <c r="J13" s="4"/>
      <c r="K13" s="4"/>
      <c r="L13" s="4"/>
      <c r="M13" s="4"/>
    </row>
    <row r="14" spans="1:13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DIR3_GPIO (PORTREG(DIR3_PORT))
#define DIR3_PPORT (pinport(DIR3_PORT))
#define DIO12 12
#define DIO12_PORT DIR3_PORT
#define DIO12_BIT DIR3_BIT
#define DIO12_GPIO DIR3_GPIO
#define DIO12_PPORT DIR3_PPORT
#endif</v>
      </c>
      <c r="F14" s="9"/>
      <c r="G14" s="9"/>
      <c r="H14" s="9"/>
      <c r="I14" s="13" t="str">
        <f t="shared" si="3"/>
        <v>#if !(DIR3&lt;0)
mcu_config_output(DIR3);
#endif</v>
      </c>
      <c r="J14" s="4"/>
      <c r="K14" s="4"/>
      <c r="L14" s="4"/>
      <c r="M14" s="4"/>
    </row>
    <row r="15" spans="1:13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DIR4_GPIO (PORTREG(DIR4_PORT))
#define DIR4_PPORT (pinport(DIR4_PORT))
#define DIO13 13
#define DIO13_PORT DIR4_PORT
#define DIO13_BIT DIR4_BIT
#define DIO13_GPIO DIR4_GPIO
#define DIO13_PPORT DIR4_PPORT
#endif</v>
      </c>
      <c r="F15" s="9"/>
      <c r="G15" s="9"/>
      <c r="H15" s="9"/>
      <c r="I15" s="13" t="str">
        <f t="shared" si="3"/>
        <v>#if !(DIR4&lt;0)
mcu_config_output(DIR4);
#endif</v>
      </c>
      <c r="J15" s="4"/>
      <c r="K15" s="4"/>
      <c r="L15" s="4"/>
      <c r="M15" s="4"/>
    </row>
    <row r="16" spans="1:13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DIR5_GPIO (PORTREG(DIR5_PORT))
#define DIR5_PPORT (pinport(DIR5_PORT))
#define DIO14 14
#define DIO14_PORT DIR5_PORT
#define DIO14_BIT DIR5_BIT
#define DIO14_GPIO DIR5_GPIO
#define DIO14_PPORT DIR5_PPORT
#endif</v>
      </c>
      <c r="F16" s="9"/>
      <c r="G16" s="9"/>
      <c r="H16" s="9"/>
      <c r="I16" s="13" t="str">
        <f t="shared" si="3"/>
        <v>#if !(DIR5&lt;0)
mcu_config_output(DIR5);
#endif</v>
      </c>
      <c r="J16" s="4"/>
      <c r="K16" s="4"/>
      <c r="L16" s="4"/>
      <c r="M16" s="4"/>
    </row>
    <row r="17" spans="1:13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DIR6_GPIO (PORTREG(DIR6_PORT))
#define DIR6_PPORT (pinport(DIR6_PORT))
#define DIO15 15
#define DIO15_PORT DIR6_PORT
#define DIO15_BIT DIR6_BIT
#define DIO15_GPIO DIR6_GPIO
#define DIO15_PPORT DIR6_PPORT
#endif</v>
      </c>
      <c r="F17" s="9"/>
      <c r="G17" s="9"/>
      <c r="H17" s="9"/>
      <c r="I17" s="13" t="str">
        <f t="shared" si="3"/>
        <v>#if !(DIR6&lt;0)
mcu_config_output(DIR6);
#endif</v>
      </c>
      <c r="J17" s="4"/>
      <c r="K17" s="4"/>
      <c r="L17" s="4"/>
      <c r="M17" s="4"/>
    </row>
    <row r="18" spans="1:13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DIR7_GPIO (PORTREG(DIR7_PORT))
#define DIR7_PPORT (pinport(DIR7_PORT))
#define DIO16 16
#define DIO16_PORT DIR7_PORT
#define DIO16_BIT DIR7_BIT
#define DIO16_GPIO DIR7_GPIO
#define DIO16_PPORT DIR7_PPORT
#endif</v>
      </c>
      <c r="F18" s="9"/>
      <c r="G18" s="9"/>
      <c r="H18" s="9"/>
      <c r="I18" s="13" t="str">
        <f t="shared" si="3"/>
        <v>#if !(DIR7&lt;0)
mcu_config_output(DIR7);
#endif</v>
      </c>
      <c r="J18" s="4"/>
      <c r="K18" s="4"/>
      <c r="L18" s="4"/>
      <c r="M18" s="4"/>
    </row>
    <row r="19" spans="1:13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STEP0_EN_GPIO (PORTREG(STEP0_EN_PORT))
#define STEP0_EN_PPORT (pinport(STEP0_EN_PORT))
#define DIO17 17
#define DIO17_PORT STEP0_EN_PORT
#define DIO17_BIT STEP0_EN_BIT
#define DIO17_GPIO STEP0_EN_GPIO
#define DIO17_PPORT STEP0_EN_PPORT
#endif</v>
      </c>
      <c r="F19" s="9"/>
      <c r="G19" s="9"/>
      <c r="H19" s="10"/>
      <c r="I19" s="13" t="str">
        <f t="shared" si="3"/>
        <v>#if !(STEP0_EN&lt;0)
mcu_config_output(STEP0_EN);
#endif</v>
      </c>
      <c r="J19" s="4"/>
      <c r="K19" s="4"/>
      <c r="L19" s="4"/>
      <c r="M19" s="4"/>
    </row>
    <row r="20" spans="1:13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STEP1_EN_GPIO (PORTREG(STEP1_EN_PORT))
#define STEP1_EN_PPORT (pinport(STEP1_EN_PORT))
#define DIO18 18
#define DIO18_PORT STEP1_EN_PORT
#define DIO18_BIT STEP1_EN_BIT
#define DIO18_GPIO STEP1_EN_GPIO
#define DIO18_PPORT STEP1_EN_PPORT
#endif</v>
      </c>
      <c r="F20" s="9"/>
      <c r="G20" s="9"/>
      <c r="H20" s="9"/>
      <c r="I20" s="13" t="str">
        <f t="shared" si="3"/>
        <v>#if !(STEP1_EN&lt;0)
mcu_config_output(STEP1_EN);
#endif</v>
      </c>
      <c r="J20" s="4"/>
      <c r="K20" s="4"/>
      <c r="L20" s="4"/>
      <c r="M20" s="4"/>
    </row>
    <row r="21" spans="1:13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STEP2_EN_GPIO (PORTREG(STEP2_EN_PORT))
#define STEP2_EN_PPORT (pinport(STEP2_EN_PORT))
#define DIO19 19
#define DIO19_PORT STEP2_EN_PORT
#define DIO19_BIT STEP2_EN_BIT
#define DIO19_GPIO STEP2_EN_GPIO
#define DIO19_PPORT STEP2_EN_PPORT
#endif</v>
      </c>
      <c r="F21" s="9"/>
      <c r="G21" s="9"/>
      <c r="H21" s="9"/>
      <c r="I21" s="13" t="str">
        <f t="shared" si="3"/>
        <v>#if !(STEP2_EN&lt;0)
mcu_config_output(STEP2_EN);
#endif</v>
      </c>
      <c r="J21" s="4"/>
      <c r="K21" s="4"/>
      <c r="L21" s="4"/>
      <c r="M21" s="4"/>
    </row>
    <row r="22" spans="1:13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STEP3_EN_GPIO (PORTREG(STEP3_EN_PORT))
#define STEP3_EN_PPORT (pinport(STEP3_EN_PORT))
#define DIO20 20
#define DIO20_PORT STEP3_EN_PORT
#define DIO20_BIT STEP3_EN_BIT
#define DIO20_GPIO STEP3_EN_GPIO
#define DIO20_PPORT STEP3_EN_PPORT
#endif</v>
      </c>
      <c r="F22" s="9"/>
      <c r="G22" s="9"/>
      <c r="H22" s="9"/>
      <c r="I22" s="13" t="str">
        <f t="shared" si="3"/>
        <v>#if !(STEP3_EN&lt;0)
mcu_config_output(STEP3_EN);
#endif</v>
      </c>
      <c r="J22" s="4"/>
      <c r="K22" s="4"/>
      <c r="L22" s="4"/>
      <c r="M22" s="4"/>
    </row>
    <row r="23" spans="1:13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STEP4_EN_GPIO (PORTREG(STEP4_EN_PORT))
#define STEP4_EN_PPORT (pinport(STEP4_EN_PORT))
#define DIO21 21
#define DIO21_PORT STEP4_EN_PORT
#define DIO21_BIT STEP4_EN_BIT
#define DIO21_GPIO STEP4_EN_GPIO
#define DIO21_PPORT STEP4_EN_PPORT
#endif</v>
      </c>
      <c r="F23" s="9"/>
      <c r="G23" s="9"/>
      <c r="H23" s="9"/>
      <c r="I23" s="13" t="str">
        <f t="shared" si="3"/>
        <v>#if !(STEP4_EN&lt;0)
mcu_config_output(STEP4_EN);
#endif</v>
      </c>
      <c r="J23" s="4"/>
      <c r="K23" s="4"/>
      <c r="L23" s="4"/>
      <c r="M23" s="4"/>
    </row>
    <row r="24" spans="1:13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STEP5_EN_GPIO (PORTREG(STEP5_EN_PORT))
#define STEP5_EN_PPORT (pinport(STEP5_EN_PORT))
#define DIO22 22
#define DIO22_PORT STEP5_EN_PORT
#define DIO22_BIT STEP5_EN_BIT
#define DIO22_GPIO STEP5_EN_GPIO
#define DIO22_PPORT STEP5_EN_PPORT
#endif</v>
      </c>
      <c r="F24" s="9"/>
      <c r="G24" s="9"/>
      <c r="I24" s="13" t="str">
        <f t="shared" si="3"/>
        <v>#if !(STEP5_EN&lt;0)
mcu_config_output(STEP5_EN);
#endif</v>
      </c>
      <c r="J24" s="4"/>
      <c r="K24" s="4"/>
      <c r="L24" s="4"/>
      <c r="M24" s="4"/>
    </row>
    <row r="25" spans="1:13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STEP6_EN_GPIO (PORTREG(STEP6_EN_PORT))
#define STEP6_EN_PPORT (pinport(STEP6_EN_PORT))
#define DIO23 23
#define DIO23_PORT STEP6_EN_PORT
#define DIO23_BIT STEP6_EN_BIT
#define DIO23_GPIO STEP6_EN_GPIO
#define DIO23_PPORT STEP6_EN_PPORT
#endif</v>
      </c>
      <c r="F25" s="9"/>
      <c r="G25" s="9"/>
      <c r="I25" s="13" t="str">
        <f t="shared" si="3"/>
        <v>#if !(STEP6_EN&lt;0)
mcu_config_output(STEP6_EN);
#endif</v>
      </c>
      <c r="J25" s="4"/>
      <c r="K25" s="4"/>
      <c r="L25" s="4"/>
      <c r="M25" s="4"/>
    </row>
    <row r="26" spans="1:13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STEP7_EN_GPIO (PORTREG(STEP7_EN_PORT))
#define STEP7_EN_PPORT (pinport(STEP7_EN_PORT))
#define DIO24 24
#define DIO24_PORT STEP7_EN_PORT
#define DIO24_BIT STEP7_EN_BIT
#define DIO24_GPIO STEP7_EN_GPIO
#define DIO24_PPORT STEP7_EN_PPORT
#endif</v>
      </c>
      <c r="F26" s="9"/>
      <c r="G26" s="9"/>
      <c r="H26" s="11" t="s">
        <v>121</v>
      </c>
      <c r="I26" s="13" t="str">
        <f t="shared" si="3"/>
        <v>#if !(STEP7_EN&lt;0)
mcu_config_output(STEP7_EN);
#endif</v>
      </c>
      <c r="J26" s="4"/>
      <c r="K26" s="4"/>
      <c r="L26" s="4"/>
      <c r="M26" s="4"/>
    </row>
    <row r="27" spans="1:13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PWM0_GPIO (PORTREG(PWM0_PORT))
#define PWM0_PPORT (pinport(PWM0_PORT))
#define DIO25 25
#define DIO25_PORT PWM0_PORT
#define DIO25_BIT PWM0_BIT
#define DIO25_GPIO PWM0_GPIO
#define DIO25_PPORT PWM0_PPORT
#endif</v>
      </c>
      <c r="F27" s="9"/>
      <c r="G27" s="9"/>
      <c r="H27" s="9" t="str">
        <f>"#ifdef "&amp;C27&amp;"
#define "&amp;C27&amp;"_CLKCTRL gclk_clkctrl("&amp;C27&amp;"_TIMER)
#define "&amp;C27&amp;"_PMUX (pinmux("&amp;C27&amp;"_PORT, "&amp;C27&amp;"_BIT))
#define "&amp;C27&amp;"_PMUXVAL (pinmuxval("&amp;C27&amp;"_MUX))
#if ("&amp;C27&amp;"_TIMER &lt; 3)
#define "&amp;C27&amp;"_TMR __helper__(TCC, "&amp;C27&amp;"_TIMER, )
#define "&amp;C27&amp;"_CONFIG                         \
	{                                         \
		"&amp;C27&amp;"_TMR-&gt;CTRLA.bit.SWRST = 1;        \
		while ("&amp;C27&amp;"_TMR-&gt;SYNCBUSY.bit.SWRST)  \
			;                                 \
		"&amp;C27&amp;"_TMR-&gt;CTRLA.bit.PRESCALER = 2;    \
		"&amp;C27&amp;"_TMR-&gt;WAVE.bit.WAVEGEN = 2;       \
		while ("&amp;C27&amp;"_TMR-&gt;SYNCBUSY.bit.WAVE)   \
			;                                 \
		"&amp;C27&amp;"_TMR-&gt;PER.bit.PER = 255;          \
		while ("&amp;C27&amp;"_TMR-&gt;SYNCBUSY.bit.PER)    \
			;                                 \
		"&amp;C27&amp;"_TMR-&gt;CTRLA.bit.ENABLE = 1;       \
		while ("&amp;C27&amp;"_TMR-&gt;SYNCBUSY.bit.ENABLE) \
			;                                 \
	}
#define "&amp;C27&amp;"_DUTYCYCLE ("&amp;C27&amp;"_TMR-&gt;CC["&amp;C27&amp;"_CHANNEL].bit.CC)
#else
#define "&amp;C27&amp;"_TMR __helper__(TC, "&amp;C27&amp;"_TIMER, )
#define "&amp;C27&amp;"_CONFIG                                \
	{                                                \
		"&amp;C27&amp;"_TMR-&gt;COUNT8.CTRLA.bit.SWRST = 1;        \
		while ("&amp;C27&amp;"_TMR-&gt;COUNT8.STATUS.bit.SYNCBUSY) \
			;                                        \
		"&amp;C27&amp;"_TMR-&gt;COUNT8.CTRLA.bit.MODE = 1;         \
		"&amp;C27&amp;"_TMR-&gt;COUNT8.CTRLA.bit.PRESCALER = 2;    \
		"&amp;C27&amp;"_TMR-&gt;COUNT8.CTRLA.bit.WAVEGEN = 2;      \
		while ("&amp;C27&amp;"_TMR-&gt;COUNT8.STATUS.bit.SYNCBUSY) \
			;                                        \
		"&amp;C27&amp;"_TMR-&gt;COUNT8.PER.reg = 255;              \
		while ("&amp;C27&amp;"_TMR-&gt;COUNT8.STATUS.bit.SYNCBUSY) \
			;                                        \
		"&amp;C27&amp;"_TMR-&gt;COUNT8.CTRLA.bit.ENABLE = 1;       \
		while ("&amp;C27&amp;"_TMR-&gt;COUNT8.STATUS.bit.SYNCBUSY) \
			;                                        \
	}
#define "&amp;C27&amp;"_DUTYCYCLE ("&amp;C27&amp;"_TMR-&gt;COUNT8.CC["&amp;C27&amp;"_CHANNEL].reg)
#endif
#define "&amp;B27&amp;"_PMUX "&amp;C27&amp;"_PMUX
#define "&amp;B27&amp;"_PMUXVAL "&amp;C27&amp;"_PMUXVAL
#define "&amp;B27&amp;"_TMR "&amp;C27&amp;"_TMR
#define "&amp;B27&amp;"_CONFIG(presc) "&amp;C27&amp;"_CONFIG
#define "&amp;B27&amp;"_DUTYCYCLE "&amp;C27&amp;"_DUTYCYCLE
#endif"</f>
        <v>#ifdef PWM0
#define PWM0_CLKCTRL gclk_clkctrl(PWM0_TIMER)
#define PWM0_PMUX (pinmux(PWM0_PORT, PWM0_BIT))
#define PWM0_PMUXVAL (pinmuxval(PWM0_MUX))
#if (PWM0_TIMER &lt; 3)
#define PWM0_TMR __helper__(TCC, PWM0_TIMER, )
#define PWM0_CONFIG                         \
	{                                         \
		PWM0_TMR-&gt;CTRLA.bit.SWRST = 1;        \
		while (PWM0_TMR-&gt;SYNCBUSY.bit.SWRST)  \
			;                                 \
		PWM0_TMR-&gt;CTRLA.bit.PRESCALER = 2;    \
		PWM0_TMR-&gt;WAVE.bit.WAVEGEN = 2;       \
		while (PWM0_TMR-&gt;SYNCBUSY.bit.WAVE)   \
			;                                 \
		PWM0_TMR-&gt;PER.bit.PER = 255;          \
		while (PWM0_TMR-&gt;SYNCBUSY.bit.PER)    \
			;                                 \
		PWM0_TMR-&gt;CTRLA.bit.ENABLE = 1;       \
		while (PWM0_TMR-&gt;SYNCBUSY.bit.ENABLE) \
			;                                 \
	}
#define PWM0_DUTYCYCLE (PWM0_TMR-&gt;CC[PWM0_CHANNEL].bit.CC)
#else
#define PWM0_TMR __helper__(TC, PWM0_TIMER, )
#define PWM0_CONFIG                                \
	{                                                \
		PWM0_TMR-&gt;COUNT8.CTRLA.bit.SWRST = 1;        \
		while (PWM0_TMR-&gt;COUNT8.STATUS.bit.SYNCBUSY) \
			;                                        \
		PWM0_TMR-&gt;COUNT8.CTRLA.bit.MODE = 1;         \
		PWM0_TMR-&gt;COUNT8.CTRLA.bit.PRESCALER = 2;    \
		PWM0_TMR-&gt;COUNT8.CTRLA.bit.WAVEGEN = 2;      \
		while (PWM0_TMR-&gt;COUNT8.STATUS.bit.SYNCBUSY) \
			;                                        \
		PWM0_TMR-&gt;COUNT8.PER.reg = 255;              \
		while (PWM0_TMR-&gt;COUNT8.STATUS.bit.SYNCBUSY) \
			;                                        \
		PWM0_TMR-&gt;COUNT8.CTRLA.bit.ENABLE = 1;       \
		while (PWM0_TMR-&gt;COUNT8.STATUS.bit.SYNCBUSY) \
			;                                        \
	}
#define PWM0_DUTYCYCLE (PWM0_TMR-&gt;COUNT8.CC[PWM0_CHANNEL].reg)
#endif
#define DIO25_PMUX PWM0_PMUX
#define DIO25_PMUXVAL PWM0_PMUXVAL
#define DIO25_TMR PWM0_TMR
#define DIO25_CONFIG(presc) PWM0_CONFIG
#define DIO25_DUTYCYCLE PWM0_DUTYCYCLE
#endif</v>
      </c>
      <c r="I27" s="13" t="str">
        <f>"#if !("&amp;C27&amp;"&lt;0)
mcu_config_pwm("&amp;C27&amp;");
#endif"</f>
        <v>#if !(PWM0&lt;0)
mcu_config_pwm(PWM0);
#endif</v>
      </c>
      <c r="J27" s="4"/>
      <c r="K27" s="4"/>
      <c r="L27" s="4"/>
      <c r="M27" s="4"/>
    </row>
    <row r="28" spans="1:13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PWM1_GPIO (PORTREG(PWM1_PORT))
#define PWM1_PPORT (pinport(PWM1_PORT))
#define DIO26 26
#define DIO26_PORT PWM1_PORT
#define DIO26_BIT PWM1_BIT
#define DIO26_GPIO PWM1_GPIO
#define DIO26_PPORT PWM1_PPORT
#endif</v>
      </c>
      <c r="F28" s="9"/>
      <c r="G28" s="9"/>
      <c r="H28" s="9" t="str">
        <f t="shared" ref="H28:H42" si="4">"#ifdef "&amp;C28&amp;"
#define "&amp;C28&amp;"_CLKCTRL gclk_clkctrl("&amp;C28&amp;"_TIMER)
#define "&amp;C28&amp;"_PMUX (pinmux("&amp;C28&amp;"_PORT, "&amp;C28&amp;"_BIT))
#define "&amp;C28&amp;"_PMUXVAL (pinmuxval("&amp;C28&amp;"_MUX))
#if ("&amp;C28&amp;"_TIMER &lt; 3)
#define "&amp;C28&amp;"_TMR __helper__(TCC, "&amp;C28&amp;"_TIMER, )
#define "&amp;C28&amp;"_CONFIG                         \
	{                                         \
		"&amp;C28&amp;"_TMR-&gt;CTRLA.bit.SWRST = 1;        \
		while ("&amp;C28&amp;"_TMR-&gt;SYNCBUSY.bit.SWRST)  \
			;                                 \
		"&amp;C28&amp;"_TMR-&gt;CTRLA.bit.PRESCALER = 2;    \
		"&amp;C28&amp;"_TMR-&gt;WAVE.bit.WAVEGEN = 2;       \
		while ("&amp;C28&amp;"_TMR-&gt;SYNCBUSY.bit.WAVE)   \
			;                                 \
		"&amp;C28&amp;"_TMR-&gt;PER.bit.PER = 255;          \
		while ("&amp;C28&amp;"_TMR-&gt;SYNCBUSY.bit.PER)    \
			;                                 \
		"&amp;C28&amp;"_TMR-&gt;CTRLA.bit.ENABLE = 1;       \
		while ("&amp;C28&amp;"_TMR-&gt;SYNCBUSY.bit.ENABLE) \
			;                                 \
	}
#define "&amp;C28&amp;"_DUTYCYCLE ("&amp;C28&amp;"_TMR-&gt;CC["&amp;C28&amp;"_CHANNEL].bit.CC)
#else
#define "&amp;C28&amp;"_TMR __helper__(TC, "&amp;C28&amp;"_TIMER, )
#define "&amp;C28&amp;"_CONFIG                                \
	{                                                \
		"&amp;C28&amp;"_TMR-&gt;COUNT8.CTRLA.bit.SWRST = 1;        \
		while ("&amp;C28&amp;"_TMR-&gt;COUNT8.STATUS.bit.SYNCBUSY) \
			;                                        \
		"&amp;C28&amp;"_TMR-&gt;COUNT8.CTRLA.bit.MODE = 1;         \
		"&amp;C28&amp;"_TMR-&gt;COUNT8.CTRLA.bit.PRESCALER = 2;    \
		"&amp;C28&amp;"_TMR-&gt;COUNT8.CTRLA.bit.WAVEGEN = 2;      \
		while ("&amp;C28&amp;"_TMR-&gt;COUNT8.STATUS.bit.SYNCBUSY) \
			;                                        \
		"&amp;C28&amp;"_TMR-&gt;COUNT8.PER.reg = 255;              \
		while ("&amp;C28&amp;"_TMR-&gt;COUNT8.STATUS.bit.SYNCBUSY) \
			;                                        \
		"&amp;C28&amp;"_TMR-&gt;COUNT8.CTRLA.bit.ENABLE = 1;       \
		while ("&amp;C28&amp;"_TMR-&gt;COUNT8.STATUS.bit.SYNCBUSY) \
			;                                        \
	}
#define "&amp;C28&amp;"_DUTYCYCLE ("&amp;C28&amp;"_TMR-&gt;COUNT8.CC["&amp;C28&amp;"_CHANNEL].reg)
#endif
#define "&amp;B28&amp;"_PMUX "&amp;C28&amp;"_PMUX
#define "&amp;B28&amp;"_PMUXVAL "&amp;C28&amp;"_PMUXVAL
#define "&amp;B28&amp;"_TMR "&amp;C28&amp;"_TMR
#define "&amp;B28&amp;"_CONFIG(presc) "&amp;C28&amp;"_CONFIG
#define "&amp;B28&amp;"_DUTYCYCLE "&amp;C28&amp;"_DUTYCYCLE
#endif"</f>
        <v>#ifdef PWM1
#define PWM1_CLKCTRL gclk_clkctrl(PWM1_TIMER)
#define PWM1_PMUX (pinmux(PWM1_PORT, PWM1_BIT))
#define PWM1_PMUXVAL (pinmuxval(PWM1_MUX))
#if (PWM1_TIMER &lt; 3)
#define PWM1_TMR __helper__(TCC, PWM1_TIMER, )
#define PWM1_CONFIG                         \
	{                                         \
		PWM1_TMR-&gt;CTRLA.bit.SWRST = 1;        \
		while (PWM1_TMR-&gt;SYNCBUSY.bit.SWRST)  \
			;                                 \
		PWM1_TMR-&gt;CTRLA.bit.PRESCALER = 2;    \
		PWM1_TMR-&gt;WAVE.bit.WAVEGEN = 2;       \
		while (PWM1_TMR-&gt;SYNCBUSY.bit.WAVE)   \
			;                                 \
		PWM1_TMR-&gt;PER.bit.PER = 255;          \
		while (PWM1_TMR-&gt;SYNCBUSY.bit.PER)    \
			;                                 \
		PWM1_TMR-&gt;CTRLA.bit.ENABLE = 1;       \
		while (PWM1_TMR-&gt;SYNCBUSY.bit.ENABLE) \
			;                                 \
	}
#define PWM1_DUTYCYCLE (PWM1_TMR-&gt;CC[PWM1_CHANNEL].bit.CC)
#else
#define PWM1_TMR __helper__(TC, PWM1_TIMER, )
#define PWM1_CONFIG                                \
	{                                                \
		PWM1_TMR-&gt;COUNT8.CTRLA.bit.SWRST = 1;        \
		while (PWM1_TMR-&gt;COUNT8.STATUS.bit.SYNCBUSY) \
			;                                        \
		PWM1_TMR-&gt;COUNT8.CTRLA.bit.MODE = 1;         \
		PWM1_TMR-&gt;COUNT8.CTRLA.bit.PRESCALER = 2;    \
		PWM1_TMR-&gt;COUNT8.CTRLA.bit.WAVEGEN = 2;      \
		while (PWM1_TMR-&gt;COUNT8.STATUS.bit.SYNCBUSY) \
			;                                        \
		PWM1_TMR-&gt;COUNT8.PER.reg = 255;              \
		while (PWM1_TMR-&gt;COUNT8.STATUS.bit.SYNCBUSY) \
			;                                        \
		PWM1_TMR-&gt;COUNT8.CTRLA.bit.ENABLE = 1;       \
		while (PWM1_TMR-&gt;COUNT8.STATUS.bit.SYNCBUSY) \
			;                                        \
	}
#define PWM1_DUTYCYCLE (PWM1_TMR-&gt;COUNT8.CC[PWM1_CHANNEL].reg)
#endif
#define DIO26_PMUX PWM1_PMUX
#define DIO26_PMUXVAL PWM1_PMUXVAL
#define DIO26_TMR PWM1_TMR
#define DIO26_CONFIG(presc) PWM1_CONFIG
#define DIO26_DUTYCYCLE PWM1_DUTYCYCLE
#endif</v>
      </c>
      <c r="I28" s="13" t="str">
        <f t="shared" ref="I28:I42" si="5">"#if !("&amp;C28&amp;"&lt;0)
mcu_config_pwm("&amp;C28&amp;");
#endif"</f>
        <v>#if !(PWM1&lt;0)
mcu_config_pwm(PWM1);
#endif</v>
      </c>
      <c r="J28" s="4"/>
      <c r="K28" s="4"/>
      <c r="L28" s="4"/>
      <c r="M28" s="4"/>
    </row>
    <row r="29" spans="1:13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PWM2_GPIO (PORTREG(PWM2_PORT))
#define PWM2_PPORT (pinport(PWM2_PORT))
#define DIO27 27
#define DIO27_PORT PWM2_PORT
#define DIO27_BIT PWM2_BIT
#define DIO27_GPIO PWM2_GPIO
#define DIO27_PPORT PWM2_PPORT
#endif</v>
      </c>
      <c r="F29" s="9"/>
      <c r="G29" s="9"/>
      <c r="H29" s="9" t="str">
        <f t="shared" si="4"/>
        <v>#ifdef PWM2
#define PWM2_CLKCTRL gclk_clkctrl(PWM2_TIMER)
#define PWM2_PMUX (pinmux(PWM2_PORT, PWM2_BIT))
#define PWM2_PMUXVAL (pinmuxval(PWM2_MUX))
#if (PWM2_TIMER &lt; 3)
#define PWM2_TMR __helper__(TCC, PWM2_TIMER, )
#define PWM2_CONFIG                         \
	{                                         \
		PWM2_TMR-&gt;CTRLA.bit.SWRST = 1;        \
		while (PWM2_TMR-&gt;SYNCBUSY.bit.SWRST)  \
			;                                 \
		PWM2_TMR-&gt;CTRLA.bit.PRESCALER = 2;    \
		PWM2_TMR-&gt;WAVE.bit.WAVEGEN = 2;       \
		while (PWM2_TMR-&gt;SYNCBUSY.bit.WAVE)   \
			;                                 \
		PWM2_TMR-&gt;PER.bit.PER = 255;          \
		while (PWM2_TMR-&gt;SYNCBUSY.bit.PER)    \
			;                                 \
		PWM2_TMR-&gt;CTRLA.bit.ENABLE = 1;       \
		while (PWM2_TMR-&gt;SYNCBUSY.bit.ENABLE) \
			;                                 \
	}
#define PWM2_DUTYCYCLE (PWM2_TMR-&gt;CC[PWM2_CHANNEL].bit.CC)
#else
#define PWM2_TMR __helper__(TC, PWM2_TIMER, )
#define PWM2_CONFIG                                \
	{                                                \
		PWM2_TMR-&gt;COUNT8.CTRLA.bit.SWRST = 1;        \
		while (PWM2_TMR-&gt;COUNT8.STATUS.bit.SYNCBUSY) \
			;                                        \
		PWM2_TMR-&gt;COUNT8.CTRLA.bit.MODE = 1;         \
		PWM2_TMR-&gt;COUNT8.CTRLA.bit.PRESCALER = 2;    \
		PWM2_TMR-&gt;COUNT8.CTRLA.bit.WAVEGEN = 2;      \
		while (PWM2_TMR-&gt;COUNT8.STATUS.bit.SYNCBUSY) \
			;                                        \
		PWM2_TMR-&gt;COUNT8.PER.reg = 255;              \
		while (PWM2_TMR-&gt;COUNT8.STATUS.bit.SYNCBUSY) \
			;                                        \
		PWM2_TMR-&gt;COUNT8.CTRLA.bit.ENABLE = 1;       \
		while (PWM2_TMR-&gt;COUNT8.STATUS.bit.SYNCBUSY) \
			;                                        \
	}
#define PWM2_DUTYCYCLE (PWM2_TMR-&gt;COUNT8.CC[PWM2_CHANNEL].reg)
#endif
#define DIO27_PMUX PWM2_PMUX
#define DIO27_PMUXVAL PWM2_PMUXVAL
#define DIO27_TMR PWM2_TMR
#define DIO27_CONFIG(presc) PWM2_CONFIG
#define DIO27_DUTYCYCLE PWM2_DUTYCYCLE
#endif</v>
      </c>
      <c r="I29" s="13" t="str">
        <f t="shared" si="5"/>
        <v>#if !(PWM2&lt;0)
mcu_config_pwm(PWM2);
#endif</v>
      </c>
      <c r="J29" s="4"/>
      <c r="K29" s="4"/>
      <c r="L29" s="4"/>
      <c r="M29" s="4"/>
    </row>
    <row r="30" spans="1:13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PWM3_GPIO (PORTREG(PWM3_PORT))
#define PWM3_PPORT (pinport(PWM3_PORT))
#define DIO28 28
#define DIO28_PORT PWM3_PORT
#define DIO28_BIT PWM3_BIT
#define DIO28_GPIO PWM3_GPIO
#define DIO28_PPORT PWM3_PPORT
#endif</v>
      </c>
      <c r="F30" s="9"/>
      <c r="G30" s="9"/>
      <c r="H30" s="9" t="str">
        <f t="shared" si="4"/>
        <v>#ifdef PWM3
#define PWM3_CLKCTRL gclk_clkctrl(PWM3_TIMER)
#define PWM3_PMUX (pinmux(PWM3_PORT, PWM3_BIT))
#define PWM3_PMUXVAL (pinmuxval(PWM3_MUX))
#if (PWM3_TIMER &lt; 3)
#define PWM3_TMR __helper__(TCC, PWM3_TIMER, )
#define PWM3_CONFIG                         \
	{                                         \
		PWM3_TMR-&gt;CTRLA.bit.SWRST = 1;        \
		while (PWM3_TMR-&gt;SYNCBUSY.bit.SWRST)  \
			;                                 \
		PWM3_TMR-&gt;CTRLA.bit.PRESCALER = 2;    \
		PWM3_TMR-&gt;WAVE.bit.WAVEGEN = 2;       \
		while (PWM3_TMR-&gt;SYNCBUSY.bit.WAVE)   \
			;                                 \
		PWM3_TMR-&gt;PER.bit.PER = 255;          \
		while (PWM3_TMR-&gt;SYNCBUSY.bit.PER)    \
			;                                 \
		PWM3_TMR-&gt;CTRLA.bit.ENABLE = 1;       \
		while (PWM3_TMR-&gt;SYNCBUSY.bit.ENABLE) \
			;                                 \
	}
#define PWM3_DUTYCYCLE (PWM3_TMR-&gt;CC[PWM3_CHANNEL].bit.CC)
#else
#define PWM3_TMR __helper__(TC, PWM3_TIMER, )
#define PWM3_CONFIG                                \
	{                                                \
		PWM3_TMR-&gt;COUNT8.CTRLA.bit.SWRST = 1;        \
		while (PWM3_TMR-&gt;COUNT8.STATUS.bit.SYNCBUSY) \
			;                                        \
		PWM3_TMR-&gt;COUNT8.CTRLA.bit.MODE = 1;         \
		PWM3_TMR-&gt;COUNT8.CTRLA.bit.PRESCALER = 2;    \
		PWM3_TMR-&gt;COUNT8.CTRLA.bit.WAVEGEN = 2;      \
		while (PWM3_TMR-&gt;COUNT8.STATUS.bit.SYNCBUSY) \
			;                                        \
		PWM3_TMR-&gt;COUNT8.PER.reg = 255;              \
		while (PWM3_TMR-&gt;COUNT8.STATUS.bit.SYNCBUSY) \
			;                                        \
		PWM3_TMR-&gt;COUNT8.CTRLA.bit.ENABLE = 1;       \
		while (PWM3_TMR-&gt;COUNT8.STATUS.bit.SYNCBUSY) \
			;                                        \
	}
#define PWM3_DUTYCYCLE (PWM3_TMR-&gt;COUNT8.CC[PWM3_CHANNEL].reg)
#endif
#define DIO28_PMUX PWM3_PMUX
#define DIO28_PMUXVAL PWM3_PMUXVAL
#define DIO28_TMR PWM3_TMR
#define DIO28_CONFIG(presc) PWM3_CONFIG
#define DIO28_DUTYCYCLE PWM3_DUTYCYCLE
#endif</v>
      </c>
      <c r="I30" s="13" t="str">
        <f t="shared" si="5"/>
        <v>#if !(PWM3&lt;0)
mcu_config_pwm(PWM3);
#endif</v>
      </c>
      <c r="J30" s="4"/>
      <c r="K30" s="4"/>
      <c r="L30" s="4"/>
      <c r="M30" s="4"/>
    </row>
    <row r="31" spans="1:13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PWM4_GPIO (PORTREG(PWM4_PORT))
#define PWM4_PPORT (pinport(PWM4_PORT))
#define DIO29 29
#define DIO29_PORT PWM4_PORT
#define DIO29_BIT PWM4_BIT
#define DIO29_GPIO PWM4_GPIO
#define DIO29_PPORT PWM4_PPORT
#endif</v>
      </c>
      <c r="F31" s="9"/>
      <c r="G31" s="9"/>
      <c r="H31" s="9" t="str">
        <f t="shared" si="4"/>
        <v>#ifdef PWM4
#define PWM4_CLKCTRL gclk_clkctrl(PWM4_TIMER)
#define PWM4_PMUX (pinmux(PWM4_PORT, PWM4_BIT))
#define PWM4_PMUXVAL (pinmuxval(PWM4_MUX))
#if (PWM4_TIMER &lt; 3)
#define PWM4_TMR __helper__(TCC, PWM4_TIMER, )
#define PWM4_CONFIG                         \
	{                                         \
		PWM4_TMR-&gt;CTRLA.bit.SWRST = 1;        \
		while (PWM4_TMR-&gt;SYNCBUSY.bit.SWRST)  \
			;                                 \
		PWM4_TMR-&gt;CTRLA.bit.PRESCALER = 2;    \
		PWM4_TMR-&gt;WAVE.bit.WAVEGEN = 2;       \
		while (PWM4_TMR-&gt;SYNCBUSY.bit.WAVE)   \
			;                                 \
		PWM4_TMR-&gt;PER.bit.PER = 255;          \
		while (PWM4_TMR-&gt;SYNCBUSY.bit.PER)    \
			;                                 \
		PWM4_TMR-&gt;CTRLA.bit.ENABLE = 1;       \
		while (PWM4_TMR-&gt;SYNCBUSY.bit.ENABLE) \
			;                                 \
	}
#define PWM4_DUTYCYCLE (PWM4_TMR-&gt;CC[PWM4_CHANNEL].bit.CC)
#else
#define PWM4_TMR __helper__(TC, PWM4_TIMER, )
#define PWM4_CONFIG                                \
	{                                                \
		PWM4_TMR-&gt;COUNT8.CTRLA.bit.SWRST = 1;        \
		while (PWM4_TMR-&gt;COUNT8.STATUS.bit.SYNCBUSY) \
			;                                        \
		PWM4_TMR-&gt;COUNT8.CTRLA.bit.MODE = 1;         \
		PWM4_TMR-&gt;COUNT8.CTRLA.bit.PRESCALER = 2;    \
		PWM4_TMR-&gt;COUNT8.CTRLA.bit.WAVEGEN = 2;      \
		while (PWM4_TMR-&gt;COUNT8.STATUS.bit.SYNCBUSY) \
			;                                        \
		PWM4_TMR-&gt;COUNT8.PER.reg = 255;              \
		while (PWM4_TMR-&gt;COUNT8.STATUS.bit.SYNCBUSY) \
			;                                        \
		PWM4_TMR-&gt;COUNT8.CTRLA.bit.ENABLE = 1;       \
		while (PWM4_TMR-&gt;COUNT8.STATUS.bit.SYNCBUSY) \
			;                                        \
	}
#define PWM4_DUTYCYCLE (PWM4_TMR-&gt;COUNT8.CC[PWM4_CHANNEL].reg)
#endif
#define DIO29_PMUX PWM4_PMUX
#define DIO29_PMUXVAL PWM4_PMUXVAL
#define DIO29_TMR PWM4_TMR
#define DIO29_CONFIG(presc) PWM4_CONFIG
#define DIO29_DUTYCYCLE PWM4_DUTYCYCLE
#endif</v>
      </c>
      <c r="I31" s="13" t="str">
        <f t="shared" si="5"/>
        <v>#if !(PWM4&lt;0)
mcu_config_pwm(PWM4);
#endif</v>
      </c>
      <c r="J31" s="4"/>
      <c r="K31" s="4"/>
      <c r="L31" s="4"/>
      <c r="M31" s="4"/>
    </row>
    <row r="32" spans="1:13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PWM5_GPIO (PORTREG(PWM5_PORT))
#define PWM5_PPORT (pinport(PWM5_PORT))
#define DIO30 30
#define DIO30_PORT PWM5_PORT
#define DIO30_BIT PWM5_BIT
#define DIO30_GPIO PWM5_GPIO
#define DIO30_PPORT PWM5_PPORT
#endif</v>
      </c>
      <c r="F32" s="9"/>
      <c r="G32" s="9"/>
      <c r="H32" s="9" t="str">
        <f t="shared" si="4"/>
        <v>#ifdef PWM5
#define PWM5_CLKCTRL gclk_clkctrl(PWM5_TIMER)
#define PWM5_PMUX (pinmux(PWM5_PORT, PWM5_BIT))
#define PWM5_PMUXVAL (pinmuxval(PWM5_MUX))
#if (PWM5_TIMER &lt; 3)
#define PWM5_TMR __helper__(TCC, PWM5_TIMER, )
#define PWM5_CONFIG                         \
	{                                         \
		PWM5_TMR-&gt;CTRLA.bit.SWRST = 1;        \
		while (PWM5_TMR-&gt;SYNCBUSY.bit.SWRST)  \
			;                                 \
		PWM5_TMR-&gt;CTRLA.bit.PRESCALER = 2;    \
		PWM5_TMR-&gt;WAVE.bit.WAVEGEN = 2;       \
		while (PWM5_TMR-&gt;SYNCBUSY.bit.WAVE)   \
			;                                 \
		PWM5_TMR-&gt;PER.bit.PER = 255;          \
		while (PWM5_TMR-&gt;SYNCBUSY.bit.PER)    \
			;                                 \
		PWM5_TMR-&gt;CTRLA.bit.ENABLE = 1;       \
		while (PWM5_TMR-&gt;SYNCBUSY.bit.ENABLE) \
			;                                 \
	}
#define PWM5_DUTYCYCLE (PWM5_TMR-&gt;CC[PWM5_CHANNEL].bit.CC)
#else
#define PWM5_TMR __helper__(TC, PWM5_TIMER, )
#define PWM5_CONFIG                                \
	{                                                \
		PWM5_TMR-&gt;COUNT8.CTRLA.bit.SWRST = 1;        \
		while (PWM5_TMR-&gt;COUNT8.STATUS.bit.SYNCBUSY) \
			;                                        \
		PWM5_TMR-&gt;COUNT8.CTRLA.bit.MODE = 1;         \
		PWM5_TMR-&gt;COUNT8.CTRLA.bit.PRESCALER = 2;    \
		PWM5_TMR-&gt;COUNT8.CTRLA.bit.WAVEGEN = 2;      \
		while (PWM5_TMR-&gt;COUNT8.STATUS.bit.SYNCBUSY) \
			;                                        \
		PWM5_TMR-&gt;COUNT8.PER.reg = 255;              \
		while (PWM5_TMR-&gt;COUNT8.STATUS.bit.SYNCBUSY) \
			;                                        \
		PWM5_TMR-&gt;COUNT8.CTRLA.bit.ENABLE = 1;       \
		while (PWM5_TMR-&gt;COUNT8.STATUS.bit.SYNCBUSY) \
			;                                        \
	}
#define PWM5_DUTYCYCLE (PWM5_TMR-&gt;COUNT8.CC[PWM5_CHANNEL].reg)
#endif
#define DIO30_PMUX PWM5_PMUX
#define DIO30_PMUXVAL PWM5_PMUXVAL
#define DIO30_TMR PWM5_TMR
#define DIO30_CONFIG(presc) PWM5_CONFIG
#define DIO30_DUTYCYCLE PWM5_DUTYCYCLE
#endif</v>
      </c>
      <c r="I32" s="13" t="str">
        <f t="shared" si="5"/>
        <v>#if !(PWM5&lt;0)
mcu_config_pwm(PWM5);
#endif</v>
      </c>
      <c r="J32" s="4"/>
      <c r="K32" s="4"/>
      <c r="L32" s="4"/>
      <c r="M32" s="4"/>
    </row>
    <row r="33" spans="1:13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PWM6_GPIO (PORTREG(PWM6_PORT))
#define PWM6_PPORT (pinport(PWM6_PORT))
#define DIO31 31
#define DIO31_PORT PWM6_PORT
#define DIO31_BIT PWM6_BIT
#define DIO31_GPIO PWM6_GPIO
#define DIO31_PPORT PWM6_PPORT
#endif</v>
      </c>
      <c r="F33" s="9"/>
      <c r="G33" s="9"/>
      <c r="H33" s="9" t="str">
        <f t="shared" si="4"/>
        <v>#ifdef PWM6
#define PWM6_CLKCTRL gclk_clkctrl(PWM6_TIMER)
#define PWM6_PMUX (pinmux(PWM6_PORT, PWM6_BIT))
#define PWM6_PMUXVAL (pinmuxval(PWM6_MUX))
#if (PWM6_TIMER &lt; 3)
#define PWM6_TMR __helper__(TCC, PWM6_TIMER, )
#define PWM6_CONFIG                         \
	{                                         \
		PWM6_TMR-&gt;CTRLA.bit.SWRST = 1;        \
		while (PWM6_TMR-&gt;SYNCBUSY.bit.SWRST)  \
			;                                 \
		PWM6_TMR-&gt;CTRLA.bit.PRESCALER = 2;    \
		PWM6_TMR-&gt;WAVE.bit.WAVEGEN = 2;       \
		while (PWM6_TMR-&gt;SYNCBUSY.bit.WAVE)   \
			;                                 \
		PWM6_TMR-&gt;PER.bit.PER = 255;          \
		while (PWM6_TMR-&gt;SYNCBUSY.bit.PER)    \
			;                                 \
		PWM6_TMR-&gt;CTRLA.bit.ENABLE = 1;       \
		while (PWM6_TMR-&gt;SYNCBUSY.bit.ENABLE) \
			;                                 \
	}
#define PWM6_DUTYCYCLE (PWM6_TMR-&gt;CC[PWM6_CHANNEL].bit.CC)
#else
#define PWM6_TMR __helper__(TC, PWM6_TIMER, )
#define PWM6_CONFIG                                \
	{                                                \
		PWM6_TMR-&gt;COUNT8.CTRLA.bit.SWRST = 1;        \
		while (PWM6_TMR-&gt;COUNT8.STATUS.bit.SYNCBUSY) \
			;                                        \
		PWM6_TMR-&gt;COUNT8.CTRLA.bit.MODE = 1;         \
		PWM6_TMR-&gt;COUNT8.CTRLA.bit.PRESCALER = 2;    \
		PWM6_TMR-&gt;COUNT8.CTRLA.bit.WAVEGEN = 2;      \
		while (PWM6_TMR-&gt;COUNT8.STATUS.bit.SYNCBUSY) \
			;                                        \
		PWM6_TMR-&gt;COUNT8.PER.reg = 255;              \
		while (PWM6_TMR-&gt;COUNT8.STATUS.bit.SYNCBUSY) \
			;                                        \
		PWM6_TMR-&gt;COUNT8.CTRLA.bit.ENABLE = 1;       \
		while (PWM6_TMR-&gt;COUNT8.STATUS.bit.SYNCBUSY) \
			;                                        \
	}
#define PWM6_DUTYCYCLE (PWM6_TMR-&gt;COUNT8.CC[PWM6_CHANNEL].reg)
#endif
#define DIO31_PMUX PWM6_PMUX
#define DIO31_PMUXVAL PWM6_PMUXVAL
#define DIO31_TMR PWM6_TMR
#define DIO31_CONFIG(presc) PWM6_CONFIG
#define DIO31_DUTYCYCLE PWM6_DUTYCYCLE
#endif</v>
      </c>
      <c r="I33" s="13" t="str">
        <f t="shared" si="5"/>
        <v>#if !(PWM6&lt;0)
mcu_config_pwm(PWM6);
#endif</v>
      </c>
      <c r="J33" s="4"/>
      <c r="K33" s="4"/>
      <c r="L33" s="4"/>
      <c r="M33" s="4"/>
    </row>
    <row r="34" spans="1:13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PWM7_GPIO (PORTREG(PWM7_PORT))
#define PWM7_PPORT (pinport(PWM7_PORT))
#define DIO32 32
#define DIO32_PORT PWM7_PORT
#define DIO32_BIT PWM7_BIT
#define DIO32_GPIO PWM7_GPIO
#define DIO32_PPORT PWM7_PPORT
#endif</v>
      </c>
      <c r="F34" s="9"/>
      <c r="G34" s="9"/>
      <c r="H34" s="9" t="str">
        <f t="shared" si="4"/>
        <v>#ifdef PWM7
#define PWM7_CLKCTRL gclk_clkctrl(PWM7_TIMER)
#define PWM7_PMUX (pinmux(PWM7_PORT, PWM7_BIT))
#define PWM7_PMUXVAL (pinmuxval(PWM7_MUX))
#if (PWM7_TIMER &lt; 3)
#define PWM7_TMR __helper__(TCC, PWM7_TIMER, )
#define PWM7_CONFIG                         \
	{                                         \
		PWM7_TMR-&gt;CTRLA.bit.SWRST = 1;        \
		while (PWM7_TMR-&gt;SYNCBUSY.bit.SWRST)  \
			;                                 \
		PWM7_TMR-&gt;CTRLA.bit.PRESCALER = 2;    \
		PWM7_TMR-&gt;WAVE.bit.WAVEGEN = 2;       \
		while (PWM7_TMR-&gt;SYNCBUSY.bit.WAVE)   \
			;                                 \
		PWM7_TMR-&gt;PER.bit.PER = 255;          \
		while (PWM7_TMR-&gt;SYNCBUSY.bit.PER)    \
			;                                 \
		PWM7_TMR-&gt;CTRLA.bit.ENABLE = 1;       \
		while (PWM7_TMR-&gt;SYNCBUSY.bit.ENABLE) \
			;                                 \
	}
#define PWM7_DUTYCYCLE (PWM7_TMR-&gt;CC[PWM7_CHANNEL].bit.CC)
#else
#define PWM7_TMR __helper__(TC, PWM7_TIMER, )
#define PWM7_CONFIG                                \
	{                                                \
		PWM7_TMR-&gt;COUNT8.CTRLA.bit.SWRST = 1;        \
		while (PWM7_TMR-&gt;COUNT8.STATUS.bit.SYNCBUSY) \
			;                                        \
		PWM7_TMR-&gt;COUNT8.CTRLA.bit.MODE = 1;         \
		PWM7_TMR-&gt;COUNT8.CTRLA.bit.PRESCALER = 2;    \
		PWM7_TMR-&gt;COUNT8.CTRLA.bit.WAVEGEN = 2;      \
		while (PWM7_TMR-&gt;COUNT8.STATUS.bit.SYNCBUSY) \
			;                                        \
		PWM7_TMR-&gt;COUNT8.PER.reg = 255;              \
		while (PWM7_TMR-&gt;COUNT8.STATUS.bit.SYNCBUSY) \
			;                                        \
		PWM7_TMR-&gt;COUNT8.CTRLA.bit.ENABLE = 1;       \
		while (PWM7_TMR-&gt;COUNT8.STATUS.bit.SYNCBUSY) \
			;                                        \
	}
#define PWM7_DUTYCYCLE (PWM7_TMR-&gt;COUNT8.CC[PWM7_CHANNEL].reg)
#endif
#define DIO32_PMUX PWM7_PMUX
#define DIO32_PMUXVAL PWM7_PMUXVAL
#define DIO32_TMR PWM7_TMR
#define DIO32_CONFIG(presc) PWM7_CONFIG
#define DIO32_DUTYCYCLE PWM7_DUTYCYCLE
#endif</v>
      </c>
      <c r="I34" s="13" t="str">
        <f t="shared" si="5"/>
        <v>#if !(PWM7&lt;0)
mcu_config_pwm(PWM7);
#endif</v>
      </c>
      <c r="J34" s="4"/>
      <c r="K34" s="4"/>
      <c r="L34" s="4"/>
      <c r="M34" s="4"/>
    </row>
    <row r="35" spans="1:13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PWM8_GPIO (PORTREG(PWM8_PORT))
#define PWM8_PPORT (pinport(PWM8_PORT))
#define DIO33 33
#define DIO33_PORT PWM8_PORT
#define DIO33_BIT PWM8_BIT
#define DIO33_GPIO PWM8_GPIO
#define DIO33_PPORT PWM8_PPORT
#endif</v>
      </c>
      <c r="F35" s="9"/>
      <c r="G35" s="9"/>
      <c r="H35" s="9" t="str">
        <f t="shared" si="4"/>
        <v>#ifdef PWM8
#define PWM8_CLKCTRL gclk_clkctrl(PWM8_TIMER)
#define PWM8_PMUX (pinmux(PWM8_PORT, PWM8_BIT))
#define PWM8_PMUXVAL (pinmuxval(PWM8_MUX))
#if (PWM8_TIMER &lt; 3)
#define PWM8_TMR __helper__(TCC, PWM8_TIMER, )
#define PWM8_CONFIG                         \
	{                                         \
		PWM8_TMR-&gt;CTRLA.bit.SWRST = 1;        \
		while (PWM8_TMR-&gt;SYNCBUSY.bit.SWRST)  \
			;                                 \
		PWM8_TMR-&gt;CTRLA.bit.PRESCALER = 2;    \
		PWM8_TMR-&gt;WAVE.bit.WAVEGEN = 2;       \
		while (PWM8_TMR-&gt;SYNCBUSY.bit.WAVE)   \
			;                                 \
		PWM8_TMR-&gt;PER.bit.PER = 255;          \
		while (PWM8_TMR-&gt;SYNCBUSY.bit.PER)    \
			;                                 \
		PWM8_TMR-&gt;CTRLA.bit.ENABLE = 1;       \
		while (PWM8_TMR-&gt;SYNCBUSY.bit.ENABLE) \
			;                                 \
	}
#define PWM8_DUTYCYCLE (PWM8_TMR-&gt;CC[PWM8_CHANNEL].bit.CC)
#else
#define PWM8_TMR __helper__(TC, PWM8_TIMER, )
#define PWM8_CONFIG                                \
	{                                                \
		PWM8_TMR-&gt;COUNT8.CTRLA.bit.SWRST = 1;        \
		while (PWM8_TMR-&gt;COUNT8.STATUS.bit.SYNCBUSY) \
			;                                        \
		PWM8_TMR-&gt;COUNT8.CTRLA.bit.MODE = 1;         \
		PWM8_TMR-&gt;COUNT8.CTRLA.bit.PRESCALER = 2;    \
		PWM8_TMR-&gt;COUNT8.CTRLA.bit.WAVEGEN = 2;      \
		while (PWM8_TMR-&gt;COUNT8.STATUS.bit.SYNCBUSY) \
			;                                        \
		PWM8_TMR-&gt;COUNT8.PER.reg = 255;              \
		while (PWM8_TMR-&gt;COUNT8.STATUS.bit.SYNCBUSY) \
			;                                        \
		PWM8_TMR-&gt;COUNT8.CTRLA.bit.ENABLE = 1;       \
		while (PWM8_TMR-&gt;COUNT8.STATUS.bit.SYNCBUSY) \
			;                                        \
	}
#define PWM8_DUTYCYCLE (PWM8_TMR-&gt;COUNT8.CC[PWM8_CHANNEL].reg)
#endif
#define DIO33_PMUX PWM8_PMUX
#define DIO33_PMUXVAL PWM8_PMUXVAL
#define DIO33_TMR PWM8_TMR
#define DIO33_CONFIG(presc) PWM8_CONFIG
#define DIO33_DUTYCYCLE PWM8_DUTYCYCLE
#endif</v>
      </c>
      <c r="I35" s="13" t="str">
        <f t="shared" si="5"/>
        <v>#if !(PWM8&lt;0)
mcu_config_pwm(PWM8);
#endif</v>
      </c>
      <c r="J35" s="4"/>
      <c r="K35" s="4"/>
      <c r="L35" s="4"/>
      <c r="M35" s="4"/>
    </row>
    <row r="36" spans="1:13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PWM9_GPIO (PORTREG(PWM9_PORT))
#define PWM9_PPORT (pinport(PWM9_PORT))
#define DIO34 34
#define DIO34_PORT PWM9_PORT
#define DIO34_BIT PWM9_BIT
#define DIO34_GPIO PWM9_GPIO
#define DIO34_PPORT PWM9_PPORT
#endif</v>
      </c>
      <c r="F36" s="9"/>
      <c r="G36" s="9"/>
      <c r="H36" s="9" t="str">
        <f t="shared" si="4"/>
        <v>#ifdef PWM9
#define PWM9_CLKCTRL gclk_clkctrl(PWM9_TIMER)
#define PWM9_PMUX (pinmux(PWM9_PORT, PWM9_BIT))
#define PWM9_PMUXVAL (pinmuxval(PWM9_MUX))
#if (PWM9_TIMER &lt; 3)
#define PWM9_TMR __helper__(TCC, PWM9_TIMER, )
#define PWM9_CONFIG                         \
	{                                         \
		PWM9_TMR-&gt;CTRLA.bit.SWRST = 1;        \
		while (PWM9_TMR-&gt;SYNCBUSY.bit.SWRST)  \
			;                                 \
		PWM9_TMR-&gt;CTRLA.bit.PRESCALER = 2;    \
		PWM9_TMR-&gt;WAVE.bit.WAVEGEN = 2;       \
		while (PWM9_TMR-&gt;SYNCBUSY.bit.WAVE)   \
			;                                 \
		PWM9_TMR-&gt;PER.bit.PER = 255;          \
		while (PWM9_TMR-&gt;SYNCBUSY.bit.PER)    \
			;                                 \
		PWM9_TMR-&gt;CTRLA.bit.ENABLE = 1;       \
		while (PWM9_TMR-&gt;SYNCBUSY.bit.ENABLE) \
			;                                 \
	}
#define PWM9_DUTYCYCLE (PWM9_TMR-&gt;CC[PWM9_CHANNEL].bit.CC)
#else
#define PWM9_TMR __helper__(TC, PWM9_TIMER, )
#define PWM9_CONFIG                                \
	{                                                \
		PWM9_TMR-&gt;COUNT8.CTRLA.bit.SWRST = 1;        \
		while (PWM9_TMR-&gt;COUNT8.STATUS.bit.SYNCBUSY) \
			;                                        \
		PWM9_TMR-&gt;COUNT8.CTRLA.bit.MODE = 1;         \
		PWM9_TMR-&gt;COUNT8.CTRLA.bit.PRESCALER = 2;    \
		PWM9_TMR-&gt;COUNT8.CTRLA.bit.WAVEGEN = 2;      \
		while (PWM9_TMR-&gt;COUNT8.STATUS.bit.SYNCBUSY) \
			;                                        \
		PWM9_TMR-&gt;COUNT8.PER.reg = 255;              \
		while (PWM9_TMR-&gt;COUNT8.STATUS.bit.SYNCBUSY) \
			;                                        \
		PWM9_TMR-&gt;COUNT8.CTRLA.bit.ENABLE = 1;       \
		while (PWM9_TMR-&gt;COUNT8.STATUS.bit.SYNCBUSY) \
			;                                        \
	}
#define PWM9_DUTYCYCLE (PWM9_TMR-&gt;COUNT8.CC[PWM9_CHANNEL].reg)
#endif
#define DIO34_PMUX PWM9_PMUX
#define DIO34_PMUXVAL PWM9_PMUXVAL
#define DIO34_TMR PWM9_TMR
#define DIO34_CONFIG(presc) PWM9_CONFIG
#define DIO34_DUTYCYCLE PWM9_DUTYCYCLE
#endif</v>
      </c>
      <c r="I36" s="13" t="str">
        <f t="shared" si="5"/>
        <v>#if !(PWM9&lt;0)
mcu_config_pwm(PWM9);
#endif</v>
      </c>
      <c r="J36" s="4"/>
      <c r="K36" s="4"/>
      <c r="L36" s="4"/>
      <c r="M36" s="4"/>
    </row>
    <row r="37" spans="1:13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PWM10_GPIO (PORTREG(PWM10_PORT))
#define PWM10_PPORT (pinport(PWM10_PORT))
#define DIO35 35
#define DIO35_PORT PWM10_PORT
#define DIO35_BIT PWM10_BIT
#define DIO35_GPIO PWM10_GPIO
#define DIO35_PPORT PWM10_PPORT
#endif</v>
      </c>
      <c r="F37" s="9"/>
      <c r="G37" s="9"/>
      <c r="H37" s="9" t="str">
        <f t="shared" si="4"/>
        <v>#ifdef PWM10
#define PWM10_CLKCTRL gclk_clkctrl(PWM10_TIMER)
#define PWM10_PMUX (pinmux(PWM10_PORT, PWM10_BIT))
#define PWM10_PMUXVAL (pinmuxval(PWM10_MUX))
#if (PWM10_TIMER &lt; 3)
#define PWM10_TMR __helper__(TCC, PWM10_TIMER, )
#define PWM10_CONFIG                         \
	{                                         \
		PWM10_TMR-&gt;CTRLA.bit.SWRST = 1;        \
		while (PWM10_TMR-&gt;SYNCBUSY.bit.SWRST)  \
			;                                 \
		PWM10_TMR-&gt;CTRLA.bit.PRESCALER = 2;    \
		PWM10_TMR-&gt;WAVE.bit.WAVEGEN = 2;       \
		while (PWM10_TMR-&gt;SYNCBUSY.bit.WAVE)   \
			;                                 \
		PWM10_TMR-&gt;PER.bit.PER = 255;          \
		while (PWM10_TMR-&gt;SYNCBUSY.bit.PER)    \
			;                                 \
		PWM10_TMR-&gt;CTRLA.bit.ENABLE = 1;       \
		while (PWM10_TMR-&gt;SYNCBUSY.bit.ENABLE) \
			;                                 \
	}
#define PWM10_DUTYCYCLE (PWM10_TMR-&gt;CC[PWM10_CHANNEL].bit.CC)
#else
#define PWM10_TMR __helper__(TC, PWM10_TIMER, )
#define PWM10_CONFIG                                \
	{                                                \
		PWM10_TMR-&gt;COUNT8.CTRLA.bit.SWRST = 1;        \
		while (PWM10_TMR-&gt;COUNT8.STATUS.bit.SYNCBUSY) \
			;                                        \
		PWM10_TMR-&gt;COUNT8.CTRLA.bit.MODE = 1;         \
		PWM10_TMR-&gt;COUNT8.CTRLA.bit.PRESCALER = 2;    \
		PWM10_TMR-&gt;COUNT8.CTRLA.bit.WAVEGEN = 2;      \
		while (PWM10_TMR-&gt;COUNT8.STATUS.bit.SYNCBUSY) \
			;                                        \
		PWM10_TMR-&gt;COUNT8.PER.reg = 255;              \
		while (PWM10_TMR-&gt;COUNT8.STATUS.bit.SYNCBUSY) \
			;                                        \
		PWM10_TMR-&gt;COUNT8.CTRLA.bit.ENABLE = 1;       \
		while (PWM10_TMR-&gt;COUNT8.STATUS.bit.SYNCBUSY) \
			;                                        \
	}
#define PWM10_DUTYCYCLE (PWM10_TMR-&gt;COUNT8.CC[PWM10_CHANNEL].reg)
#endif
#define DIO35_PMUX PWM10_PMUX
#define DIO35_PMUXVAL PWM10_PMUXVAL
#define DIO35_TMR PWM10_TMR
#define DIO35_CONFIG(presc) PWM10_CONFIG
#define DIO35_DUTYCYCLE PWM10_DUTYCYCLE
#endif</v>
      </c>
      <c r="I37" s="13" t="str">
        <f t="shared" si="5"/>
        <v>#if !(PWM10&lt;0)
mcu_config_pwm(PWM10);
#endif</v>
      </c>
      <c r="J37" s="4"/>
      <c r="K37" s="4"/>
      <c r="L37" s="4"/>
      <c r="M37" s="4"/>
    </row>
    <row r="38" spans="1:13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PWM11_GPIO (PORTREG(PWM11_PORT))
#define PWM11_PPORT (pinport(PWM11_PORT))
#define DIO36 36
#define DIO36_PORT PWM11_PORT
#define DIO36_BIT PWM11_BIT
#define DIO36_GPIO PWM11_GPIO
#define DIO36_PPORT PWM11_PPORT
#endif</v>
      </c>
      <c r="F38" s="9"/>
      <c r="G38" s="9"/>
      <c r="H38" s="9" t="str">
        <f t="shared" si="4"/>
        <v>#ifdef PWM11
#define PWM11_CLKCTRL gclk_clkctrl(PWM11_TIMER)
#define PWM11_PMUX (pinmux(PWM11_PORT, PWM11_BIT))
#define PWM11_PMUXVAL (pinmuxval(PWM11_MUX))
#if (PWM11_TIMER &lt; 3)
#define PWM11_TMR __helper__(TCC, PWM11_TIMER, )
#define PWM11_CONFIG                         \
	{                                         \
		PWM11_TMR-&gt;CTRLA.bit.SWRST = 1;        \
		while (PWM11_TMR-&gt;SYNCBUSY.bit.SWRST)  \
			;                                 \
		PWM11_TMR-&gt;CTRLA.bit.PRESCALER = 2;    \
		PWM11_TMR-&gt;WAVE.bit.WAVEGEN = 2;       \
		while (PWM11_TMR-&gt;SYNCBUSY.bit.WAVE)   \
			;                                 \
		PWM11_TMR-&gt;PER.bit.PER = 255;          \
		while (PWM11_TMR-&gt;SYNCBUSY.bit.PER)    \
			;                                 \
		PWM11_TMR-&gt;CTRLA.bit.ENABLE = 1;       \
		while (PWM11_TMR-&gt;SYNCBUSY.bit.ENABLE) \
			;                                 \
	}
#define PWM11_DUTYCYCLE (PWM11_TMR-&gt;CC[PWM11_CHANNEL].bit.CC)
#else
#define PWM11_TMR __helper__(TC, PWM11_TIMER, )
#define PWM11_CONFIG                                \
	{                                                \
		PWM11_TMR-&gt;COUNT8.CTRLA.bit.SWRST = 1;        \
		while (PWM11_TMR-&gt;COUNT8.STATUS.bit.SYNCBUSY) \
			;                                        \
		PWM11_TMR-&gt;COUNT8.CTRLA.bit.MODE = 1;         \
		PWM11_TMR-&gt;COUNT8.CTRLA.bit.PRESCALER = 2;    \
		PWM11_TMR-&gt;COUNT8.CTRLA.bit.WAVEGEN = 2;      \
		while (PWM11_TMR-&gt;COUNT8.STATUS.bit.SYNCBUSY) \
			;                                        \
		PWM11_TMR-&gt;COUNT8.PER.reg = 255;              \
		while (PWM11_TMR-&gt;COUNT8.STATUS.bit.SYNCBUSY) \
			;                                        \
		PWM11_TMR-&gt;COUNT8.CTRLA.bit.ENABLE = 1;       \
		while (PWM11_TMR-&gt;COUNT8.STATUS.bit.SYNCBUSY) \
			;                                        \
	}
#define PWM11_DUTYCYCLE (PWM11_TMR-&gt;COUNT8.CC[PWM11_CHANNEL].reg)
#endif
#define DIO36_PMUX PWM11_PMUX
#define DIO36_PMUXVAL PWM11_PMUXVAL
#define DIO36_TMR PWM11_TMR
#define DIO36_CONFIG(presc) PWM11_CONFIG
#define DIO36_DUTYCYCLE PWM11_DUTYCYCLE
#endif</v>
      </c>
      <c r="I38" s="13" t="str">
        <f t="shared" si="5"/>
        <v>#if !(PWM11&lt;0)
mcu_config_pwm(PWM11);
#endif</v>
      </c>
      <c r="J38" s="4"/>
      <c r="K38" s="4"/>
      <c r="L38" s="4"/>
      <c r="M38" s="4"/>
    </row>
    <row r="39" spans="1:13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PWM12_GPIO (PORTREG(PWM12_PORT))
#define PWM12_PPORT (pinport(PWM12_PORT))
#define DIO37 37
#define DIO37_PORT PWM12_PORT
#define DIO37_BIT PWM12_BIT
#define DIO37_GPIO PWM12_GPIO
#define DIO37_PPORT PWM12_PPORT
#endif</v>
      </c>
      <c r="F39" s="9"/>
      <c r="G39" s="9"/>
      <c r="H39" s="9" t="str">
        <f t="shared" si="4"/>
        <v>#ifdef PWM12
#define PWM12_CLKCTRL gclk_clkctrl(PWM12_TIMER)
#define PWM12_PMUX (pinmux(PWM12_PORT, PWM12_BIT))
#define PWM12_PMUXVAL (pinmuxval(PWM12_MUX))
#if (PWM12_TIMER &lt; 3)
#define PWM12_TMR __helper__(TCC, PWM12_TIMER, )
#define PWM12_CONFIG                         \
	{                                         \
		PWM12_TMR-&gt;CTRLA.bit.SWRST = 1;        \
		while (PWM12_TMR-&gt;SYNCBUSY.bit.SWRST)  \
			;                                 \
		PWM12_TMR-&gt;CTRLA.bit.PRESCALER = 2;    \
		PWM12_TMR-&gt;WAVE.bit.WAVEGEN = 2;       \
		while (PWM12_TMR-&gt;SYNCBUSY.bit.WAVE)   \
			;                                 \
		PWM12_TMR-&gt;PER.bit.PER = 255;          \
		while (PWM12_TMR-&gt;SYNCBUSY.bit.PER)    \
			;                                 \
		PWM12_TMR-&gt;CTRLA.bit.ENABLE = 1;       \
		while (PWM12_TMR-&gt;SYNCBUSY.bit.ENABLE) \
			;                                 \
	}
#define PWM12_DUTYCYCLE (PWM12_TMR-&gt;CC[PWM12_CHANNEL].bit.CC)
#else
#define PWM12_TMR __helper__(TC, PWM12_TIMER, )
#define PWM12_CONFIG                                \
	{                                                \
		PWM12_TMR-&gt;COUNT8.CTRLA.bit.SWRST = 1;        \
		while (PWM12_TMR-&gt;COUNT8.STATUS.bit.SYNCBUSY) \
			;                                        \
		PWM12_TMR-&gt;COUNT8.CTRLA.bit.MODE = 1;         \
		PWM12_TMR-&gt;COUNT8.CTRLA.bit.PRESCALER = 2;    \
		PWM12_TMR-&gt;COUNT8.CTRLA.bit.WAVEGEN = 2;      \
		while (PWM12_TMR-&gt;COUNT8.STATUS.bit.SYNCBUSY) \
			;                                        \
		PWM12_TMR-&gt;COUNT8.PER.reg = 255;              \
		while (PWM12_TMR-&gt;COUNT8.STATUS.bit.SYNCBUSY) \
			;                                        \
		PWM12_TMR-&gt;COUNT8.CTRLA.bit.ENABLE = 1;       \
		while (PWM12_TMR-&gt;COUNT8.STATUS.bit.SYNCBUSY) \
			;                                        \
	}
#define PWM12_DUTYCYCLE (PWM12_TMR-&gt;COUNT8.CC[PWM12_CHANNEL].reg)
#endif
#define DIO37_PMUX PWM12_PMUX
#define DIO37_PMUXVAL PWM12_PMUXVAL
#define DIO37_TMR PWM12_TMR
#define DIO37_CONFIG(presc) PWM12_CONFIG
#define DIO37_DUTYCYCLE PWM12_DUTYCYCLE
#endif</v>
      </c>
      <c r="I39" s="13" t="str">
        <f t="shared" si="5"/>
        <v>#if !(PWM12&lt;0)
mcu_config_pwm(PWM12);
#endif</v>
      </c>
      <c r="J39" s="4"/>
      <c r="K39" s="4"/>
      <c r="L39" s="4"/>
      <c r="M39" s="4"/>
    </row>
    <row r="40" spans="1:13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PWM13_GPIO (PORTREG(PWM13_PORT))
#define PWM13_PPORT (pinport(PWM13_PORT))
#define DIO38 38
#define DIO38_PORT PWM13_PORT
#define DIO38_BIT PWM13_BIT
#define DIO38_GPIO PWM13_GPIO
#define DIO38_PPORT PWM13_PPORT
#endif</v>
      </c>
      <c r="F40" s="9"/>
      <c r="G40" s="9"/>
      <c r="H40" s="9" t="str">
        <f t="shared" si="4"/>
        <v>#ifdef PWM13
#define PWM13_CLKCTRL gclk_clkctrl(PWM13_TIMER)
#define PWM13_PMUX (pinmux(PWM13_PORT, PWM13_BIT))
#define PWM13_PMUXVAL (pinmuxval(PWM13_MUX))
#if (PWM13_TIMER &lt; 3)
#define PWM13_TMR __helper__(TCC, PWM13_TIMER, )
#define PWM13_CONFIG                         \
	{                                         \
		PWM13_TMR-&gt;CTRLA.bit.SWRST = 1;        \
		while (PWM13_TMR-&gt;SYNCBUSY.bit.SWRST)  \
			;                                 \
		PWM13_TMR-&gt;CTRLA.bit.PRESCALER = 2;    \
		PWM13_TMR-&gt;WAVE.bit.WAVEGEN = 2;       \
		while (PWM13_TMR-&gt;SYNCBUSY.bit.WAVE)   \
			;                                 \
		PWM13_TMR-&gt;PER.bit.PER = 255;          \
		while (PWM13_TMR-&gt;SYNCBUSY.bit.PER)    \
			;                                 \
		PWM13_TMR-&gt;CTRLA.bit.ENABLE = 1;       \
		while (PWM13_TMR-&gt;SYNCBUSY.bit.ENABLE) \
			;                                 \
	}
#define PWM13_DUTYCYCLE (PWM13_TMR-&gt;CC[PWM13_CHANNEL].bit.CC)
#else
#define PWM13_TMR __helper__(TC, PWM13_TIMER, )
#define PWM13_CONFIG                                \
	{                                                \
		PWM13_TMR-&gt;COUNT8.CTRLA.bit.SWRST = 1;        \
		while (PWM13_TMR-&gt;COUNT8.STATUS.bit.SYNCBUSY) \
			;                                        \
		PWM13_TMR-&gt;COUNT8.CTRLA.bit.MODE = 1;         \
		PWM13_TMR-&gt;COUNT8.CTRLA.bit.PRESCALER = 2;    \
		PWM13_TMR-&gt;COUNT8.CTRLA.bit.WAVEGEN = 2;      \
		while (PWM13_TMR-&gt;COUNT8.STATUS.bit.SYNCBUSY) \
			;                                        \
		PWM13_TMR-&gt;COUNT8.PER.reg = 255;              \
		while (PWM13_TMR-&gt;COUNT8.STATUS.bit.SYNCBUSY) \
			;                                        \
		PWM13_TMR-&gt;COUNT8.CTRLA.bit.ENABLE = 1;       \
		while (PWM13_TMR-&gt;COUNT8.STATUS.bit.SYNCBUSY) \
			;                                        \
	}
#define PWM13_DUTYCYCLE (PWM13_TMR-&gt;COUNT8.CC[PWM13_CHANNEL].reg)
#endif
#define DIO38_PMUX PWM13_PMUX
#define DIO38_PMUXVAL PWM13_PMUXVAL
#define DIO38_TMR PWM13_TMR
#define DIO38_CONFIG(presc) PWM13_CONFIG
#define DIO38_DUTYCYCLE PWM13_DUTYCYCLE
#endif</v>
      </c>
      <c r="I40" s="13" t="str">
        <f t="shared" si="5"/>
        <v>#if !(PWM13&lt;0)
mcu_config_pwm(PWM13);
#endif</v>
      </c>
      <c r="J40" s="4"/>
      <c r="K40" s="4"/>
      <c r="L40" s="4"/>
      <c r="M40" s="4"/>
    </row>
    <row r="41" spans="1:13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PWM14_GPIO (PORTREG(PWM14_PORT))
#define PWM14_PPORT (pinport(PWM14_PORT))
#define DIO39 39
#define DIO39_PORT PWM14_PORT
#define DIO39_BIT PWM14_BIT
#define DIO39_GPIO PWM14_GPIO
#define DIO39_PPORT PWM14_PPORT
#endif</v>
      </c>
      <c r="F41" s="9"/>
      <c r="G41" s="9"/>
      <c r="H41" s="9" t="str">
        <f t="shared" si="4"/>
        <v>#ifdef PWM14
#define PWM14_CLKCTRL gclk_clkctrl(PWM14_TIMER)
#define PWM14_PMUX (pinmux(PWM14_PORT, PWM14_BIT))
#define PWM14_PMUXVAL (pinmuxval(PWM14_MUX))
#if (PWM14_TIMER &lt; 3)
#define PWM14_TMR __helper__(TCC, PWM14_TIMER, )
#define PWM14_CONFIG                         \
	{                                         \
		PWM14_TMR-&gt;CTRLA.bit.SWRST = 1;        \
		while (PWM14_TMR-&gt;SYNCBUSY.bit.SWRST)  \
			;                                 \
		PWM14_TMR-&gt;CTRLA.bit.PRESCALER = 2;    \
		PWM14_TMR-&gt;WAVE.bit.WAVEGEN = 2;       \
		while (PWM14_TMR-&gt;SYNCBUSY.bit.WAVE)   \
			;                                 \
		PWM14_TMR-&gt;PER.bit.PER = 255;          \
		while (PWM14_TMR-&gt;SYNCBUSY.bit.PER)    \
			;                                 \
		PWM14_TMR-&gt;CTRLA.bit.ENABLE = 1;       \
		while (PWM14_TMR-&gt;SYNCBUSY.bit.ENABLE) \
			;                                 \
	}
#define PWM14_DUTYCYCLE (PWM14_TMR-&gt;CC[PWM14_CHANNEL].bit.CC)
#else
#define PWM14_TMR __helper__(TC, PWM14_TIMER, )
#define PWM14_CONFIG                                \
	{                                                \
		PWM14_TMR-&gt;COUNT8.CTRLA.bit.SWRST = 1;        \
		while (PWM14_TMR-&gt;COUNT8.STATUS.bit.SYNCBUSY) \
			;                                        \
		PWM14_TMR-&gt;COUNT8.CTRLA.bit.MODE = 1;         \
		PWM14_TMR-&gt;COUNT8.CTRLA.bit.PRESCALER = 2;    \
		PWM14_TMR-&gt;COUNT8.CTRLA.bit.WAVEGEN = 2;      \
		while (PWM14_TMR-&gt;COUNT8.STATUS.bit.SYNCBUSY) \
			;                                        \
		PWM14_TMR-&gt;COUNT8.PER.reg = 255;              \
		while (PWM14_TMR-&gt;COUNT8.STATUS.bit.SYNCBUSY) \
			;                                        \
		PWM14_TMR-&gt;COUNT8.CTRLA.bit.ENABLE = 1;       \
		while (PWM14_TMR-&gt;COUNT8.STATUS.bit.SYNCBUSY) \
			;                                        \
	}
#define PWM14_DUTYCYCLE (PWM14_TMR-&gt;COUNT8.CC[PWM14_CHANNEL].reg)
#endif
#define DIO39_PMUX PWM14_PMUX
#define DIO39_PMUXVAL PWM14_PMUXVAL
#define DIO39_TMR PWM14_TMR
#define DIO39_CONFIG(presc) PWM14_CONFIG
#define DIO39_DUTYCYCLE PWM14_DUTYCYCLE
#endif</v>
      </c>
      <c r="I41" s="13" t="str">
        <f t="shared" si="5"/>
        <v>#if !(PWM14&lt;0)
mcu_config_pwm(PWM14);
#endif</v>
      </c>
      <c r="J41" s="4"/>
      <c r="K41" s="4"/>
      <c r="L41" s="4"/>
      <c r="M41" s="4"/>
    </row>
    <row r="42" spans="1:13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PWM15_GPIO (PORTREG(PWM15_PORT))
#define PWM15_PPORT (pinport(PWM15_PORT))
#define DIO40 40
#define DIO40_PORT PWM15_PORT
#define DIO40_BIT PWM15_BIT
#define DIO40_GPIO PWM15_GPIO
#define DIO40_PPORT PWM15_PPORT
#endif</v>
      </c>
      <c r="F42" s="9"/>
      <c r="G42" s="9"/>
      <c r="H42" s="9" t="str">
        <f t="shared" si="4"/>
        <v>#ifdef PWM15
#define PWM15_CLKCTRL gclk_clkctrl(PWM15_TIMER)
#define PWM15_PMUX (pinmux(PWM15_PORT, PWM15_BIT))
#define PWM15_PMUXVAL (pinmuxval(PWM15_MUX))
#if (PWM15_TIMER &lt; 3)
#define PWM15_TMR __helper__(TCC, PWM15_TIMER, )
#define PWM15_CONFIG                         \
	{                                         \
		PWM15_TMR-&gt;CTRLA.bit.SWRST = 1;        \
		while (PWM15_TMR-&gt;SYNCBUSY.bit.SWRST)  \
			;                                 \
		PWM15_TMR-&gt;CTRLA.bit.PRESCALER = 2;    \
		PWM15_TMR-&gt;WAVE.bit.WAVEGEN = 2;       \
		while (PWM15_TMR-&gt;SYNCBUSY.bit.WAVE)   \
			;                                 \
		PWM15_TMR-&gt;PER.bit.PER = 255;          \
		while (PWM15_TMR-&gt;SYNCBUSY.bit.PER)    \
			;                                 \
		PWM15_TMR-&gt;CTRLA.bit.ENABLE = 1;       \
		while (PWM15_TMR-&gt;SYNCBUSY.bit.ENABLE) \
			;                                 \
	}
#define PWM15_DUTYCYCLE (PWM15_TMR-&gt;CC[PWM15_CHANNEL].bit.CC)
#else
#define PWM15_TMR __helper__(TC, PWM15_TIMER, )
#define PWM15_CONFIG                                \
	{                                                \
		PWM15_TMR-&gt;COUNT8.CTRLA.bit.SWRST = 1;        \
		while (PWM15_TMR-&gt;COUNT8.STATUS.bit.SYNCBUSY) \
			;                                        \
		PWM15_TMR-&gt;COUNT8.CTRLA.bit.MODE = 1;         \
		PWM15_TMR-&gt;COUNT8.CTRLA.bit.PRESCALER = 2;    \
		PWM15_TMR-&gt;COUNT8.CTRLA.bit.WAVEGEN = 2;      \
		while (PWM15_TMR-&gt;COUNT8.STATUS.bit.SYNCBUSY) \
			;                                        \
		PWM15_TMR-&gt;COUNT8.PER.reg = 255;              \
		while (PWM15_TMR-&gt;COUNT8.STATUS.bit.SYNCBUSY) \
			;                                        \
		PWM15_TMR-&gt;COUNT8.CTRLA.bit.ENABLE = 1;       \
		while (PWM15_TMR-&gt;COUNT8.STATUS.bit.SYNCBUSY) \
			;                                        \
	}
#define PWM15_DUTYCYCLE (PWM15_TMR-&gt;COUNT8.CC[PWM15_CHANNEL].reg)
#endif
#define DIO40_PMUX PWM15_PMUX
#define DIO40_PMUXVAL PWM15_PMUXVAL
#define DIO40_TMR PWM15_TMR
#define DIO40_CONFIG(presc) PWM15_CONFIG
#define DIO40_DUTYCYCLE PWM15_DUTYCYCLE
#endif</v>
      </c>
      <c r="I42" s="13" t="str">
        <f t="shared" si="5"/>
        <v>#if !(PWM15&lt;0)
mcu_config_pwm(PWM15);
#endif</v>
      </c>
      <c r="J42" s="4"/>
      <c r="K42" s="4"/>
      <c r="L42" s="4"/>
      <c r="M42" s="4"/>
    </row>
    <row r="43" spans="1:13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1"/>
        <v>#if (defined(SERVO0_PORT) &amp;&amp; defined(SERVO0_BIT))
#define SERVO0 41
#define SERVO0_GPIO (PORTREG(SERVO0_PORT))
#define SERVO0_PPORT (pinport(SERVO0_PORT))
#define DIO41 41
#define DIO41_PORT SERVO0_PORT
#define DIO41_BIT SERVO0_BIT
#define DIO41_GPIO SERVO0_GPIO
#define DIO41_PPORT SERVO0_PPORT
#endif</v>
      </c>
      <c r="F43" s="9"/>
      <c r="G43" s="9"/>
      <c r="H43" s="9"/>
      <c r="I43" s="13" t="str">
        <f>"#if !("&amp;C43&amp;"&lt;0)
mcu_config_output("&amp;C43&amp;");
#endif"</f>
        <v>#if !(SERVO0&lt;0)
mcu_config_output(SERVO0);
#endif</v>
      </c>
      <c r="J43" s="4"/>
      <c r="K43" s="4"/>
      <c r="L43" s="4"/>
      <c r="M43" s="4"/>
    </row>
    <row r="44" spans="1:13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1"/>
        <v>#if (defined(SERVO1_PORT) &amp;&amp; defined(SERVO1_BIT))
#define SERVO1 42
#define SERVO1_GPIO (PORTREG(SERVO1_PORT))
#define SERVO1_PPORT (pinport(SERVO1_PORT))
#define DIO42 42
#define DIO42_PORT SERVO1_PORT
#define DIO42_BIT SERVO1_BIT
#define DIO42_GPIO SERVO1_GPIO
#define DIO42_PPORT SERVO1_PPORT
#endif</v>
      </c>
      <c r="F44" s="9"/>
      <c r="G44" s="9"/>
      <c r="H44" s="9"/>
      <c r="I44" s="13" t="str">
        <f t="shared" ref="I44:I80" si="6">"#if !("&amp;C44&amp;"&lt;0)
mcu_config_output("&amp;C44&amp;");
#endif"</f>
        <v>#if !(SERVO1&lt;0)
mcu_config_output(SERVO1);
#endif</v>
      </c>
      <c r="J44" s="4"/>
      <c r="K44" s="4"/>
      <c r="L44" s="4"/>
      <c r="M44" s="4"/>
    </row>
    <row r="45" spans="1:13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1"/>
        <v>#if (defined(SERVO2_PORT) &amp;&amp; defined(SERVO2_BIT))
#define SERVO2 43
#define SERVO2_GPIO (PORTREG(SERVO2_PORT))
#define SERVO2_PPORT (pinport(SERVO2_PORT))
#define DIO43 43
#define DIO43_PORT SERVO2_PORT
#define DIO43_BIT SERVO2_BIT
#define DIO43_GPIO SERVO2_GPIO
#define DIO43_PPORT SERVO2_PPORT
#endif</v>
      </c>
      <c r="F45" s="9"/>
      <c r="G45" s="9"/>
      <c r="H45" s="9"/>
      <c r="I45" s="13" t="str">
        <f t="shared" si="6"/>
        <v>#if !(SERVO2&lt;0)
mcu_config_output(SERVO2);
#endif</v>
      </c>
      <c r="J45" s="4"/>
      <c r="K45" s="4"/>
      <c r="L45" s="4"/>
      <c r="M45" s="4"/>
    </row>
    <row r="46" spans="1:13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1"/>
        <v>#if (defined(SERVO3_PORT) &amp;&amp; defined(SERVO3_BIT))
#define SERVO3 44
#define SERVO3_GPIO (PORTREG(SERVO3_PORT))
#define SERVO3_PPORT (pinport(SERVO3_PORT))
#define DIO44 44
#define DIO44_PORT SERVO3_PORT
#define DIO44_BIT SERVO3_BIT
#define DIO44_GPIO SERVO3_GPIO
#define DIO44_PPORT SERVO3_PPORT
#endif</v>
      </c>
      <c r="F46" s="9"/>
      <c r="G46" s="9"/>
      <c r="H46" s="9"/>
      <c r="I46" s="13" t="str">
        <f t="shared" si="6"/>
        <v>#if !(SERVO3&lt;0)
mcu_config_output(SERVO3);
#endif</v>
      </c>
      <c r="J46" s="4"/>
      <c r="K46" s="4"/>
      <c r="L46" s="4"/>
      <c r="M46" s="4"/>
    </row>
    <row r="47" spans="1:13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1"/>
        <v>#if (defined(SERVO4_PORT) &amp;&amp; defined(SERVO4_BIT))
#define SERVO4 45
#define SERVO4_GPIO (PORTREG(SERVO4_PORT))
#define SERVO4_PPORT (pinport(SERVO4_PORT))
#define DIO45 45
#define DIO45_PORT SERVO4_PORT
#define DIO45_BIT SERVO4_BIT
#define DIO45_GPIO SERVO4_GPIO
#define DIO45_PPORT SERVO4_PPORT
#endif</v>
      </c>
      <c r="F47" s="9"/>
      <c r="G47" s="9"/>
      <c r="H47" s="9"/>
      <c r="I47" s="13" t="str">
        <f t="shared" si="6"/>
        <v>#if !(SERVO4&lt;0)
mcu_config_output(SERVO4);
#endif</v>
      </c>
      <c r="J47" s="4"/>
      <c r="K47" s="4"/>
      <c r="L47" s="4"/>
      <c r="M47" s="4"/>
    </row>
    <row r="48" spans="1:13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1"/>
        <v>#if (defined(SERVO5_PORT) &amp;&amp; defined(SERVO5_BIT))
#define SERVO5 46
#define SERVO5_GPIO (PORTREG(SERVO5_PORT))
#define SERVO5_PPORT (pinport(SERVO5_PORT))
#define DIO46 46
#define DIO46_PORT SERVO5_PORT
#define DIO46_BIT SERVO5_BIT
#define DIO46_GPIO SERVO5_GPIO
#define DIO46_PPORT SERVO5_PPORT
#endif</v>
      </c>
      <c r="F48" s="9"/>
      <c r="G48" s="9"/>
      <c r="H48" s="9"/>
      <c r="I48" s="13" t="str">
        <f t="shared" si="6"/>
        <v>#if !(SERVO5&lt;0)
mcu_config_output(SERVO5);
#endif</v>
      </c>
      <c r="J48" s="4"/>
      <c r="K48" s="4"/>
      <c r="L48" s="4"/>
      <c r="M48" s="4"/>
    </row>
    <row r="49" spans="1:13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DOUT0_GPIO (PORTREG(DOUT0_PORT))
#define DOUT0_PPORT (pinport(DOUT0_PORT))
#define DIO47 47
#define DIO47_PORT DOUT0_PORT
#define DIO47_BIT DOUT0_BIT
#define DIO47_GPIO DOUT0_GPIO
#define DIO47_PPORT DOUT0_PPORT
#endif</v>
      </c>
      <c r="F49" s="9"/>
      <c r="G49" s="9"/>
      <c r="H49" s="9"/>
      <c r="I49" s="13" t="str">
        <f t="shared" si="6"/>
        <v>#if !(DOUT0&lt;0)
mcu_config_output(DOUT0);
#endif</v>
      </c>
      <c r="J49" s="4"/>
      <c r="K49" s="4"/>
      <c r="L49" s="4"/>
      <c r="M49" s="4"/>
    </row>
    <row r="50" spans="1:13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DOUT1_GPIO (PORTREG(DOUT1_PORT))
#define DOUT1_PPORT (pinport(DOUT1_PORT))
#define DIO48 48
#define DIO48_PORT DOUT1_PORT
#define DIO48_BIT DOUT1_BIT
#define DIO48_GPIO DOUT1_GPIO
#define DIO48_PPORT DOUT1_PPORT
#endif</v>
      </c>
      <c r="F50" s="9"/>
      <c r="G50" s="9"/>
      <c r="H50" s="9"/>
      <c r="I50" s="13" t="str">
        <f t="shared" si="6"/>
        <v>#if !(DOUT1&lt;0)
mcu_config_output(DOUT1);
#endif</v>
      </c>
      <c r="J50" s="4"/>
      <c r="K50" s="4"/>
      <c r="L50" s="4"/>
      <c r="M50" s="4"/>
    </row>
    <row r="51" spans="1:13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DOUT2_GPIO (PORTREG(DOUT2_PORT))
#define DOUT2_PPORT (pinport(DOUT2_PORT))
#define DIO49 49
#define DIO49_PORT DOUT2_PORT
#define DIO49_BIT DOUT2_BIT
#define DIO49_GPIO DOUT2_GPIO
#define DIO49_PPORT DOUT2_PPORT
#endif</v>
      </c>
      <c r="F51" s="9"/>
      <c r="G51" s="9"/>
      <c r="H51" s="9"/>
      <c r="I51" s="13" t="str">
        <f t="shared" si="6"/>
        <v>#if !(DOUT2&lt;0)
mcu_config_output(DOUT2);
#endif</v>
      </c>
      <c r="J51" s="4"/>
      <c r="K51" s="4"/>
      <c r="L51" s="4"/>
      <c r="M51" s="4"/>
    </row>
    <row r="52" spans="1:13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DOUT3_GPIO (PORTREG(DOUT3_PORT))
#define DOUT3_PPORT (pinport(DOUT3_PORT))
#define DIO50 50
#define DIO50_PORT DOUT3_PORT
#define DIO50_BIT DOUT3_BIT
#define DIO50_GPIO DOUT3_GPIO
#define DIO50_PPORT DOUT3_PPORT
#endif</v>
      </c>
      <c r="F52" s="9"/>
      <c r="G52" s="9"/>
      <c r="H52" s="9"/>
      <c r="I52" s="13" t="str">
        <f t="shared" si="6"/>
        <v>#if !(DOUT3&lt;0)
mcu_config_output(DOUT3);
#endif</v>
      </c>
      <c r="J52" s="4"/>
      <c r="K52" s="4"/>
      <c r="L52" s="4"/>
      <c r="M52" s="4"/>
    </row>
    <row r="53" spans="1:13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DOUT4_GPIO (PORTREG(DOUT4_PORT))
#define DOUT4_PPORT (pinport(DOUT4_PORT))
#define DIO51 51
#define DIO51_PORT DOUT4_PORT
#define DIO51_BIT DOUT4_BIT
#define DIO51_GPIO DOUT4_GPIO
#define DIO51_PPORT DOUT4_PPORT
#endif</v>
      </c>
      <c r="F53" s="9"/>
      <c r="G53" s="9"/>
      <c r="H53" s="9"/>
      <c r="I53" s="13" t="str">
        <f t="shared" si="6"/>
        <v>#if !(DOUT4&lt;0)
mcu_config_output(DOUT4);
#endif</v>
      </c>
      <c r="J53" s="4"/>
      <c r="K53" s="4"/>
      <c r="L53" s="4"/>
      <c r="M53" s="4"/>
    </row>
    <row r="54" spans="1:13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DOUT5_GPIO (PORTREG(DOUT5_PORT))
#define DOUT5_PPORT (pinport(DOUT5_PORT))
#define DIO52 52
#define DIO52_PORT DOUT5_PORT
#define DIO52_BIT DOUT5_BIT
#define DIO52_GPIO DOUT5_GPIO
#define DIO52_PPORT DOUT5_PPORT
#endif</v>
      </c>
      <c r="F54" s="9"/>
      <c r="G54" s="9"/>
      <c r="H54" s="9"/>
      <c r="I54" s="13" t="str">
        <f t="shared" si="6"/>
        <v>#if !(DOUT5&lt;0)
mcu_config_output(DOUT5);
#endif</v>
      </c>
      <c r="J54" s="4"/>
      <c r="K54" s="4"/>
      <c r="L54" s="4"/>
      <c r="M54" s="4"/>
    </row>
    <row r="55" spans="1:13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DOUT6_GPIO (PORTREG(DOUT6_PORT))
#define DOUT6_PPORT (pinport(DOUT6_PORT))
#define DIO53 53
#define DIO53_PORT DOUT6_PORT
#define DIO53_BIT DOUT6_BIT
#define DIO53_GPIO DOUT6_GPIO
#define DIO53_PPORT DOUT6_PPORT
#endif</v>
      </c>
      <c r="F55" s="9"/>
      <c r="G55" s="9"/>
      <c r="H55" s="9"/>
      <c r="I55" s="13" t="str">
        <f t="shared" si="6"/>
        <v>#if !(DOUT6&lt;0)
mcu_config_output(DOUT6);
#endif</v>
      </c>
      <c r="J55" s="4"/>
      <c r="K55" s="4"/>
      <c r="L55" s="4"/>
      <c r="M55" s="4"/>
    </row>
    <row r="56" spans="1:13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DOUT7_GPIO (PORTREG(DOUT7_PORT))
#define DOUT7_PPORT (pinport(DOUT7_PORT))
#define DIO54 54
#define DIO54_PORT DOUT7_PORT
#define DIO54_BIT DOUT7_BIT
#define DIO54_GPIO DOUT7_GPIO
#define DIO54_PPORT DOUT7_PPORT
#endif</v>
      </c>
      <c r="F56" s="9"/>
      <c r="G56" s="9"/>
      <c r="H56" s="9"/>
      <c r="I56" s="13" t="str">
        <f t="shared" si="6"/>
        <v>#if !(DOUT7&lt;0)
mcu_config_output(DOUT7);
#endif</v>
      </c>
      <c r="J56" s="4"/>
      <c r="K56" s="4"/>
      <c r="L56" s="4"/>
      <c r="M56" s="4"/>
    </row>
    <row r="57" spans="1:13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DOUT8_GPIO (PORTREG(DOUT8_PORT))
#define DOUT8_PPORT (pinport(DOUT8_PORT))
#define DIO55 55
#define DIO55_PORT DOUT8_PORT
#define DIO55_BIT DOUT8_BIT
#define DIO55_GPIO DOUT8_GPIO
#define DIO55_PPORT DOUT8_PPORT
#endif</v>
      </c>
      <c r="F57" s="9"/>
      <c r="G57" s="9"/>
      <c r="H57" s="9"/>
      <c r="I57" s="13" t="str">
        <f t="shared" si="6"/>
        <v>#if !(DOUT8&lt;0)
mcu_config_output(DOUT8);
#endif</v>
      </c>
      <c r="J57" s="4"/>
      <c r="K57" s="4"/>
      <c r="L57" s="4"/>
      <c r="M57" s="4"/>
    </row>
    <row r="58" spans="1:13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DOUT9_GPIO (PORTREG(DOUT9_PORT))
#define DOUT9_PPORT (pinport(DOUT9_PORT))
#define DIO56 56
#define DIO56_PORT DOUT9_PORT
#define DIO56_BIT DOUT9_BIT
#define DIO56_GPIO DOUT9_GPIO
#define DIO56_PPORT DOUT9_PPORT
#endif</v>
      </c>
      <c r="F58" s="9"/>
      <c r="G58" s="9"/>
      <c r="H58" s="9"/>
      <c r="I58" s="13" t="str">
        <f t="shared" si="6"/>
        <v>#if !(DOUT9&lt;0)
mcu_config_output(DOUT9);
#endif</v>
      </c>
      <c r="J58" s="4"/>
      <c r="K58" s="4"/>
      <c r="L58" s="4"/>
      <c r="M58" s="4"/>
    </row>
    <row r="59" spans="1:13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DOUT10_GPIO (PORTREG(DOUT10_PORT))
#define DOUT10_PPORT (pinport(DOUT10_PORT))
#define DIO57 57
#define DIO57_PORT DOUT10_PORT
#define DIO57_BIT DOUT10_BIT
#define DIO57_GPIO DOUT10_GPIO
#define DIO57_PPORT DOUT10_PPORT
#endif</v>
      </c>
      <c r="F59" s="9"/>
      <c r="G59" s="9"/>
      <c r="H59" s="9"/>
      <c r="I59" s="13" t="str">
        <f t="shared" si="6"/>
        <v>#if !(DOUT10&lt;0)
mcu_config_output(DOUT10);
#endif</v>
      </c>
      <c r="J59" s="4"/>
      <c r="K59" s="4"/>
      <c r="L59" s="4"/>
      <c r="M59" s="4"/>
    </row>
    <row r="60" spans="1:13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DOUT11_GPIO (PORTREG(DOUT11_PORT))
#define DOUT11_PPORT (pinport(DOUT11_PORT))
#define DIO58 58
#define DIO58_PORT DOUT11_PORT
#define DIO58_BIT DOUT11_BIT
#define DIO58_GPIO DOUT11_GPIO
#define DIO58_PPORT DOUT11_PPORT
#endif</v>
      </c>
      <c r="F60" s="12"/>
      <c r="G60" s="9"/>
      <c r="H60" s="9"/>
      <c r="I60" s="13" t="str">
        <f t="shared" si="6"/>
        <v>#if !(DOUT11&lt;0)
mcu_config_output(DOUT11);
#endif</v>
      </c>
      <c r="J60" s="4"/>
      <c r="K60" s="4"/>
      <c r="L60" s="4"/>
      <c r="M60" s="4"/>
    </row>
    <row r="61" spans="1:13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DOUT12_GPIO (PORTREG(DOUT12_PORT))
#define DOUT12_PPORT (pinport(DOUT12_PORT))
#define DIO59 59
#define DIO59_PORT DOUT12_PORT
#define DIO59_BIT DOUT12_BIT
#define DIO59_GPIO DOUT12_GPIO
#define DIO59_PPORT DOUT12_PPORT
#endif</v>
      </c>
      <c r="F61" s="12"/>
      <c r="G61" s="9"/>
      <c r="H61" s="9"/>
      <c r="I61" s="13" t="str">
        <f t="shared" si="6"/>
        <v>#if !(DOUT12&lt;0)
mcu_config_output(DOUT12);
#endif</v>
      </c>
      <c r="J61" s="4"/>
      <c r="K61" s="4"/>
      <c r="L61" s="4"/>
      <c r="M61" s="4"/>
    </row>
    <row r="62" spans="1:13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DOUT13_GPIO (PORTREG(DOUT13_PORT))
#define DOUT13_PPORT (pinport(DOUT13_PORT))
#define DIO60 60
#define DIO60_PORT DOUT13_PORT
#define DIO60_BIT DOUT13_BIT
#define DIO60_GPIO DOUT13_GPIO
#define DIO60_PPORT DOUT13_PPORT
#endif</v>
      </c>
      <c r="F62" s="12"/>
      <c r="G62" s="9"/>
      <c r="H62" s="9"/>
      <c r="I62" s="13" t="str">
        <f t="shared" si="6"/>
        <v>#if !(DOUT13&lt;0)
mcu_config_output(DOUT13);
#endif</v>
      </c>
      <c r="J62" s="4"/>
      <c r="K62" s="4"/>
      <c r="L62" s="4"/>
      <c r="M62" s="4"/>
    </row>
    <row r="63" spans="1:13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DOUT14_GPIO (PORTREG(DOUT14_PORT))
#define DOUT14_PPORT (pinport(DOUT14_PORT))
#define DIO61 61
#define DIO61_PORT DOUT14_PORT
#define DIO61_BIT DOUT14_BIT
#define DIO61_GPIO DOUT14_GPIO
#define DIO61_PPORT DOUT14_PPORT
#endif</v>
      </c>
      <c r="F63" s="12"/>
      <c r="G63" s="9"/>
      <c r="H63" s="9"/>
      <c r="I63" s="13" t="str">
        <f t="shared" si="6"/>
        <v>#if !(DOUT14&lt;0)
mcu_config_output(DOUT14);
#endif</v>
      </c>
      <c r="J63" s="4"/>
      <c r="K63" s="4"/>
      <c r="L63" s="4"/>
      <c r="M63" s="4"/>
    </row>
    <row r="64" spans="1:13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DOUT15_GPIO (PORTREG(DOUT15_PORT))
#define DOUT15_PPORT (pinport(DOUT15_PORT))
#define DIO62 62
#define DIO62_PORT DOUT15_PORT
#define DIO62_BIT DOUT15_BIT
#define DIO62_GPIO DOUT15_GPIO
#define DIO62_PPORT DOUT15_PPORT
#endif</v>
      </c>
      <c r="F64" s="9"/>
      <c r="G64" s="9"/>
      <c r="H64" s="9"/>
      <c r="I64" s="13" t="str">
        <f t="shared" si="6"/>
        <v>#if !(DOUT15&lt;0)
mcu_config_output(DOUT15);
#endif</v>
      </c>
      <c r="J64" s="4"/>
      <c r="K64" s="4"/>
      <c r="L64" s="4"/>
      <c r="M64" s="4"/>
    </row>
    <row r="65" spans="1:13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DOUT16_GPIO (PORTREG(DOUT16_PORT))
#define DOUT16_PPORT (pinport(DOUT16_PORT))
#define DIO63 63
#define DIO63_PORT DOUT16_PORT
#define DIO63_BIT DOUT16_BIT
#define DIO63_GPIO DOUT16_GPIO
#define DIO63_PPORT DOUT16_PPORT
#endif</v>
      </c>
      <c r="F65" s="9"/>
      <c r="G65" s="9"/>
      <c r="H65" s="9"/>
      <c r="I65" s="13" t="str">
        <f t="shared" si="6"/>
        <v>#if !(DOUT16&lt;0)
mcu_config_output(DOUT16);
#endif</v>
      </c>
      <c r="J65" s="4"/>
      <c r="K65" s="4"/>
      <c r="L65" s="4"/>
      <c r="M65" s="4"/>
    </row>
    <row r="66" spans="1:13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DOUT17_GPIO (PORTREG(DOUT17_PORT))
#define DOUT17_PPORT (pinport(DOUT17_PORT))
#define DIO64 64
#define DIO64_PORT DOUT17_PORT
#define DIO64_BIT DOUT17_BIT
#define DIO64_GPIO DOUT17_GPIO
#define DIO64_PPORT DOUT17_PPORT
#endif</v>
      </c>
      <c r="F66" s="9"/>
      <c r="G66" s="9"/>
      <c r="H66" s="9"/>
      <c r="I66" s="13" t="str">
        <f t="shared" si="6"/>
        <v>#if !(DOUT17&lt;0)
mcu_config_output(DOUT17);
#endif</v>
      </c>
      <c r="J66" s="4"/>
      <c r="K66" s="4"/>
      <c r="L66" s="4"/>
      <c r="M66" s="4"/>
    </row>
    <row r="67" spans="1:13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98" si="7">"#if (defined("&amp;C67&amp;"_PORT) &amp;&amp; defined("&amp;C67&amp;"_BIT))
#define "&amp;C67&amp;" "&amp;A67&amp;"
#define "&amp;C67&amp;"_GPIO (PORTREG("&amp;C67&amp;"_PORT))
#define "&amp;C67&amp;"_PPORT (pinport("&amp;C67&amp;"_PORT))
#define "&amp;B67&amp;" "&amp;A67&amp;"
#define "&amp;B67&amp;"_PORT "&amp;C67&amp;"_PORT
#define "&amp;B67&amp;"_BIT "&amp;C67&amp;"_BIT
#define "&amp;B67&amp;"_GPIO "&amp;C67&amp;"_GPIO
#define "&amp;B67&amp;"_PPORT "&amp;C67&amp;"_PPORT
#endif"</f>
        <v>#if (defined(DOUT18_PORT) &amp;&amp; defined(DOUT18_BIT))
#define DOUT18 65
#define DOUT18_GPIO (PORTREG(DOUT18_PORT))
#define DOUT18_PPORT (pinport(DOUT18_PORT))
#define DIO65 65
#define DIO65_PORT DOUT18_PORT
#define DIO65_BIT DOUT18_BIT
#define DIO65_GPIO DOUT18_GPIO
#define DIO65_PPORT DOUT18_PPORT
#endif</v>
      </c>
      <c r="F67" s="9"/>
      <c r="G67" s="9"/>
      <c r="H67" s="9"/>
      <c r="I67" s="13" t="str">
        <f t="shared" si="6"/>
        <v>#if !(DOUT18&lt;0)
mcu_config_output(DOUT18);
#endif</v>
      </c>
      <c r="J67" s="4"/>
      <c r="K67" s="4"/>
      <c r="L67" s="4"/>
      <c r="M67" s="4"/>
    </row>
    <row r="68" spans="1:13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7"/>
        <v>#if (defined(DOUT19_PORT) &amp;&amp; defined(DOUT19_BIT))
#define DOUT19 66
#define DOUT19_GPIO (PORTREG(DOUT19_PORT))
#define DOUT19_PPORT (pinport(DOUT19_PORT))
#define DIO66 66
#define DIO66_PORT DOUT19_PORT
#define DIO66_BIT DOUT19_BIT
#define DIO66_GPIO DOUT19_GPIO
#define DIO66_PPORT DOUT19_PPORT
#endif</v>
      </c>
      <c r="F68" s="9"/>
      <c r="G68" s="9"/>
      <c r="H68" s="9"/>
      <c r="I68" s="13" t="str">
        <f t="shared" si="6"/>
        <v>#if !(DOUT19&lt;0)
mcu_config_output(DOUT19);
#endif</v>
      </c>
      <c r="J68" s="4"/>
      <c r="K68" s="4"/>
      <c r="L68" s="4"/>
      <c r="M68" s="4"/>
    </row>
    <row r="69" spans="1:13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7"/>
        <v>#if (defined(DOUT20_PORT) &amp;&amp; defined(DOUT20_BIT))
#define DOUT20 67
#define DOUT20_GPIO (PORTREG(DOUT20_PORT))
#define DOUT20_PPORT (pinport(DOUT20_PORT))
#define DIO67 67
#define DIO67_PORT DOUT20_PORT
#define DIO67_BIT DOUT20_BIT
#define DIO67_GPIO DOUT20_GPIO
#define DIO67_PPORT DOUT20_PPORT
#endif</v>
      </c>
      <c r="F69" s="9"/>
      <c r="G69" s="9"/>
      <c r="H69" s="9"/>
      <c r="I69" s="13" t="str">
        <f t="shared" si="6"/>
        <v>#if !(DOUT20&lt;0)
mcu_config_output(DOUT20);
#endif</v>
      </c>
      <c r="J69" s="4"/>
      <c r="K69" s="4"/>
      <c r="L69" s="4"/>
      <c r="M69" s="4"/>
    </row>
    <row r="70" spans="1:13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7"/>
        <v>#if (defined(DOUT21_PORT) &amp;&amp; defined(DOUT21_BIT))
#define DOUT21 68
#define DOUT21_GPIO (PORTREG(DOUT21_PORT))
#define DOUT21_PPORT (pinport(DOUT21_PORT))
#define DIO68 68
#define DIO68_PORT DOUT21_PORT
#define DIO68_BIT DOUT21_BIT
#define DIO68_GPIO DOUT21_GPIO
#define DIO68_PPORT DOUT21_PPORT
#endif</v>
      </c>
      <c r="F70" s="9"/>
      <c r="G70" s="9"/>
      <c r="H70" s="9"/>
      <c r="I70" s="13" t="str">
        <f t="shared" si="6"/>
        <v>#if !(DOUT21&lt;0)
mcu_config_output(DOUT21);
#endif</v>
      </c>
      <c r="J70" s="4"/>
      <c r="K70" s="4"/>
      <c r="L70" s="4"/>
      <c r="M70" s="4"/>
    </row>
    <row r="71" spans="1:13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7"/>
        <v>#if (defined(DOUT22_PORT) &amp;&amp; defined(DOUT22_BIT))
#define DOUT22 69
#define DOUT22_GPIO (PORTREG(DOUT22_PORT))
#define DOUT22_PPORT (pinport(DOUT22_PORT))
#define DIO69 69
#define DIO69_PORT DOUT22_PORT
#define DIO69_BIT DOUT22_BIT
#define DIO69_GPIO DOUT22_GPIO
#define DIO69_PPORT DOUT22_PPORT
#endif</v>
      </c>
      <c r="F71" s="9"/>
      <c r="G71" s="9"/>
      <c r="H71" s="9"/>
      <c r="I71" s="13" t="str">
        <f t="shared" si="6"/>
        <v>#if !(DOUT22&lt;0)
mcu_config_output(DOUT22);
#endif</v>
      </c>
      <c r="J71" s="4"/>
      <c r="K71" s="4"/>
      <c r="L71" s="4"/>
      <c r="M71" s="4"/>
    </row>
    <row r="72" spans="1:13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7"/>
        <v>#if (defined(DOUT23_PORT) &amp;&amp; defined(DOUT23_BIT))
#define DOUT23 70
#define DOUT23_GPIO (PORTREG(DOUT23_PORT))
#define DOUT23_PPORT (pinport(DOUT23_PORT))
#define DIO70 70
#define DIO70_PORT DOUT23_PORT
#define DIO70_BIT DOUT23_BIT
#define DIO70_GPIO DOUT23_GPIO
#define DIO70_PPORT DOUT23_PPORT
#endif</v>
      </c>
      <c r="F72" s="9"/>
      <c r="G72" s="9"/>
      <c r="H72" s="9"/>
      <c r="I72" s="13" t="str">
        <f t="shared" si="6"/>
        <v>#if !(DOUT23&lt;0)
mcu_config_output(DOUT23);
#endif</v>
      </c>
      <c r="J72" s="4"/>
      <c r="K72" s="4"/>
      <c r="L72" s="4"/>
      <c r="M72" s="4"/>
    </row>
    <row r="73" spans="1:13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7"/>
        <v>#if (defined(DOUT24_PORT) &amp;&amp; defined(DOUT24_BIT))
#define DOUT24 71
#define DOUT24_GPIO (PORTREG(DOUT24_PORT))
#define DOUT24_PPORT (pinport(DOUT24_PORT))
#define DIO71 71
#define DIO71_PORT DOUT24_PORT
#define DIO71_BIT DOUT24_BIT
#define DIO71_GPIO DOUT24_GPIO
#define DIO71_PPORT DOUT24_PPORT
#endif</v>
      </c>
      <c r="F73" s="9"/>
      <c r="G73" s="9"/>
      <c r="H73" s="9"/>
      <c r="I73" s="13" t="str">
        <f t="shared" si="6"/>
        <v>#if !(DOUT24&lt;0)
mcu_config_output(DOUT24);
#endif</v>
      </c>
      <c r="J73" s="4"/>
      <c r="K73" s="4"/>
      <c r="L73" s="4"/>
      <c r="M73" s="4"/>
    </row>
    <row r="74" spans="1:13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7"/>
        <v>#if (defined(DOUT25_PORT) &amp;&amp; defined(DOUT25_BIT))
#define DOUT25 72
#define DOUT25_GPIO (PORTREG(DOUT25_PORT))
#define DOUT25_PPORT (pinport(DOUT25_PORT))
#define DIO72 72
#define DIO72_PORT DOUT25_PORT
#define DIO72_BIT DOUT25_BIT
#define DIO72_GPIO DOUT25_GPIO
#define DIO72_PPORT DOUT25_PPORT
#endif</v>
      </c>
      <c r="F74" s="9"/>
      <c r="G74" s="9"/>
      <c r="H74" s="9"/>
      <c r="I74" s="13" t="str">
        <f t="shared" si="6"/>
        <v>#if !(DOUT25&lt;0)
mcu_config_output(DOUT25);
#endif</v>
      </c>
      <c r="J74" s="4"/>
      <c r="K74" s="4"/>
      <c r="L74" s="4"/>
      <c r="M74" s="4"/>
    </row>
    <row r="75" spans="1:13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7"/>
        <v>#if (defined(DOUT26_PORT) &amp;&amp; defined(DOUT26_BIT))
#define DOUT26 73
#define DOUT26_GPIO (PORTREG(DOUT26_PORT))
#define DOUT26_PPORT (pinport(DOUT26_PORT))
#define DIO73 73
#define DIO73_PORT DOUT26_PORT
#define DIO73_BIT DOUT26_BIT
#define DIO73_GPIO DOUT26_GPIO
#define DIO73_PPORT DOUT26_PPORT
#endif</v>
      </c>
      <c r="F75" s="9"/>
      <c r="G75" s="9"/>
      <c r="H75" s="9"/>
      <c r="I75" s="13" t="str">
        <f t="shared" si="6"/>
        <v>#if !(DOUT26&lt;0)
mcu_config_output(DOUT26);
#endif</v>
      </c>
      <c r="J75" s="4"/>
      <c r="K75" s="4"/>
      <c r="L75" s="4"/>
      <c r="M75" s="4"/>
    </row>
    <row r="76" spans="1:13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7"/>
        <v>#if (defined(DOUT27_PORT) &amp;&amp; defined(DOUT27_BIT))
#define DOUT27 74
#define DOUT27_GPIO (PORTREG(DOUT27_PORT))
#define DOUT27_PPORT (pinport(DOUT27_PORT))
#define DIO74 74
#define DIO74_PORT DOUT27_PORT
#define DIO74_BIT DOUT27_BIT
#define DIO74_GPIO DOUT27_GPIO
#define DIO74_PPORT DOUT27_PPORT
#endif</v>
      </c>
      <c r="F76" s="12"/>
      <c r="G76" s="9"/>
      <c r="H76" s="9"/>
      <c r="I76" s="13" t="str">
        <f t="shared" si="6"/>
        <v>#if !(DOUT27&lt;0)
mcu_config_output(DOUT27);
#endif</v>
      </c>
      <c r="J76" s="4"/>
      <c r="K76" s="4"/>
      <c r="L76" s="4"/>
      <c r="M76" s="4"/>
    </row>
    <row r="77" spans="1:13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7"/>
        <v>#if (defined(DOUT28_PORT) &amp;&amp; defined(DOUT28_BIT))
#define DOUT28 75
#define DOUT28_GPIO (PORTREG(DOUT28_PORT))
#define DOUT28_PPORT (pinport(DOUT28_PORT))
#define DIO75 75
#define DIO75_PORT DOUT28_PORT
#define DIO75_BIT DOUT28_BIT
#define DIO75_GPIO DOUT28_GPIO
#define DIO75_PPORT DOUT28_PPORT
#endif</v>
      </c>
      <c r="F77" s="12"/>
      <c r="G77" s="9"/>
      <c r="H77" s="9"/>
      <c r="I77" s="13" t="str">
        <f t="shared" si="6"/>
        <v>#if !(DOUT28&lt;0)
mcu_config_output(DOUT28);
#endif</v>
      </c>
      <c r="J77" s="4"/>
      <c r="K77" s="4"/>
      <c r="L77" s="4"/>
      <c r="M77" s="4"/>
    </row>
    <row r="78" spans="1:13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7"/>
        <v>#if (defined(DOUT29_PORT) &amp;&amp; defined(DOUT29_BIT))
#define DOUT29 76
#define DOUT29_GPIO (PORTREG(DOUT29_PORT))
#define DOUT29_PPORT (pinport(DOUT29_PORT))
#define DIO76 76
#define DIO76_PORT DOUT29_PORT
#define DIO76_BIT DOUT29_BIT
#define DIO76_GPIO DOUT29_GPIO
#define DIO76_PPORT DOUT29_PPORT
#endif</v>
      </c>
      <c r="F78" s="12"/>
      <c r="G78" s="9"/>
      <c r="H78" s="9"/>
      <c r="I78" s="13" t="str">
        <f t="shared" si="6"/>
        <v>#if !(DOUT29&lt;0)
mcu_config_output(DOUT29);
#endif</v>
      </c>
      <c r="J78" s="4"/>
      <c r="K78" s="4"/>
      <c r="L78" s="4"/>
      <c r="M78" s="4"/>
    </row>
    <row r="79" spans="1:13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7"/>
        <v>#if (defined(DOUT30_PORT) &amp;&amp; defined(DOUT30_BIT))
#define DOUT30 77
#define DOUT30_GPIO (PORTREG(DOUT30_PORT))
#define DOUT30_PPORT (pinport(DOUT30_PORT))
#define DIO77 77
#define DIO77_PORT DOUT30_PORT
#define DIO77_BIT DOUT30_BIT
#define DIO77_GPIO DOUT30_GPIO
#define DIO77_PPORT DOUT30_PPORT
#endif</v>
      </c>
      <c r="F79" s="12"/>
      <c r="G79" s="9"/>
      <c r="H79" s="9"/>
      <c r="I79" s="13" t="str">
        <f t="shared" si="6"/>
        <v>#if !(DOUT30&lt;0)
mcu_config_output(DOUT30);
#endif</v>
      </c>
      <c r="J79" s="4"/>
      <c r="K79" s="4"/>
      <c r="L79" s="4"/>
      <c r="M79" s="4"/>
    </row>
    <row r="80" spans="1:13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7"/>
        <v>#if (defined(DOUT31_PORT) &amp;&amp; defined(DOUT31_BIT))
#define DOUT31 78
#define DOUT31_GPIO (PORTREG(DOUT31_PORT))
#define DOUT31_PPORT (pinport(DOUT31_PORT))
#define DIO78 78
#define DIO78_PORT DOUT31_PORT
#define DIO78_BIT DOUT31_BIT
#define DIO78_GPIO DOUT31_GPIO
#define DIO78_PPORT DOUT31_PPORT
#endif</v>
      </c>
      <c r="F80" s="11" t="s">
        <v>122</v>
      </c>
      <c r="G80" s="11" t="s">
        <v>123</v>
      </c>
      <c r="H80" s="9"/>
      <c r="I80" s="13" t="str">
        <f t="shared" si="6"/>
        <v>#if !(DOUT31&lt;0)
mcu_config_output(DOUT31);
#endif</v>
      </c>
      <c r="J80" s="4"/>
      <c r="K80" s="4"/>
      <c r="L80" s="4"/>
      <c r="M80" s="4"/>
    </row>
    <row r="81" spans="1:13" ht="15" customHeight="1" x14ac:dyDescent="0.25">
      <c r="A81" s="4">
        <v>79</v>
      </c>
      <c r="B81" s="4" t="str">
        <f t="shared" ref="B81:B98" si="8">"DIO"&amp;A81</f>
        <v>DIO79</v>
      </c>
      <c r="C81" s="4" t="s">
        <v>527</v>
      </c>
      <c r="D81" s="4">
        <v>32</v>
      </c>
      <c r="E81" s="9" t="str">
        <f t="shared" si="7"/>
        <v>#if (defined(DOUT32_PORT) &amp;&amp; defined(DOUT32_BIT))
#define DOUT32 79
#define DOUT32_GPIO (PORTREG(DOUT32_PORT))
#define DOUT32_PPORT (pinport(DOUT32_PORT))
#define DIO79 79
#define DIO79_PORT DOUT32_PORT
#define DIO79_BIT DOUT32_BIT
#define DIO79_GPIO DOUT32_GPIO
#define DIO79_PPORT DOUT32_PPORT
#endif</v>
      </c>
      <c r="F81" s="11"/>
      <c r="G81" s="11"/>
      <c r="H81" s="9"/>
      <c r="I81" s="13"/>
      <c r="J81" s="4"/>
      <c r="K81" s="4"/>
      <c r="L81" s="4"/>
      <c r="M81" s="4"/>
    </row>
    <row r="82" spans="1:13" ht="15" customHeight="1" x14ac:dyDescent="0.25">
      <c r="A82" s="4">
        <v>80</v>
      </c>
      <c r="B82" s="4" t="str">
        <f t="shared" si="8"/>
        <v>DIO80</v>
      </c>
      <c r="C82" s="4" t="s">
        <v>528</v>
      </c>
      <c r="D82" s="4">
        <v>33</v>
      </c>
      <c r="E82" s="9" t="str">
        <f t="shared" si="7"/>
        <v>#if (defined(DOUT33_PORT) &amp;&amp; defined(DOUT33_BIT))
#define DOUT33 80
#define DOUT33_GPIO (PORTREG(DOUT33_PORT))
#define DOUT33_PPORT (pinport(DOUT33_PORT))
#define DIO80 80
#define DIO80_PORT DOUT33_PORT
#define DIO80_BIT DOUT33_BIT
#define DIO80_GPIO DOUT33_GPIO
#define DIO80_PPORT DOUT33_PPORT
#endif</v>
      </c>
      <c r="F82" s="11"/>
      <c r="G82" s="11"/>
      <c r="H82" s="9"/>
      <c r="I82" s="13"/>
      <c r="J82" s="4"/>
      <c r="K82" s="4"/>
      <c r="L82" s="4"/>
      <c r="M82" s="4"/>
    </row>
    <row r="83" spans="1:13" ht="15" customHeight="1" x14ac:dyDescent="0.25">
      <c r="A83" s="4">
        <v>81</v>
      </c>
      <c r="B83" s="4" t="str">
        <f t="shared" si="8"/>
        <v>DIO81</v>
      </c>
      <c r="C83" s="4" t="s">
        <v>529</v>
      </c>
      <c r="D83" s="4">
        <v>34</v>
      </c>
      <c r="E83" s="9" t="str">
        <f t="shared" si="7"/>
        <v>#if (defined(DOUT34_PORT) &amp;&amp; defined(DOUT34_BIT))
#define DOUT34 81
#define DOUT34_GPIO (PORTREG(DOUT34_PORT))
#define DOUT34_PPORT (pinport(DOUT34_PORT))
#define DIO81 81
#define DIO81_PORT DOUT34_PORT
#define DIO81_BIT DOUT34_BIT
#define DIO81_GPIO DOUT34_GPIO
#define DIO81_PPORT DOUT34_PPORT
#endif</v>
      </c>
      <c r="F83" s="11"/>
      <c r="G83" s="11"/>
      <c r="H83" s="9"/>
      <c r="I83" s="13"/>
      <c r="J83" s="4"/>
      <c r="K83" s="4"/>
      <c r="L83" s="4"/>
      <c r="M83" s="4"/>
    </row>
    <row r="84" spans="1:13" ht="15" customHeight="1" x14ac:dyDescent="0.25">
      <c r="A84" s="4">
        <v>82</v>
      </c>
      <c r="B84" s="4" t="str">
        <f t="shared" si="8"/>
        <v>DIO82</v>
      </c>
      <c r="C84" s="4" t="s">
        <v>530</v>
      </c>
      <c r="D84" s="4">
        <v>35</v>
      </c>
      <c r="E84" s="9" t="str">
        <f t="shared" si="7"/>
        <v>#if (defined(DOUT35_PORT) &amp;&amp; defined(DOUT35_BIT))
#define DOUT35 82
#define DOUT35_GPIO (PORTREG(DOUT35_PORT))
#define DOUT35_PPORT (pinport(DOUT35_PORT))
#define DIO82 82
#define DIO82_PORT DOUT35_PORT
#define DIO82_BIT DOUT35_BIT
#define DIO82_GPIO DOUT35_GPIO
#define DIO82_PPORT DOUT35_PPORT
#endif</v>
      </c>
      <c r="F84" s="11"/>
      <c r="G84" s="11"/>
      <c r="H84" s="9"/>
      <c r="I84" s="13"/>
      <c r="J84" s="4"/>
      <c r="K84" s="4"/>
      <c r="L84" s="4"/>
      <c r="M84" s="4"/>
    </row>
    <row r="85" spans="1:13" ht="15" customHeight="1" x14ac:dyDescent="0.25">
      <c r="A85" s="4">
        <v>83</v>
      </c>
      <c r="B85" s="4" t="str">
        <f t="shared" si="8"/>
        <v>DIO83</v>
      </c>
      <c r="C85" s="4" t="s">
        <v>531</v>
      </c>
      <c r="D85" s="4">
        <v>36</v>
      </c>
      <c r="E85" s="9" t="str">
        <f t="shared" si="7"/>
        <v>#if (defined(DOUT36_PORT) &amp;&amp; defined(DOUT36_BIT))
#define DOUT36 83
#define DOUT36_GPIO (PORTREG(DOUT36_PORT))
#define DOUT36_PPORT (pinport(DOUT36_PORT))
#define DIO83 83
#define DIO83_PORT DOUT36_PORT
#define DIO83_BIT DOUT36_BIT
#define DIO83_GPIO DOUT36_GPIO
#define DIO83_PPORT DOUT36_PPORT
#endif</v>
      </c>
      <c r="F85" s="11"/>
      <c r="G85" s="11"/>
      <c r="H85" s="9"/>
      <c r="I85" s="13"/>
      <c r="J85" s="4"/>
      <c r="K85" s="4"/>
      <c r="L85" s="4"/>
      <c r="M85" s="4"/>
    </row>
    <row r="86" spans="1:13" ht="15" customHeight="1" x14ac:dyDescent="0.25">
      <c r="A86" s="4">
        <v>84</v>
      </c>
      <c r="B86" s="4" t="str">
        <f t="shared" si="8"/>
        <v>DIO84</v>
      </c>
      <c r="C86" s="4" t="s">
        <v>532</v>
      </c>
      <c r="D86" s="4">
        <v>37</v>
      </c>
      <c r="E86" s="9" t="str">
        <f t="shared" si="7"/>
        <v>#if (defined(DOUT37_PORT) &amp;&amp; defined(DOUT37_BIT))
#define DOUT37 84
#define DOUT37_GPIO (PORTREG(DOUT37_PORT))
#define DOUT37_PPORT (pinport(DOUT37_PORT))
#define DIO84 84
#define DIO84_PORT DOUT37_PORT
#define DIO84_BIT DOUT37_BIT
#define DIO84_GPIO DOUT37_GPIO
#define DIO84_PPORT DOUT37_PPORT
#endif</v>
      </c>
      <c r="F86" s="11"/>
      <c r="G86" s="11"/>
      <c r="H86" s="9"/>
      <c r="I86" s="13"/>
      <c r="J86" s="4"/>
      <c r="K86" s="4"/>
      <c r="L86" s="4"/>
      <c r="M86" s="4"/>
    </row>
    <row r="87" spans="1:13" ht="15" customHeight="1" x14ac:dyDescent="0.25">
      <c r="A87" s="4">
        <v>85</v>
      </c>
      <c r="B87" s="4" t="str">
        <f t="shared" si="8"/>
        <v>DIO85</v>
      </c>
      <c r="C87" s="4" t="s">
        <v>533</v>
      </c>
      <c r="D87" s="4">
        <v>38</v>
      </c>
      <c r="E87" s="9" t="str">
        <f t="shared" si="7"/>
        <v>#if (defined(DOUT38_PORT) &amp;&amp; defined(DOUT38_BIT))
#define DOUT38 85
#define DOUT38_GPIO (PORTREG(DOUT38_PORT))
#define DOUT38_PPORT (pinport(DOUT38_PORT))
#define DIO85 85
#define DIO85_PORT DOUT38_PORT
#define DIO85_BIT DOUT38_BIT
#define DIO85_GPIO DOUT38_GPIO
#define DIO85_PPORT DOUT38_PPORT
#endif</v>
      </c>
      <c r="F87" s="11"/>
      <c r="G87" s="11"/>
      <c r="H87" s="9"/>
      <c r="I87" s="13"/>
      <c r="J87" s="4"/>
      <c r="K87" s="4"/>
      <c r="L87" s="4"/>
      <c r="M87" s="4"/>
    </row>
    <row r="88" spans="1:13" ht="15" customHeight="1" x14ac:dyDescent="0.25">
      <c r="A88" s="4">
        <v>86</v>
      </c>
      <c r="B88" s="4" t="str">
        <f t="shared" si="8"/>
        <v>DIO86</v>
      </c>
      <c r="C88" s="4" t="s">
        <v>534</v>
      </c>
      <c r="D88" s="4">
        <v>39</v>
      </c>
      <c r="E88" s="9" t="str">
        <f t="shared" si="7"/>
        <v>#if (defined(DOUT39_PORT) &amp;&amp; defined(DOUT39_BIT))
#define DOUT39 86
#define DOUT39_GPIO (PORTREG(DOUT39_PORT))
#define DOUT39_PPORT (pinport(DOUT39_PORT))
#define DIO86 86
#define DIO86_PORT DOUT39_PORT
#define DIO86_BIT DOUT39_BIT
#define DIO86_GPIO DOUT39_GPIO
#define DIO86_PPORT DOUT39_PPORT
#endif</v>
      </c>
      <c r="F88" s="11"/>
      <c r="G88" s="11"/>
      <c r="H88" s="9"/>
      <c r="I88" s="13"/>
      <c r="J88" s="4"/>
      <c r="K88" s="4"/>
      <c r="L88" s="4"/>
      <c r="M88" s="4"/>
    </row>
    <row r="89" spans="1:13" ht="15" customHeight="1" x14ac:dyDescent="0.25">
      <c r="A89" s="4">
        <v>87</v>
      </c>
      <c r="B89" s="4" t="str">
        <f t="shared" si="8"/>
        <v>DIO87</v>
      </c>
      <c r="C89" s="4" t="s">
        <v>535</v>
      </c>
      <c r="D89" s="4">
        <v>40</v>
      </c>
      <c r="E89" s="9" t="str">
        <f t="shared" si="7"/>
        <v>#if (defined(DOUT40_PORT) &amp;&amp; defined(DOUT40_BIT))
#define DOUT40 87
#define DOUT40_GPIO (PORTREG(DOUT40_PORT))
#define DOUT40_PPORT (pinport(DOUT40_PORT))
#define DIO87 87
#define DIO87_PORT DOUT40_PORT
#define DIO87_BIT DOUT40_BIT
#define DIO87_GPIO DOUT40_GPIO
#define DIO87_PPORT DOUT40_PPORT
#endif</v>
      </c>
      <c r="F89" s="11"/>
      <c r="G89" s="11"/>
      <c r="H89" s="9"/>
      <c r="I89" s="13"/>
      <c r="J89" s="4"/>
      <c r="K89" s="4"/>
      <c r="L89" s="4"/>
      <c r="M89" s="4"/>
    </row>
    <row r="90" spans="1:13" ht="15" customHeight="1" x14ac:dyDescent="0.25">
      <c r="A90" s="4">
        <v>88</v>
      </c>
      <c r="B90" s="4" t="str">
        <f t="shared" si="8"/>
        <v>DIO88</v>
      </c>
      <c r="C90" s="4" t="s">
        <v>536</v>
      </c>
      <c r="D90" s="4">
        <v>41</v>
      </c>
      <c r="E90" s="9" t="str">
        <f t="shared" si="7"/>
        <v>#if (defined(DOUT41_PORT) &amp;&amp; defined(DOUT41_BIT))
#define DOUT41 88
#define DOUT41_GPIO (PORTREG(DOUT41_PORT))
#define DOUT41_PPORT (pinport(DOUT41_PORT))
#define DIO88 88
#define DIO88_PORT DOUT41_PORT
#define DIO88_BIT DOUT41_BIT
#define DIO88_GPIO DOUT41_GPIO
#define DIO88_PPORT DOUT41_PPORT
#endif</v>
      </c>
      <c r="F90" s="11"/>
      <c r="G90" s="11"/>
      <c r="H90" s="9"/>
      <c r="I90" s="13"/>
      <c r="J90" s="4"/>
      <c r="K90" s="4"/>
      <c r="L90" s="4"/>
      <c r="M90" s="4"/>
    </row>
    <row r="91" spans="1:13" ht="15" customHeight="1" x14ac:dyDescent="0.25">
      <c r="A91" s="4">
        <v>89</v>
      </c>
      <c r="B91" s="4" t="str">
        <f t="shared" si="8"/>
        <v>DIO89</v>
      </c>
      <c r="C91" s="4" t="s">
        <v>537</v>
      </c>
      <c r="D91" s="4">
        <v>42</v>
      </c>
      <c r="E91" s="9" t="str">
        <f t="shared" si="7"/>
        <v>#if (defined(DOUT42_PORT) &amp;&amp; defined(DOUT42_BIT))
#define DOUT42 89
#define DOUT42_GPIO (PORTREG(DOUT42_PORT))
#define DOUT42_PPORT (pinport(DOUT42_PORT))
#define DIO89 89
#define DIO89_PORT DOUT42_PORT
#define DIO89_BIT DOUT42_BIT
#define DIO89_GPIO DOUT42_GPIO
#define DIO89_PPORT DOUT42_PPORT
#endif</v>
      </c>
      <c r="F91" s="11"/>
      <c r="G91" s="11"/>
      <c r="H91" s="9"/>
      <c r="I91" s="13"/>
      <c r="J91" s="4"/>
      <c r="K91" s="4"/>
      <c r="L91" s="4"/>
      <c r="M91" s="4"/>
    </row>
    <row r="92" spans="1:13" ht="15" customHeight="1" x14ac:dyDescent="0.25">
      <c r="A92" s="4">
        <v>90</v>
      </c>
      <c r="B92" s="4" t="str">
        <f t="shared" si="8"/>
        <v>DIO90</v>
      </c>
      <c r="C92" s="4" t="s">
        <v>538</v>
      </c>
      <c r="D92" s="4">
        <v>43</v>
      </c>
      <c r="E92" s="9" t="str">
        <f t="shared" si="7"/>
        <v>#if (defined(DOUT43_PORT) &amp;&amp; defined(DOUT43_BIT))
#define DOUT43 90
#define DOUT43_GPIO (PORTREG(DOUT43_PORT))
#define DOUT43_PPORT (pinport(DOUT43_PORT))
#define DIO90 90
#define DIO90_PORT DOUT43_PORT
#define DIO90_BIT DOUT43_BIT
#define DIO90_GPIO DOUT43_GPIO
#define DIO90_PPORT DOUT43_PPORT
#endif</v>
      </c>
      <c r="F92" s="11"/>
      <c r="G92" s="11"/>
      <c r="H92" s="9"/>
      <c r="I92" s="13"/>
      <c r="J92" s="4"/>
      <c r="K92" s="4"/>
      <c r="L92" s="4"/>
      <c r="M92" s="4"/>
    </row>
    <row r="93" spans="1:13" ht="15" customHeight="1" x14ac:dyDescent="0.25">
      <c r="A93" s="4">
        <v>91</v>
      </c>
      <c r="B93" s="4" t="str">
        <f t="shared" si="8"/>
        <v>DIO91</v>
      </c>
      <c r="C93" s="4" t="s">
        <v>539</v>
      </c>
      <c r="D93" s="4">
        <v>44</v>
      </c>
      <c r="E93" s="9" t="str">
        <f t="shared" si="7"/>
        <v>#if (defined(DOUT44_PORT) &amp;&amp; defined(DOUT44_BIT))
#define DOUT44 91
#define DOUT44_GPIO (PORTREG(DOUT44_PORT))
#define DOUT44_PPORT (pinport(DOUT44_PORT))
#define DIO91 91
#define DIO91_PORT DOUT44_PORT
#define DIO91_BIT DOUT44_BIT
#define DIO91_GPIO DOUT44_GPIO
#define DIO91_PPORT DOUT44_PPORT
#endif</v>
      </c>
      <c r="F93" s="11"/>
      <c r="G93" s="11"/>
      <c r="H93" s="9"/>
      <c r="I93" s="13"/>
      <c r="J93" s="4"/>
      <c r="K93" s="4"/>
      <c r="L93" s="4"/>
      <c r="M93" s="4"/>
    </row>
    <row r="94" spans="1:13" ht="15" customHeight="1" x14ac:dyDescent="0.25">
      <c r="A94" s="4">
        <v>92</v>
      </c>
      <c r="B94" s="4" t="str">
        <f t="shared" si="8"/>
        <v>DIO92</v>
      </c>
      <c r="C94" s="4" t="s">
        <v>540</v>
      </c>
      <c r="D94" s="4">
        <v>45</v>
      </c>
      <c r="E94" s="9" t="str">
        <f t="shared" si="7"/>
        <v>#if (defined(DOUT45_PORT) &amp;&amp; defined(DOUT45_BIT))
#define DOUT45 92
#define DOUT45_GPIO (PORTREG(DOUT45_PORT))
#define DOUT45_PPORT (pinport(DOUT45_PORT))
#define DIO92 92
#define DIO92_PORT DOUT45_PORT
#define DIO92_BIT DOUT45_BIT
#define DIO92_GPIO DOUT45_GPIO
#define DIO92_PPORT DOUT45_PPORT
#endif</v>
      </c>
      <c r="F94" s="11"/>
      <c r="G94" s="11"/>
      <c r="H94" s="9"/>
      <c r="I94" s="13"/>
      <c r="J94" s="4"/>
      <c r="K94" s="4"/>
      <c r="L94" s="4"/>
      <c r="M94" s="4"/>
    </row>
    <row r="95" spans="1:13" ht="15" customHeight="1" x14ac:dyDescent="0.25">
      <c r="A95" s="4">
        <v>93</v>
      </c>
      <c r="B95" s="4" t="str">
        <f t="shared" si="8"/>
        <v>DIO93</v>
      </c>
      <c r="C95" s="4" t="s">
        <v>541</v>
      </c>
      <c r="D95" s="4">
        <v>46</v>
      </c>
      <c r="E95" s="9" t="str">
        <f t="shared" si="7"/>
        <v>#if (defined(DOUT46_PORT) &amp;&amp; defined(DOUT46_BIT))
#define DOUT46 93
#define DOUT46_GPIO (PORTREG(DOUT46_PORT))
#define DOUT46_PPORT (pinport(DOUT46_PORT))
#define DIO93 93
#define DIO93_PORT DOUT46_PORT
#define DIO93_BIT DOUT46_BIT
#define DIO93_GPIO DOUT46_GPIO
#define DIO93_PPORT DOUT46_PPORT
#endif</v>
      </c>
      <c r="F95" s="11"/>
      <c r="G95" s="11"/>
      <c r="H95" s="9"/>
      <c r="I95" s="13"/>
      <c r="J95" s="4"/>
      <c r="K95" s="4"/>
      <c r="L95" s="4"/>
      <c r="M95" s="4"/>
    </row>
    <row r="96" spans="1:13" ht="15" customHeight="1" x14ac:dyDescent="0.25">
      <c r="A96" s="4">
        <v>94</v>
      </c>
      <c r="B96" s="4" t="str">
        <f t="shared" si="8"/>
        <v>DIO94</v>
      </c>
      <c r="C96" s="4" t="s">
        <v>542</v>
      </c>
      <c r="D96" s="4">
        <v>47</v>
      </c>
      <c r="E96" s="9" t="str">
        <f t="shared" si="7"/>
        <v>#if (defined(DOUT47_PORT) &amp;&amp; defined(DOUT47_BIT))
#define DOUT47 94
#define DOUT47_GPIO (PORTREG(DOUT47_PORT))
#define DOUT47_PPORT (pinport(DOUT47_PORT))
#define DIO94 94
#define DIO94_PORT DOUT47_PORT
#define DIO94_BIT DOUT47_BIT
#define DIO94_GPIO DOUT47_GPIO
#define DIO94_PPORT DOUT47_PPORT
#endif</v>
      </c>
      <c r="F96" s="11"/>
      <c r="G96" s="11"/>
      <c r="H96" s="9"/>
      <c r="I96" s="13"/>
      <c r="J96" s="4"/>
      <c r="K96" s="4"/>
      <c r="L96" s="4"/>
      <c r="M96" s="4"/>
    </row>
    <row r="97" spans="1:13" ht="15" customHeight="1" x14ac:dyDescent="0.25">
      <c r="A97" s="4">
        <v>95</v>
      </c>
      <c r="B97" s="4" t="str">
        <f t="shared" si="8"/>
        <v>DIO95</v>
      </c>
      <c r="C97" s="4" t="s">
        <v>543</v>
      </c>
      <c r="D97" s="4">
        <v>48</v>
      </c>
      <c r="E97" s="9" t="str">
        <f t="shared" si="7"/>
        <v>#if (defined(DOUT48_PORT) &amp;&amp; defined(DOUT48_BIT))
#define DOUT48 95
#define DOUT48_GPIO (PORTREG(DOUT48_PORT))
#define DOUT48_PPORT (pinport(DOUT48_PORT))
#define DIO95 95
#define DIO95_PORT DOUT48_PORT
#define DIO95_BIT DOUT48_BIT
#define DIO95_GPIO DOUT48_GPIO
#define DIO95_PPORT DOUT48_PPORT
#endif</v>
      </c>
      <c r="F97" s="11"/>
      <c r="G97" s="11"/>
      <c r="H97" s="9"/>
      <c r="I97" s="13"/>
      <c r="J97" s="4"/>
      <c r="K97" s="4"/>
      <c r="L97" s="4"/>
      <c r="M97" s="4"/>
    </row>
    <row r="98" spans="1:13" ht="15" customHeight="1" x14ac:dyDescent="0.25">
      <c r="A98" s="4">
        <v>96</v>
      </c>
      <c r="B98" s="4" t="str">
        <f t="shared" si="8"/>
        <v>DIO96</v>
      </c>
      <c r="C98" s="4" t="s">
        <v>544</v>
      </c>
      <c r="D98" s="4">
        <v>49</v>
      </c>
      <c r="E98" s="9" t="str">
        <f t="shared" si="7"/>
        <v>#if (defined(DOUT49_PORT) &amp;&amp; defined(DOUT49_BIT))
#define DOUT49 96
#define DOUT49_GPIO (PORTREG(DOUT49_PORT))
#define DOUT49_PPORT (pinport(DOUT49_PORT))
#define DIO96 96
#define DIO96_PORT DOUT49_PORT
#define DIO96_BIT DOUT49_BIT
#define DIO96_GPIO DOUT49_GPIO
#define DIO96_PPORT DOUT49_PPORT
#endif</v>
      </c>
      <c r="F98" s="11"/>
      <c r="G98" s="11"/>
      <c r="H98" s="9"/>
      <c r="I98" s="13"/>
      <c r="J98" s="4"/>
      <c r="K98" s="4"/>
      <c r="L98" s="4"/>
      <c r="M98" s="4"/>
    </row>
    <row r="99" spans="1:13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>"#if (defined("&amp;C99&amp;"_PORT) &amp;&amp; defined("&amp;C99&amp;"_BIT))
#define "&amp;C99&amp;" "&amp;A99&amp;"
#define "&amp;C99&amp;"_GPIO (PORTREG("&amp;C99&amp;"_PORT))
#define "&amp;C99&amp;"_PPORT (pinport("&amp;C99&amp;"_PORT))
#define "&amp;B99&amp;" "&amp;A99&amp;"
#define "&amp;B99&amp;"_PORT "&amp;C99&amp;"_PORT
#define "&amp;B99&amp;"_BIT "&amp;C99&amp;"_BIT
#define "&amp;B99&amp;"_GPIO "&amp;C99&amp;"_GPIO
#define "&amp;B99&amp;"_PPORT "&amp;C99&amp;"_PPORT
#endif"</f>
        <v>#if (defined(LIMIT_X_PORT) &amp;&amp; defined(LIMIT_X_BIT))
#define LIMIT_X 100
#define LIMIT_X_GPIO (PORTREG(LIMIT_X_PORT))
#define LIMIT_X_PPORT (pinport(LIMIT_X_PORT))
#define DIO100 100
#define DIO100_PORT LIMIT_X_PORT
#define DIO100_BIT LIMIT_X_BIT
#define DIO100_GPIO LIMIT_X_GPIO
#define DIO100_PPORT LIMIT_X_PPORT
#endif</v>
      </c>
      <c r="F99" s="12" t="str">
        <f>"#if(defined("&amp;C99&amp;"_ISR) &amp;&amp; defined("&amp;C99&amp;"))
#define "&amp;C99&amp;"_ISRBIT ("&amp;C99&amp;"_BIT&amp;0x0F)
#define "&amp;C99&amp;"_ISRMASK (1U&lt;&lt;("&amp;C99&amp;"_BIT&amp;0x0F))
#define "&amp;C99&amp;"_PMUXVAL 0
#define "&amp;C99&amp;"_PMUX (pinmux("&amp;C99&amp;"_PORT, "&amp;C99&amp;"_BIT))
#define "&amp;C99&amp;"_CB mcu_limits_changed_cb
#define "&amp;B99&amp;"_ISRBIT "&amp;C99&amp;"_ISRBIT
#define "&amp;B99&amp;"_ISRMASK "&amp;C99&amp;"_ISRMASK
#define "&amp;B99&amp;"_PMUXVAL 0
#define "&amp;B99&amp;"_PMUX "&amp;C99&amp;"_PMUX
#define "&amp;B99&amp;"_CB "&amp;C99&amp;"_CB
#else
#define "&amp;C99&amp;"_ISRMASK 0
#define "&amp;B99&amp;"_ISRMASK 0
#endif"</f>
        <v>#if(defined(LIMIT_X_ISR) &amp;&amp; defined(LIMIT_X))
#define LIMIT_X_ISRBIT (LIMIT_X_BIT&amp;0x0F)
#define LIMIT_X_ISRMASK (1U&lt;&lt;(LIMIT_X_BIT&amp;0x0F))
#define LIMIT_X_PMUXVAL 0
#define LIMIT_X_PMUX (pinmux(LIMIT_X_PORT, LIMIT_X_BIT))
#define LIMIT_X_CB mcu_limits_changed_cb
#define DIO100_ISRBIT LIMIT_X_ISRBIT
#define DIO100_ISRMASK LIMIT_X_ISRMASK
#define DIO100_PMUXVAL 0
#define DIO100_PMUX LIMIT_X_PMUX
#define DIO100_CB LIMIT_X_CB
#else
#define LIMIT_X_ISRMASK 0
#define DIO100_ISRMASK 0
#endif</v>
      </c>
      <c r="G99" s="9" t="str">
        <f t="shared" ref="G99:G112" si="9">""&amp;C99&amp;"_ISRMASK"</f>
        <v>LIMIT_X_ISRMASK</v>
      </c>
      <c r="H99" s="9"/>
      <c r="I99" s="14" t="str">
        <f>"#if !("&amp;C99&amp;"&lt;0)
mcu_config_input("&amp;C99&amp;");
#ifdef "&amp;C99&amp;"_PULLUP
mcu_config_pullup("&amp;C99&amp;");
#endif
#ifdef "&amp;C99&amp;"_ISR
mcu_config_input_isr("&amp;C99&amp;");
#endif
#endif"</f>
        <v>#if !(LIMIT_X&lt;0)
mcu_config_input(LIMIT_X);
#ifdef LIMIT_X_PULLUP
mcu_config_pullup(LIMIT_X);
#endif
#ifdef LIMIT_X_ISR
mcu_config_input_isr(LIMIT_X);
#endif
#endif</v>
      </c>
      <c r="J99" s="4"/>
      <c r="K99" s="4"/>
      <c r="L99" s="4"/>
      <c r="M99" s="4"/>
    </row>
    <row r="100" spans="1:13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ref="E100:E163" si="10">"#if (defined("&amp;C100&amp;"_PORT) &amp;&amp; defined("&amp;C100&amp;"_BIT))
#define "&amp;C100&amp;" "&amp;A100&amp;"
#define "&amp;C100&amp;"_GPIO (PORTREG("&amp;C100&amp;"_PORT))
#define "&amp;C100&amp;"_PPORT (pinport("&amp;C100&amp;"_PORT))
#define "&amp;B100&amp;" "&amp;A100&amp;"
#define "&amp;B100&amp;"_PORT "&amp;C100&amp;"_PORT
#define "&amp;B100&amp;"_BIT "&amp;C100&amp;"_BIT
#define "&amp;B100&amp;"_GPIO "&amp;C100&amp;"_GPIO
#define "&amp;B100&amp;"_PPORT "&amp;C100&amp;"_PPORT
#endif"</f>
        <v>#if (defined(LIMIT_Y_PORT) &amp;&amp; defined(LIMIT_Y_BIT))
#define LIMIT_Y 101
#define LIMIT_Y_GPIO (PORTREG(LIMIT_Y_PORT))
#define LIMIT_Y_PPORT (pinport(LIMIT_Y_PORT))
#define DIO101 101
#define DIO101_PORT LIMIT_Y_PORT
#define DIO101_BIT LIMIT_Y_BIT
#define DIO101_GPIO LIMIT_Y_GPIO
#define DIO101_PPORT LIMIT_Y_PPORT
#endif</v>
      </c>
      <c r="F100" s="12" t="str">
        <f t="shared" ref="F100:F107" si="11">"#if(defined("&amp;C100&amp;"_ISR) &amp;&amp; defined("&amp;C100&amp;"))
#define "&amp;C100&amp;"_ISRBIT ("&amp;C100&amp;"_BIT&amp;0x0F)
#define "&amp;C100&amp;"_ISRMASK (1U&lt;&lt;("&amp;C100&amp;"_BIT&amp;0x0F))
#define "&amp;C100&amp;"_PMUXVAL 0
#define "&amp;C100&amp;"_PMUX (pinmux("&amp;C100&amp;"_PORT, "&amp;C100&amp;"_BIT))
#define "&amp;C100&amp;"_PPORT (pinport("&amp;C100&amp;"_PORT))
#define "&amp;C100&amp;"_CB mcu_limits_changed_cb
#define "&amp;B100&amp;"_ISRBIT "&amp;C100&amp;"_ISRBIT
#define "&amp;B100&amp;"_ISRMASK "&amp;C100&amp;"_ISRMASK
#define "&amp;B100&amp;"_PMUXVAL 0
#define "&amp;B100&amp;"_PMUX "&amp;C100&amp;"_PMUX
#define "&amp;B100&amp;"_PPORT "&amp;C100&amp;"_PPORT
#define "&amp;B100&amp;"_CB "&amp;C100&amp;"_CB
#else
#define "&amp;C100&amp;"_ISRMASK 0
#define "&amp;B100&amp;"_ISRMASK 0
#endif"</f>
        <v>#if(defined(LIMIT_Y_ISR) &amp;&amp; defined(LIMIT_Y))
#define LIMIT_Y_ISRBIT (LIMIT_Y_BIT&amp;0x0F)
#define LIMIT_Y_ISRMASK (1U&lt;&lt;(LIMIT_Y_BIT&amp;0x0F))
#define LIMIT_Y_PMUXVAL 0
#define LIMIT_Y_PMUX (pinmux(LIMIT_Y_PORT, LIMIT_Y_BIT))
#define LIMIT_Y_PPORT (pinport(LIMIT_Y_PORT))
#define LIMIT_Y_CB mcu_limits_changed_cb
#define DIO101_ISRBIT LIMIT_Y_ISRBIT
#define DIO101_ISRMASK LIMIT_Y_ISRMASK
#define DIO101_PMUXVAL 0
#define DIO101_PMUX LIMIT_Y_PMUX
#define DIO101_PPORT LIMIT_Y_PPORT
#define DIO101_CB LIMIT_Y_CB
#else
#define LIMIT_Y_ISRMASK 0
#define DIO101_ISRMASK 0
#endif</v>
      </c>
      <c r="G100" s="9" t="str">
        <f t="shared" si="9"/>
        <v>LIMIT_Y_ISRMASK</v>
      </c>
      <c r="H100" s="9"/>
      <c r="I100" s="14" t="str">
        <f t="shared" ref="I100:I112" si="12">"#if !("&amp;C100&amp;"&lt;0)
mcu_config_input("&amp;C100&amp;");
#ifdef "&amp;C100&amp;"_PULLUP
mcu_config_pullup("&amp;C100&amp;");
#endif
#ifdef "&amp;C100&amp;"_ISR
mcu_config_input_isr("&amp;C100&amp;");
#endif
#endif"</f>
        <v>#if !(LIMIT_Y&lt;0)
mcu_config_input(LIMIT_Y);
#ifdef LIMIT_Y_PULLUP
mcu_config_pullup(LIMIT_Y);
#endif
#ifdef LIMIT_Y_ISR
mcu_config_input_isr(LIMIT_Y);
#endif
#endif</v>
      </c>
      <c r="J100" s="4"/>
      <c r="K100" s="4"/>
      <c r="L100" s="4"/>
      <c r="M100" s="4"/>
    </row>
    <row r="101" spans="1:13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0"/>
        <v>#if (defined(LIMIT_Z_PORT) &amp;&amp; defined(LIMIT_Z_BIT))
#define LIMIT_Z 102
#define LIMIT_Z_GPIO (PORTREG(LIMIT_Z_PORT))
#define LIMIT_Z_PPORT (pinport(LIMIT_Z_PORT))
#define DIO102 102
#define DIO102_PORT LIMIT_Z_PORT
#define DIO102_BIT LIMIT_Z_BIT
#define DIO102_GPIO LIMIT_Z_GPIO
#define DIO102_PPORT LIMIT_Z_PPORT
#endif</v>
      </c>
      <c r="F101" s="12" t="str">
        <f t="shared" si="11"/>
        <v>#if(defined(LIMIT_Z_ISR) &amp;&amp; defined(LIMIT_Z))
#define LIMIT_Z_ISRBIT (LIMIT_Z_BIT&amp;0x0F)
#define LIMIT_Z_ISRMASK (1U&lt;&lt;(LIMIT_Z_BIT&amp;0x0F))
#define LIMIT_Z_PMUXVAL 0
#define LIMIT_Z_PMUX (pinmux(LIMIT_Z_PORT, LIMIT_Z_BIT))
#define LIMIT_Z_PPORT (pinport(LIMIT_Z_PORT))
#define LIMIT_Z_CB mcu_limits_changed_cb
#define DIO102_ISRBIT LIMIT_Z_ISRBIT
#define DIO102_ISRMASK LIMIT_Z_ISRMASK
#define DIO102_PMUXVAL 0
#define DIO102_PMUX LIMIT_Z_PMUX
#define DIO102_PPORT LIMIT_Z_PPORT
#define DIO102_CB LIMIT_Z_CB
#else
#define LIMIT_Z_ISRMASK 0
#define DIO102_ISRMASK 0
#endif</v>
      </c>
      <c r="G101" s="9" t="str">
        <f t="shared" si="9"/>
        <v>LIMIT_Z_ISRMASK</v>
      </c>
      <c r="H101" s="9"/>
      <c r="I101" s="14" t="str">
        <f t="shared" si="12"/>
        <v>#if !(LIMIT_Z&lt;0)
mcu_config_input(LIMIT_Z);
#ifdef LIMIT_Z_PULLUP
mcu_config_pullup(LIMIT_Z);
#endif
#ifdef LIMIT_Z_ISR
mcu_config_input_isr(LIMIT_Z);
#endif
#endif</v>
      </c>
      <c r="J101" s="4"/>
      <c r="K101" s="4"/>
      <c r="L101" s="4"/>
      <c r="M101" s="4"/>
    </row>
    <row r="102" spans="1:13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0"/>
        <v>#if (defined(LIMIT_X2_PORT) &amp;&amp; defined(LIMIT_X2_BIT))
#define LIMIT_X2 103
#define LIMIT_X2_GPIO (PORTREG(LIMIT_X2_PORT))
#define LIMIT_X2_PPORT (pinport(LIMIT_X2_PORT))
#define DIO103 103
#define DIO103_PORT LIMIT_X2_PORT
#define DIO103_BIT LIMIT_X2_BIT
#define DIO103_GPIO LIMIT_X2_GPIO
#define DIO103_PPORT LIMIT_X2_PPORT
#endif</v>
      </c>
      <c r="F102" s="12" t="str">
        <f t="shared" si="11"/>
        <v>#if(defined(LIMIT_X2_ISR) &amp;&amp; defined(LIMIT_X2))
#define LIMIT_X2_ISRBIT (LIMIT_X2_BIT&amp;0x0F)
#define LIMIT_X2_ISRMASK (1U&lt;&lt;(LIMIT_X2_BIT&amp;0x0F))
#define LIMIT_X2_PMUXVAL 0
#define LIMIT_X2_PMUX (pinmux(LIMIT_X2_PORT, LIMIT_X2_BIT))
#define LIMIT_X2_PPORT (pinport(LIMIT_X2_PORT))
#define LIMIT_X2_CB mcu_limits_changed_cb
#define DIO103_ISRBIT LIMIT_X2_ISRBIT
#define DIO103_ISRMASK LIMIT_X2_ISRMASK
#define DIO103_PMUXVAL 0
#define DIO103_PMUX LIMIT_X2_PMUX
#define DIO103_PPORT LIMIT_X2_PPORT
#define DIO103_CB LIMIT_X2_CB
#else
#define LIMIT_X2_ISRMASK 0
#define DIO103_ISRMASK 0
#endif</v>
      </c>
      <c r="G102" s="9" t="str">
        <f t="shared" si="9"/>
        <v>LIMIT_X2_ISRMASK</v>
      </c>
      <c r="H102" s="9"/>
      <c r="I102" s="14" t="str">
        <f t="shared" si="12"/>
        <v>#if !(LIMIT_X2&lt;0)
mcu_config_input(LIMIT_X2);
#ifdef LIMIT_X2_PULLUP
mcu_config_pullup(LIMIT_X2);
#endif
#ifdef LIMIT_X2_ISR
mcu_config_input_isr(LIMIT_X2);
#endif
#endif</v>
      </c>
      <c r="J102" s="4"/>
      <c r="K102" s="4"/>
      <c r="L102" s="4"/>
      <c r="M102" s="4"/>
    </row>
    <row r="103" spans="1:13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0"/>
        <v>#if (defined(LIMIT_Y2_PORT) &amp;&amp; defined(LIMIT_Y2_BIT))
#define LIMIT_Y2 104
#define LIMIT_Y2_GPIO (PORTREG(LIMIT_Y2_PORT))
#define LIMIT_Y2_PPORT (pinport(LIMIT_Y2_PORT))
#define DIO104 104
#define DIO104_PORT LIMIT_Y2_PORT
#define DIO104_BIT LIMIT_Y2_BIT
#define DIO104_GPIO LIMIT_Y2_GPIO
#define DIO104_PPORT LIMIT_Y2_PPORT
#endif</v>
      </c>
      <c r="F103" s="12" t="str">
        <f t="shared" si="11"/>
        <v>#if(defined(LIMIT_Y2_ISR) &amp;&amp; defined(LIMIT_Y2))
#define LIMIT_Y2_ISRBIT (LIMIT_Y2_BIT&amp;0x0F)
#define LIMIT_Y2_ISRMASK (1U&lt;&lt;(LIMIT_Y2_BIT&amp;0x0F))
#define LIMIT_Y2_PMUXVAL 0
#define LIMIT_Y2_PMUX (pinmux(LIMIT_Y2_PORT, LIMIT_Y2_BIT))
#define LIMIT_Y2_PPORT (pinport(LIMIT_Y2_PORT))
#define LIMIT_Y2_CB mcu_limits_changed_cb
#define DIO104_ISRBIT LIMIT_Y2_ISRBIT
#define DIO104_ISRMASK LIMIT_Y2_ISRMASK
#define DIO104_PMUXVAL 0
#define DIO104_PMUX LIMIT_Y2_PMUX
#define DIO104_PPORT LIMIT_Y2_PPORT
#define DIO104_CB LIMIT_Y2_CB
#else
#define LIMIT_Y2_ISRMASK 0
#define DIO104_ISRMASK 0
#endif</v>
      </c>
      <c r="G103" s="9" t="str">
        <f t="shared" si="9"/>
        <v>LIMIT_Y2_ISRMASK</v>
      </c>
      <c r="H103" s="9"/>
      <c r="I103" s="14" t="str">
        <f t="shared" si="12"/>
        <v>#if !(LIMIT_Y2&lt;0)
mcu_config_input(LIMIT_Y2);
#ifdef LIMIT_Y2_PULLUP
mcu_config_pullup(LIMIT_Y2);
#endif
#ifdef LIMIT_Y2_ISR
mcu_config_input_isr(LIMIT_Y2);
#endif
#endif</v>
      </c>
      <c r="J103" s="4"/>
      <c r="K103" s="4"/>
      <c r="L103" s="4"/>
      <c r="M103" s="4"/>
    </row>
    <row r="104" spans="1:13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0"/>
        <v>#if (defined(LIMIT_Z2_PORT) &amp;&amp; defined(LIMIT_Z2_BIT))
#define LIMIT_Z2 105
#define LIMIT_Z2_GPIO (PORTREG(LIMIT_Z2_PORT))
#define LIMIT_Z2_PPORT (pinport(LIMIT_Z2_PORT))
#define DIO105 105
#define DIO105_PORT LIMIT_Z2_PORT
#define DIO105_BIT LIMIT_Z2_BIT
#define DIO105_GPIO LIMIT_Z2_GPIO
#define DIO105_PPORT LIMIT_Z2_PPORT
#endif</v>
      </c>
      <c r="F104" s="12" t="str">
        <f t="shared" si="11"/>
        <v>#if(defined(LIMIT_Z2_ISR) &amp;&amp; defined(LIMIT_Z2))
#define LIMIT_Z2_ISRBIT (LIMIT_Z2_BIT&amp;0x0F)
#define LIMIT_Z2_ISRMASK (1U&lt;&lt;(LIMIT_Z2_BIT&amp;0x0F))
#define LIMIT_Z2_PMUXVAL 0
#define LIMIT_Z2_PMUX (pinmux(LIMIT_Z2_PORT, LIMIT_Z2_BIT))
#define LIMIT_Z2_PPORT (pinport(LIMIT_Z2_PORT))
#define LIMIT_Z2_CB mcu_limits_changed_cb
#define DIO105_ISRBIT LIMIT_Z2_ISRBIT
#define DIO105_ISRMASK LIMIT_Z2_ISRMASK
#define DIO105_PMUXVAL 0
#define DIO105_PMUX LIMIT_Z2_PMUX
#define DIO105_PPORT LIMIT_Z2_PPORT
#define DIO105_CB LIMIT_Z2_CB
#else
#define LIMIT_Z2_ISRMASK 0
#define DIO105_ISRMASK 0
#endif</v>
      </c>
      <c r="G104" s="9" t="str">
        <f t="shared" si="9"/>
        <v>LIMIT_Z2_ISRMASK</v>
      </c>
      <c r="H104" s="9"/>
      <c r="I104" s="14" t="str">
        <f t="shared" si="12"/>
        <v>#if !(LIMIT_Z2&lt;0)
mcu_config_input(LIMIT_Z2);
#ifdef LIMIT_Z2_PULLUP
mcu_config_pullup(LIMIT_Z2);
#endif
#ifdef LIMIT_Z2_ISR
mcu_config_input_isr(LIMIT_Z2);
#endif
#endif</v>
      </c>
      <c r="J104" s="4"/>
      <c r="K104" s="4"/>
      <c r="L104" s="4"/>
      <c r="M104" s="4"/>
    </row>
    <row r="105" spans="1:13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0"/>
        <v>#if (defined(LIMIT_A_PORT) &amp;&amp; defined(LIMIT_A_BIT))
#define LIMIT_A 106
#define LIMIT_A_GPIO (PORTREG(LIMIT_A_PORT))
#define LIMIT_A_PPORT (pinport(LIMIT_A_PORT))
#define DIO106 106
#define DIO106_PORT LIMIT_A_PORT
#define DIO106_BIT LIMIT_A_BIT
#define DIO106_GPIO LIMIT_A_GPIO
#define DIO106_PPORT LIMIT_A_PPORT
#endif</v>
      </c>
      <c r="F105" s="12" t="str">
        <f t="shared" si="11"/>
        <v>#if(defined(LIMIT_A_ISR) &amp;&amp; defined(LIMIT_A))
#define LIMIT_A_ISRBIT (LIMIT_A_BIT&amp;0x0F)
#define LIMIT_A_ISRMASK (1U&lt;&lt;(LIMIT_A_BIT&amp;0x0F))
#define LIMIT_A_PMUXVAL 0
#define LIMIT_A_PMUX (pinmux(LIMIT_A_PORT, LIMIT_A_BIT))
#define LIMIT_A_PPORT (pinport(LIMIT_A_PORT))
#define LIMIT_A_CB mcu_limits_changed_cb
#define DIO106_ISRBIT LIMIT_A_ISRBIT
#define DIO106_ISRMASK LIMIT_A_ISRMASK
#define DIO106_PMUXVAL 0
#define DIO106_PMUX LIMIT_A_PMUX
#define DIO106_PPORT LIMIT_A_PPORT
#define DIO106_CB LIMIT_A_CB
#else
#define LIMIT_A_ISRMASK 0
#define DIO106_ISRMASK 0
#endif</v>
      </c>
      <c r="G105" s="9" t="str">
        <f t="shared" si="9"/>
        <v>LIMIT_A_ISRMASK</v>
      </c>
      <c r="H105" s="9"/>
      <c r="I105" s="14" t="str">
        <f t="shared" si="12"/>
        <v>#if !(LIMIT_A&lt;0)
mcu_config_input(LIMIT_A);
#ifdef LIMIT_A_PULLUP
mcu_config_pullup(LIMIT_A);
#endif
#ifdef LIMIT_A_ISR
mcu_config_input_isr(LIMIT_A);
#endif
#endif</v>
      </c>
      <c r="J105" s="4"/>
      <c r="K105" s="4"/>
      <c r="L105" s="4"/>
      <c r="M105" s="4"/>
    </row>
    <row r="106" spans="1:13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0"/>
        <v>#if (defined(LIMIT_B_PORT) &amp;&amp; defined(LIMIT_B_BIT))
#define LIMIT_B 107
#define LIMIT_B_GPIO (PORTREG(LIMIT_B_PORT))
#define LIMIT_B_PPORT (pinport(LIMIT_B_PORT))
#define DIO107 107
#define DIO107_PORT LIMIT_B_PORT
#define DIO107_BIT LIMIT_B_BIT
#define DIO107_GPIO LIMIT_B_GPIO
#define DIO107_PPORT LIMIT_B_PPORT
#endif</v>
      </c>
      <c r="F106" s="12" t="str">
        <f t="shared" si="11"/>
        <v>#if(defined(LIMIT_B_ISR) &amp;&amp; defined(LIMIT_B))
#define LIMIT_B_ISRBIT (LIMIT_B_BIT&amp;0x0F)
#define LIMIT_B_ISRMASK (1U&lt;&lt;(LIMIT_B_BIT&amp;0x0F))
#define LIMIT_B_PMUXVAL 0
#define LIMIT_B_PMUX (pinmux(LIMIT_B_PORT, LIMIT_B_BIT))
#define LIMIT_B_PPORT (pinport(LIMIT_B_PORT))
#define LIMIT_B_CB mcu_limits_changed_cb
#define DIO107_ISRBIT LIMIT_B_ISRBIT
#define DIO107_ISRMASK LIMIT_B_ISRMASK
#define DIO107_PMUXVAL 0
#define DIO107_PMUX LIMIT_B_PMUX
#define DIO107_PPORT LIMIT_B_PPORT
#define DIO107_CB LIMIT_B_CB
#else
#define LIMIT_B_ISRMASK 0
#define DIO107_ISRMASK 0
#endif</v>
      </c>
      <c r="G106" s="9" t="str">
        <f t="shared" si="9"/>
        <v>LIMIT_B_ISRMASK</v>
      </c>
      <c r="H106" s="9"/>
      <c r="I106" s="14" t="str">
        <f t="shared" si="12"/>
        <v>#if !(LIMIT_B&lt;0)
mcu_config_input(LIMIT_B);
#ifdef LIMIT_B_PULLUP
mcu_config_pullup(LIMIT_B);
#endif
#ifdef LIMIT_B_ISR
mcu_config_input_isr(LIMIT_B);
#endif
#endif</v>
      </c>
      <c r="J106" s="4"/>
      <c r="K106" s="4"/>
      <c r="L106" s="4"/>
      <c r="M106" s="4"/>
    </row>
    <row r="107" spans="1:13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0"/>
        <v>#if (defined(LIMIT_C_PORT) &amp;&amp; defined(LIMIT_C_BIT))
#define LIMIT_C 108
#define LIMIT_C_GPIO (PORTREG(LIMIT_C_PORT))
#define LIMIT_C_PPORT (pinport(LIMIT_C_PORT))
#define DIO108 108
#define DIO108_PORT LIMIT_C_PORT
#define DIO108_BIT LIMIT_C_BIT
#define DIO108_GPIO LIMIT_C_GPIO
#define DIO108_PPORT LIMIT_C_PPORT
#endif</v>
      </c>
      <c r="F107" s="12" t="str">
        <f t="shared" si="11"/>
        <v>#if(defined(LIMIT_C_ISR) &amp;&amp; defined(LIMIT_C))
#define LIMIT_C_ISRBIT (LIMIT_C_BIT&amp;0x0F)
#define LIMIT_C_ISRMASK (1U&lt;&lt;(LIMIT_C_BIT&amp;0x0F))
#define LIMIT_C_PMUXVAL 0
#define LIMIT_C_PMUX (pinmux(LIMIT_C_PORT, LIMIT_C_BIT))
#define LIMIT_C_PPORT (pinport(LIMIT_C_PORT))
#define LIMIT_C_CB mcu_limits_changed_cb
#define DIO108_ISRBIT LIMIT_C_ISRBIT
#define DIO108_ISRMASK LIMIT_C_ISRMASK
#define DIO108_PMUXVAL 0
#define DIO108_PMUX LIMIT_C_PMUX
#define DIO108_PPORT LIMIT_C_PPORT
#define DIO108_CB LIMIT_C_CB
#else
#define LIMIT_C_ISRMASK 0
#define DIO108_ISRMASK 0
#endif</v>
      </c>
      <c r="G107" s="9" t="str">
        <f t="shared" si="9"/>
        <v>LIMIT_C_ISRMASK</v>
      </c>
      <c r="H107" s="9"/>
      <c r="I107" s="14" t="str">
        <f t="shared" si="12"/>
        <v>#if !(LIMIT_C&lt;0)
mcu_config_input(LIMIT_C);
#ifdef LIMIT_C_PULLUP
mcu_config_pullup(LIMIT_C);
#endif
#ifdef LIMIT_C_ISR
mcu_config_input_isr(LIMIT_C);
#endif
#endif</v>
      </c>
      <c r="J107" s="4"/>
      <c r="K107" s="4"/>
      <c r="L107" s="4"/>
      <c r="M107" s="4"/>
    </row>
    <row r="108" spans="1:13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0"/>
        <v>#if (defined(PROBE_PORT) &amp;&amp; defined(PROBE_BIT))
#define PROBE 109
#define PROBE_GPIO (PORTREG(PROBE_PORT))
#define PROBE_PPORT (pinport(PROBE_PORT))
#define DIO109 109
#define DIO109_PORT PROBE_PORT
#define DIO109_BIT PROBE_BIT
#define DIO109_GPIO PROBE_GPIO
#define DIO109_PPORT PROBE_PPORT
#endif</v>
      </c>
      <c r="F108" s="12" t="str">
        <f>"#if(defined("&amp;C108&amp;"_ISR) &amp;&amp; defined("&amp;C108&amp;"))
#define "&amp;C108&amp;"_ISRBIT ("&amp;C108&amp;"_BIT&amp;0x0F)
#define "&amp;C108&amp;"_ISRMASK (1U&lt;&lt;("&amp;C108&amp;"_BIT&amp;0x0F))
#define "&amp;C108&amp;"_PMUXVAL 0
#define "&amp;C108&amp;"_PMUX (pinmux("&amp;C108&amp;"_PORT, "&amp;C108&amp;"_BIT))
#define "&amp;C108&amp;"_PPORT (pinport("&amp;C108&amp;"_PORT))
#define "&amp;C108&amp;"_CB mcu_probe_changed_cb
#define "&amp;B108&amp;"_ISRBIT "&amp;C108&amp;"_ISRBIT
#define "&amp;B108&amp;"_ISRMASK "&amp;C108&amp;"_ISRMASK
#define "&amp;B108&amp;"_PMUXVAL 0
#define "&amp;B108&amp;"_PMUX "&amp;C108&amp;"_PMUX
#define "&amp;B108&amp;"_PPORT "&amp;C108&amp;"_PPORT
#define "&amp;B108&amp;"_CB "&amp;C108&amp;"_CB
#else
#define "&amp;C108&amp;"_ISRMASK 0
#define "&amp;B108&amp;"_ISRMASK 0
#endif"</f>
        <v>#if(defined(PROBE_ISR) &amp;&amp; defined(PROBE))
#define PROBE_ISRBIT (PROBE_BIT&amp;0x0F)
#define PROBE_ISRMASK (1U&lt;&lt;(PROBE_BIT&amp;0x0F))
#define PROBE_PMUXVAL 0
#define PROBE_PMUX (pinmux(PROBE_PORT, PROBE_BIT))
#define PROBE_PPORT (pinport(PROBE_PORT))
#define PROBE_CB mcu_probe_changed_cb
#define DIO109_ISRBIT PROBE_ISRBIT
#define DIO109_ISRMASK PROBE_ISRMASK
#define DIO109_PMUXVAL 0
#define DIO109_PMUX PROBE_PMUX
#define DIO109_PPORT PROBE_PPORT
#define DIO109_CB PROBE_CB
#else
#define PROBE_ISRMASK 0
#define DIO109_ISRMASK 0
#endif</v>
      </c>
      <c r="G108" s="9" t="str">
        <f t="shared" si="9"/>
        <v>PROBE_ISRMASK</v>
      </c>
      <c r="H108" s="9"/>
      <c r="I108" s="14" t="str">
        <f t="shared" si="12"/>
        <v>#if !(PROBE&lt;0)
mcu_config_input(PROBE);
#ifdef PROBE_PULLUP
mcu_config_pullup(PROBE);
#endif
#ifdef PROBE_ISR
mcu_config_input_isr(PROBE);
#endif
#endif</v>
      </c>
      <c r="J108" s="4"/>
      <c r="K108" s="4"/>
      <c r="L108" s="4"/>
      <c r="M108" s="4"/>
    </row>
    <row r="109" spans="1:13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0"/>
        <v>#if (defined(ESTOP_PORT) &amp;&amp; defined(ESTOP_BIT))
#define ESTOP 110
#define ESTOP_GPIO (PORTREG(ESTOP_PORT))
#define ESTOP_PPORT (pinport(ESTOP_PORT))
#define DIO110 110
#define DIO110_PORT ESTOP_PORT
#define DIO110_BIT ESTOP_BIT
#define DIO110_GPIO ESTOP_GPIO
#define DIO110_PPORT ESTOP_PPORT
#endif</v>
      </c>
      <c r="F109" s="12" t="str">
        <f>"#if(defined("&amp;C109&amp;"_ISR) &amp;&amp; defined("&amp;C109&amp;"))
#define "&amp;C109&amp;"_ISRBIT ("&amp;C109&amp;"_BIT&amp;0x0F)
#define "&amp;C109&amp;"_ISRMASK (1U&lt;&lt;("&amp;C109&amp;"_BIT&amp;0x0F))
#define "&amp;C109&amp;"_PMUXVAL 0
#define "&amp;C109&amp;"_PMUX (pinmux("&amp;C109&amp;"_PORT, "&amp;C109&amp;"_BIT))
#define "&amp;C109&amp;"_PPORT (pinport("&amp;C109&amp;"_PORT))
#define "&amp;C109&amp;"_CB mcu_controls_changed_cb
#define "&amp;B109&amp;"_ISRBIT "&amp;C109&amp;"_ISRBIT
#define "&amp;B109&amp;"_ISRMASK "&amp;C109&amp;"_ISRMASK
#define "&amp;B109&amp;"_PMUXVAL 0
#define "&amp;B109&amp;"_PMUX "&amp;C109&amp;"_PMUX
#define "&amp;B109&amp;"_PPORT "&amp;C109&amp;"_PPORT
#define "&amp;B109&amp;"_CB "&amp;C109&amp;"_CB
#else
#define "&amp;C109&amp;"_ISRMASK 0
#define "&amp;B109&amp;"_ISRMASK 0
#endif"</f>
        <v>#if(defined(ESTOP_ISR) &amp;&amp; defined(ESTOP))
#define ESTOP_ISRBIT (ESTOP_BIT&amp;0x0F)
#define ESTOP_ISRMASK (1U&lt;&lt;(ESTOP_BIT&amp;0x0F))
#define ESTOP_PMUXVAL 0
#define ESTOP_PMUX (pinmux(ESTOP_PORT, ESTOP_BIT))
#define ESTOP_PPORT (pinport(ESTOP_PORT))
#define ESTOP_CB mcu_controls_changed_cb
#define DIO110_ISRBIT ESTOP_ISRBIT
#define DIO110_ISRMASK ESTOP_ISRMASK
#define DIO110_PMUXVAL 0
#define DIO110_PMUX ESTOP_PMUX
#define DIO110_PPORT ESTOP_PPORT
#define DIO110_CB ESTOP_CB
#else
#define ESTOP_ISRMASK 0
#define DIO110_ISRMASK 0
#endif</v>
      </c>
      <c r="G109" s="9" t="str">
        <f t="shared" si="9"/>
        <v>ESTOP_ISRMASK</v>
      </c>
      <c r="H109" s="9"/>
      <c r="I109" s="14" t="str">
        <f t="shared" si="12"/>
        <v>#if !(ESTOP&lt;0)
mcu_config_input(ESTOP);
#ifdef ESTOP_PULLUP
mcu_config_pullup(ESTOP);
#endif
#ifdef ESTOP_ISR
mcu_config_input_isr(ESTOP);
#endif
#endif</v>
      </c>
      <c r="J109" s="4"/>
      <c r="K109" s="4"/>
      <c r="L109" s="4"/>
      <c r="M109" s="4"/>
    </row>
    <row r="110" spans="1:13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0"/>
        <v>#if (defined(SAFETY_DOOR_PORT) &amp;&amp; defined(SAFETY_DOOR_BIT))
#define SAFETY_DOOR 111
#define SAFETY_DOOR_GPIO (PORTREG(SAFETY_DOOR_PORT))
#define SAFETY_DOOR_PPORT (pinport(SAFETY_DOOR_PORT))
#define DIO111 111
#define DIO111_PORT SAFETY_DOOR_PORT
#define DIO111_BIT SAFETY_DOOR_BIT
#define DIO111_GPIO SAFETY_DOOR_GPIO
#define DIO111_PPORT SAFETY_DOOR_PPORT
#endif</v>
      </c>
      <c r="F110" s="12" t="str">
        <f t="shared" ref="F110:F112" si="13">"#if(defined("&amp;C110&amp;"_ISR) &amp;&amp; defined("&amp;C110&amp;"))
#define "&amp;C110&amp;"_ISRBIT ("&amp;C110&amp;"_BIT&amp;0x0F)
#define "&amp;C110&amp;"_ISRMASK (1U&lt;&lt;("&amp;C110&amp;"_BIT&amp;0x0F))
#define "&amp;C110&amp;"_PMUXVAL 0
#define "&amp;C110&amp;"_PMUX (pinmux("&amp;C110&amp;"_PORT, "&amp;C110&amp;"_BIT))
#define "&amp;C110&amp;"_PPORT (pinport("&amp;C110&amp;"_PORT))
#define "&amp;C110&amp;"_CB mcu_controls_changed_cb
#define "&amp;B110&amp;"_ISRBIT "&amp;C110&amp;"_ISRBIT
#define "&amp;B110&amp;"_ISRMASK "&amp;C110&amp;"_ISRMASK
#define "&amp;B110&amp;"_PMUXVAL 0
#define "&amp;B110&amp;"_PMUX "&amp;C110&amp;"_PMUX
#define "&amp;B110&amp;"_PPORT "&amp;C110&amp;"_PPORT
#define "&amp;B110&amp;"_CB "&amp;C110&amp;"_CB
#else
#define "&amp;C110&amp;"_ISRMASK 0
#define "&amp;B110&amp;"_ISRMASK 0
#endif"</f>
        <v>#if(defined(SAFETY_DOOR_ISR) &amp;&amp; defined(SAFETY_DOOR))
#define SAFETY_DOOR_ISRBIT (SAFETY_DOOR_BIT&amp;0x0F)
#define SAFETY_DOOR_ISRMASK (1U&lt;&lt;(SAFETY_DOOR_BIT&amp;0x0F))
#define SAFETY_DOOR_PMUXVAL 0
#define SAFETY_DOOR_PMUX (pinmux(SAFETY_DOOR_PORT, SAFETY_DOOR_BIT))
#define SAFETY_DOOR_PPORT (pinport(SAFETY_DOOR_PORT))
#define SAFETY_DOOR_CB mcu_controls_changed_cb
#define DIO111_ISRBIT SAFETY_DOOR_ISRBIT
#define DIO111_ISRMASK SAFETY_DOOR_ISRMASK
#define DIO111_PMUXVAL 0
#define DIO111_PMUX SAFETY_DOOR_PMUX
#define DIO111_PPORT SAFETY_DOOR_PPORT
#define DIO111_CB SAFETY_DOOR_CB
#else
#define SAFETY_DOOR_ISRMASK 0
#define DIO111_ISRMASK 0
#endif</v>
      </c>
      <c r="G110" s="9" t="str">
        <f t="shared" si="9"/>
        <v>SAFETY_DOOR_ISRMASK</v>
      </c>
      <c r="H110" s="9"/>
      <c r="I110" s="14" t="str">
        <f t="shared" si="12"/>
        <v>#if !(SAFETY_DOOR&lt;0)
mcu_config_input(SAFETY_DOOR);
#ifdef SAFETY_DOOR_PULLUP
mcu_config_pullup(SAFETY_DOOR);
#endif
#ifdef SAFETY_DOOR_ISR
mcu_config_input_isr(SAFETY_DOOR);
#endif
#endif</v>
      </c>
      <c r="J110" s="4"/>
      <c r="K110" s="4"/>
      <c r="L110" s="4"/>
      <c r="M110" s="4"/>
    </row>
    <row r="111" spans="1:13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0"/>
        <v>#if (defined(FHOLD_PORT) &amp;&amp; defined(FHOLD_BIT))
#define FHOLD 112
#define FHOLD_GPIO (PORTREG(FHOLD_PORT))
#define FHOLD_PPORT (pinport(FHOLD_PORT))
#define DIO112 112
#define DIO112_PORT FHOLD_PORT
#define DIO112_BIT FHOLD_BIT
#define DIO112_GPIO FHOLD_GPIO
#define DIO112_PPORT FHOLD_PPORT
#endif</v>
      </c>
      <c r="F111" s="12" t="str">
        <f t="shared" si="13"/>
        <v>#if(defined(FHOLD_ISR) &amp;&amp; defined(FHOLD))
#define FHOLD_ISRBIT (FHOLD_BIT&amp;0x0F)
#define FHOLD_ISRMASK (1U&lt;&lt;(FHOLD_BIT&amp;0x0F))
#define FHOLD_PMUXVAL 0
#define FHOLD_PMUX (pinmux(FHOLD_PORT, FHOLD_BIT))
#define FHOLD_PPORT (pinport(FHOLD_PORT))
#define FHOLD_CB mcu_controls_changed_cb
#define DIO112_ISRBIT FHOLD_ISRBIT
#define DIO112_ISRMASK FHOLD_ISRMASK
#define DIO112_PMUXVAL 0
#define DIO112_PMUX FHOLD_PMUX
#define DIO112_PPORT FHOLD_PPORT
#define DIO112_CB FHOLD_CB
#else
#define FHOLD_ISRMASK 0
#define DIO112_ISRMASK 0
#endif</v>
      </c>
      <c r="G111" s="9" t="str">
        <f t="shared" si="9"/>
        <v>FHOLD_ISRMASK</v>
      </c>
      <c r="H111" s="9"/>
      <c r="I111" s="14" t="str">
        <f t="shared" si="12"/>
        <v>#if !(FHOLD&lt;0)
mcu_config_input(FHOLD);
#ifdef FHOLD_PULLUP
mcu_config_pullup(FHOLD);
#endif
#ifdef FHOLD_ISR
mcu_config_input_isr(FHOLD);
#endif
#endif</v>
      </c>
      <c r="J111" s="4"/>
      <c r="K111" s="4"/>
      <c r="L111" s="4"/>
      <c r="M111" s="4"/>
    </row>
    <row r="112" spans="1:13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0"/>
        <v>#if (defined(CS_RES_PORT) &amp;&amp; defined(CS_RES_BIT))
#define CS_RES 113
#define CS_RES_GPIO (PORTREG(CS_RES_PORT))
#define CS_RES_PPORT (pinport(CS_RES_PORT))
#define DIO113 113
#define DIO113_PORT CS_RES_PORT
#define DIO113_BIT CS_RES_BIT
#define DIO113_GPIO CS_RES_GPIO
#define DIO113_PPORT CS_RES_PPORT
#endif</v>
      </c>
      <c r="F112" s="12" t="str">
        <f t="shared" si="13"/>
        <v>#if(defined(CS_RES_ISR) &amp;&amp; defined(CS_RES))
#define CS_RES_ISRBIT (CS_RES_BIT&amp;0x0F)
#define CS_RES_ISRMASK (1U&lt;&lt;(CS_RES_BIT&amp;0x0F))
#define CS_RES_PMUXVAL 0
#define CS_RES_PMUX (pinmux(CS_RES_PORT, CS_RES_BIT))
#define CS_RES_PPORT (pinport(CS_RES_PORT))
#define CS_RES_CB mcu_controls_changed_cb
#define DIO113_ISRBIT CS_RES_ISRBIT
#define DIO113_ISRMASK CS_RES_ISRMASK
#define DIO113_PMUXVAL 0
#define DIO113_PMUX CS_RES_PMUX
#define DIO113_PPORT CS_RES_PPORT
#define DIO113_CB CS_RES_CB
#else
#define CS_RES_ISRMASK 0
#define DIO113_ISRMASK 0
#endif</v>
      </c>
      <c r="G112" s="9" t="str">
        <f t="shared" si="9"/>
        <v>CS_RES_ISRMASK</v>
      </c>
      <c r="H112" s="11" t="s">
        <v>124</v>
      </c>
      <c r="I112" s="14" t="str">
        <f t="shared" si="12"/>
        <v>#if !(CS_RES&lt;0)
mcu_config_input(CS_RES);
#ifdef CS_RES_PULLUP
mcu_config_pullup(CS_RES);
#endif
#ifdef CS_RES_ISR
mcu_config_input_isr(CS_RES);
#endif
#endif</v>
      </c>
      <c r="J112" s="4"/>
      <c r="K112" s="4"/>
      <c r="L112" s="4"/>
      <c r="M112" s="4"/>
    </row>
    <row r="113" spans="1:13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0"/>
        <v>#if (defined(ANALOG0_PORT) &amp;&amp; defined(ANALOG0_BIT))
#define ANALOG0 114
#define ANALOG0_GPIO (PORTREG(ANALOG0_PORT))
#define ANALOG0_PPORT (pinport(ANALOG0_PORT))
#define DIO114 114
#define DIO114_PORT ANALOG0_PORT
#define DIO114_BIT ANALOG0_BIT
#define DIO114_GPIO ANALOG0_GPIO
#define DIO114_PPORT ANALOG0_PPORT
#endif</v>
      </c>
      <c r="F113" s="9"/>
      <c r="G113" s="9"/>
      <c r="H113" s="12" t="str">
        <f>"#ifdef "&amp;C113&amp;"
#ifdef "&amp;C113&amp;"_CHANNEL
#define "&amp;C113&amp;"_PMUXVAL 1
#define "&amp;C113&amp;"_PMUX (pinmux("&amp;C113&amp;"_PORT, "&amp;C113&amp;"_BIT))
#else
#error """""&amp;C113&amp;"_CHANNEL not defined""""
#endif
#define "&amp;B113&amp;"_CHANNEL "&amp;C113&amp;"_CHANNEL
#define "&amp;B113&amp;"_PMUXVAL "&amp;C113&amp;"_PMUXVAL
#define "&amp;B113&amp;"_PMUX "&amp;C113&amp;"_PMUX
#endif"</f>
        <v>#ifdef ANALOG0
#ifdef ANALOG0_CHANNEL
#define ANALOG0_PMUXVAL 1
#define ANALOG0_PMUX (pinmux(ANALOG0_PORT, ANALOG0_BIT))
#else
#error ""ANALOG0_CHANNEL not defined""
#endif
#define DIO114_CHANNEL ANALOG0_CHANNEL
#define DIO114_PMUXVAL ANALOG0_PMUXVAL
#define DIO114_PMUX ANALOG0_PMUX
#endif</v>
      </c>
      <c r="I113" s="13" t="str">
        <f>"#if !("&amp;C113&amp;"&lt;0)
mcu_config_analog("&amp;C113&amp;");
#endif"</f>
        <v>#if !(ANALOG0&lt;0)
mcu_config_analog(ANALOG0);
#endif</v>
      </c>
      <c r="J113" s="4"/>
      <c r="K113" s="4"/>
      <c r="L113" s="4"/>
      <c r="M113" s="4"/>
    </row>
    <row r="114" spans="1:13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0"/>
        <v>#if (defined(ANALOG1_PORT) &amp;&amp; defined(ANALOG1_BIT))
#define ANALOG1 115
#define ANALOG1_GPIO (PORTREG(ANALOG1_PORT))
#define ANALOG1_PPORT (pinport(ANALOG1_PORT))
#define DIO115 115
#define DIO115_PORT ANALOG1_PORT
#define DIO115_BIT ANALOG1_BIT
#define DIO115_GPIO ANALOG1_GPIO
#define DIO115_PPORT ANALOG1_PPORT
#endif</v>
      </c>
      <c r="F114" s="9"/>
      <c r="G114" s="9"/>
      <c r="H114" s="12" t="str">
        <f t="shared" ref="H114:H128" si="14">"#ifdef "&amp;C114&amp;"
#ifdef "&amp;C114&amp;"_CHANNEL
#define "&amp;C114&amp;"_PMUXVAL 1
#define "&amp;C114&amp;"_PMUX (pinmux("&amp;C114&amp;"_PORT, "&amp;C114&amp;"_BIT))
#else
#error """""&amp;C114&amp;"_CHANNEL not defined""""
#endif
#define "&amp;B114&amp;"_CHANNEL "&amp;C114&amp;"_CHANNEL
#define "&amp;B114&amp;"_PMUXVAL "&amp;C114&amp;"_PMUXVAL
#define "&amp;B114&amp;"_PMUX "&amp;C114&amp;"_PMUX
#endif"</f>
        <v>#ifdef ANALOG1
#ifdef ANALOG1_CHANNEL
#define ANALOG1_PMUXVAL 1
#define ANALOG1_PMUX (pinmux(ANALOG1_PORT, ANALOG1_BIT))
#else
#error ""ANALOG1_CHANNEL not defined""
#endif
#define DIO115_CHANNEL ANALOG1_CHANNEL
#define DIO115_PMUXVAL ANALOG1_PMUXVAL
#define DIO115_PMUX ANALOG1_PMUX
#endif</v>
      </c>
      <c r="I114" s="13" t="str">
        <f t="shared" ref="I114:I128" si="15">"#if !("&amp;C114&amp;"&lt;0)
mcu_config_analog("&amp;C114&amp;");
#endif"</f>
        <v>#if !(ANALOG1&lt;0)
mcu_config_analog(ANALOG1);
#endif</v>
      </c>
      <c r="J114" s="4"/>
      <c r="K114" s="4"/>
      <c r="L114" s="4"/>
      <c r="M114" s="4"/>
    </row>
    <row r="115" spans="1:13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0"/>
        <v>#if (defined(ANALOG2_PORT) &amp;&amp; defined(ANALOG2_BIT))
#define ANALOG2 116
#define ANALOG2_GPIO (PORTREG(ANALOG2_PORT))
#define ANALOG2_PPORT (pinport(ANALOG2_PORT))
#define DIO116 116
#define DIO116_PORT ANALOG2_PORT
#define DIO116_BIT ANALOG2_BIT
#define DIO116_GPIO ANALOG2_GPIO
#define DIO116_PPORT ANALOG2_PPORT
#endif</v>
      </c>
      <c r="F115" s="9"/>
      <c r="G115" s="9"/>
      <c r="H115" s="12" t="str">
        <f t="shared" si="14"/>
        <v>#ifdef ANALOG2
#ifdef ANALOG2_CHANNEL
#define ANALOG2_PMUXVAL 1
#define ANALOG2_PMUX (pinmux(ANALOG2_PORT, ANALOG2_BIT))
#else
#error ""ANALOG2_CHANNEL not defined""
#endif
#define DIO116_CHANNEL ANALOG2_CHANNEL
#define DIO116_PMUXVAL ANALOG2_PMUXVAL
#define DIO116_PMUX ANALOG2_PMUX
#endif</v>
      </c>
      <c r="I115" s="13" t="str">
        <f t="shared" si="15"/>
        <v>#if !(ANALOG2&lt;0)
mcu_config_analog(ANALOG2);
#endif</v>
      </c>
      <c r="J115" s="4"/>
      <c r="K115" s="4"/>
      <c r="L115" s="4"/>
      <c r="M115" s="4"/>
    </row>
    <row r="116" spans="1:13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0"/>
        <v>#if (defined(ANALOG3_PORT) &amp;&amp; defined(ANALOG3_BIT))
#define ANALOG3 117
#define ANALOG3_GPIO (PORTREG(ANALOG3_PORT))
#define ANALOG3_PPORT (pinport(ANALOG3_PORT))
#define DIO117 117
#define DIO117_PORT ANALOG3_PORT
#define DIO117_BIT ANALOG3_BIT
#define DIO117_GPIO ANALOG3_GPIO
#define DIO117_PPORT ANALOG3_PPORT
#endif</v>
      </c>
      <c r="F116" s="9"/>
      <c r="G116" s="9"/>
      <c r="H116" s="12" t="str">
        <f t="shared" si="14"/>
        <v>#ifdef ANALOG3
#ifdef ANALOG3_CHANNEL
#define ANALOG3_PMUXVAL 1
#define ANALOG3_PMUX (pinmux(ANALOG3_PORT, ANALOG3_BIT))
#else
#error ""ANALOG3_CHANNEL not defined""
#endif
#define DIO117_CHANNEL ANALOG3_CHANNEL
#define DIO117_PMUXVAL ANALOG3_PMUXVAL
#define DIO117_PMUX ANALOG3_PMUX
#endif</v>
      </c>
      <c r="I116" s="13" t="str">
        <f t="shared" si="15"/>
        <v>#if !(ANALOG3&lt;0)
mcu_config_analog(ANALOG3);
#endif</v>
      </c>
      <c r="J116" s="4"/>
      <c r="K116" s="4"/>
      <c r="L116" s="4"/>
      <c r="M116" s="4"/>
    </row>
    <row r="117" spans="1:13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0"/>
        <v>#if (defined(ANALOG4_PORT) &amp;&amp; defined(ANALOG4_BIT))
#define ANALOG4 118
#define ANALOG4_GPIO (PORTREG(ANALOG4_PORT))
#define ANALOG4_PPORT (pinport(ANALOG4_PORT))
#define DIO118 118
#define DIO118_PORT ANALOG4_PORT
#define DIO118_BIT ANALOG4_BIT
#define DIO118_GPIO ANALOG4_GPIO
#define DIO118_PPORT ANALOG4_PPORT
#endif</v>
      </c>
      <c r="F117" s="9"/>
      <c r="G117" s="9"/>
      <c r="H117" s="12" t="str">
        <f t="shared" si="14"/>
        <v>#ifdef ANALOG4
#ifdef ANALOG4_CHANNEL
#define ANALOG4_PMUXVAL 1
#define ANALOG4_PMUX (pinmux(ANALOG4_PORT, ANALOG4_BIT))
#else
#error ""ANALOG4_CHANNEL not defined""
#endif
#define DIO118_CHANNEL ANALOG4_CHANNEL
#define DIO118_PMUXVAL ANALOG4_PMUXVAL
#define DIO118_PMUX ANALOG4_PMUX
#endif</v>
      </c>
      <c r="I117" s="13" t="str">
        <f t="shared" si="15"/>
        <v>#if !(ANALOG4&lt;0)
mcu_config_analog(ANALOG4);
#endif</v>
      </c>
      <c r="J117" s="4"/>
      <c r="K117" s="4"/>
      <c r="L117" s="4"/>
      <c r="M117" s="4"/>
    </row>
    <row r="118" spans="1:13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0"/>
        <v>#if (defined(ANALOG5_PORT) &amp;&amp; defined(ANALOG5_BIT))
#define ANALOG5 119
#define ANALOG5_GPIO (PORTREG(ANALOG5_PORT))
#define ANALOG5_PPORT (pinport(ANALOG5_PORT))
#define DIO119 119
#define DIO119_PORT ANALOG5_PORT
#define DIO119_BIT ANALOG5_BIT
#define DIO119_GPIO ANALOG5_GPIO
#define DIO119_PPORT ANALOG5_PPORT
#endif</v>
      </c>
      <c r="F118" s="9"/>
      <c r="G118" s="9"/>
      <c r="H118" s="12" t="str">
        <f t="shared" si="14"/>
        <v>#ifdef ANALOG5
#ifdef ANALOG5_CHANNEL
#define ANALOG5_PMUXVAL 1
#define ANALOG5_PMUX (pinmux(ANALOG5_PORT, ANALOG5_BIT))
#else
#error ""ANALOG5_CHANNEL not defined""
#endif
#define DIO119_CHANNEL ANALOG5_CHANNEL
#define DIO119_PMUXVAL ANALOG5_PMUXVAL
#define DIO119_PMUX ANALOG5_PMUX
#endif</v>
      </c>
      <c r="I118" s="13" t="str">
        <f t="shared" si="15"/>
        <v>#if !(ANALOG5&lt;0)
mcu_config_analog(ANALOG5);
#endif</v>
      </c>
      <c r="J118" s="4"/>
      <c r="K118" s="4"/>
      <c r="L118" s="4"/>
      <c r="M118" s="4"/>
    </row>
    <row r="119" spans="1:13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0"/>
        <v>#if (defined(ANALOG6_PORT) &amp;&amp; defined(ANALOG6_BIT))
#define ANALOG6 120
#define ANALOG6_GPIO (PORTREG(ANALOG6_PORT))
#define ANALOG6_PPORT (pinport(ANALOG6_PORT))
#define DIO120 120
#define DIO120_PORT ANALOG6_PORT
#define DIO120_BIT ANALOG6_BIT
#define DIO120_GPIO ANALOG6_GPIO
#define DIO120_PPORT ANALOG6_PPORT
#endif</v>
      </c>
      <c r="F119" s="9"/>
      <c r="G119" s="9"/>
      <c r="H119" s="12" t="str">
        <f t="shared" si="14"/>
        <v>#ifdef ANALOG6
#ifdef ANALOG6_CHANNEL
#define ANALOG6_PMUXVAL 1
#define ANALOG6_PMUX (pinmux(ANALOG6_PORT, ANALOG6_BIT))
#else
#error ""ANALOG6_CHANNEL not defined""
#endif
#define DIO120_CHANNEL ANALOG6_CHANNEL
#define DIO120_PMUXVAL ANALOG6_PMUXVAL
#define DIO120_PMUX ANALOG6_PMUX
#endif</v>
      </c>
      <c r="I119" s="13" t="str">
        <f t="shared" si="15"/>
        <v>#if !(ANALOG6&lt;0)
mcu_config_analog(ANALOG6);
#endif</v>
      </c>
      <c r="J119" s="4"/>
      <c r="K119" s="4"/>
      <c r="L119" s="4"/>
      <c r="M119" s="4"/>
    </row>
    <row r="120" spans="1:13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0"/>
        <v>#if (defined(ANALOG7_PORT) &amp;&amp; defined(ANALOG7_BIT))
#define ANALOG7 121
#define ANALOG7_GPIO (PORTREG(ANALOG7_PORT))
#define ANALOG7_PPORT (pinport(ANALOG7_PORT))
#define DIO121 121
#define DIO121_PORT ANALOG7_PORT
#define DIO121_BIT ANALOG7_BIT
#define DIO121_GPIO ANALOG7_GPIO
#define DIO121_PPORT ANALOG7_PPORT
#endif</v>
      </c>
      <c r="F120" s="9"/>
      <c r="G120" s="9"/>
      <c r="H120" s="12" t="str">
        <f t="shared" si="14"/>
        <v>#ifdef ANALOG7
#ifdef ANALOG7_CHANNEL
#define ANALOG7_PMUXVAL 1
#define ANALOG7_PMUX (pinmux(ANALOG7_PORT, ANALOG7_BIT))
#else
#error ""ANALOG7_CHANNEL not defined""
#endif
#define DIO121_CHANNEL ANALOG7_CHANNEL
#define DIO121_PMUXVAL ANALOG7_PMUXVAL
#define DIO121_PMUX ANALOG7_PMUX
#endif</v>
      </c>
      <c r="I120" s="13" t="str">
        <f t="shared" si="15"/>
        <v>#if !(ANALOG7&lt;0)
mcu_config_analog(ANALOG7);
#endif</v>
      </c>
      <c r="J120" s="4"/>
      <c r="K120" s="4"/>
      <c r="L120" s="4"/>
      <c r="M120" s="4"/>
    </row>
    <row r="121" spans="1:13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0"/>
        <v>#if (defined(ANALOG8_PORT) &amp;&amp; defined(ANALOG8_BIT))
#define ANALOG8 122
#define ANALOG8_GPIO (PORTREG(ANALOG8_PORT))
#define ANALOG8_PPORT (pinport(ANALOG8_PORT))
#define DIO122 122
#define DIO122_PORT ANALOG8_PORT
#define DIO122_BIT ANALOG8_BIT
#define DIO122_GPIO ANALOG8_GPIO
#define DIO122_PPORT ANALOG8_PPORT
#endif</v>
      </c>
      <c r="F121" s="9"/>
      <c r="G121" s="9"/>
      <c r="H121" s="12" t="str">
        <f t="shared" si="14"/>
        <v>#ifdef ANALOG8
#ifdef ANALOG8_CHANNEL
#define ANALOG8_PMUXVAL 1
#define ANALOG8_PMUX (pinmux(ANALOG8_PORT, ANALOG8_BIT))
#else
#error ""ANALOG8_CHANNEL not defined""
#endif
#define DIO122_CHANNEL ANALOG8_CHANNEL
#define DIO122_PMUXVAL ANALOG8_PMUXVAL
#define DIO122_PMUX ANALOG8_PMUX
#endif</v>
      </c>
      <c r="I121" s="13" t="str">
        <f t="shared" si="15"/>
        <v>#if !(ANALOG8&lt;0)
mcu_config_analog(ANALOG8);
#endif</v>
      </c>
      <c r="J121" s="4"/>
      <c r="K121" s="4"/>
      <c r="L121" s="4"/>
      <c r="M121" s="4"/>
    </row>
    <row r="122" spans="1:13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0"/>
        <v>#if (defined(ANALOG9_PORT) &amp;&amp; defined(ANALOG9_BIT))
#define ANALOG9 123
#define ANALOG9_GPIO (PORTREG(ANALOG9_PORT))
#define ANALOG9_PPORT (pinport(ANALOG9_PORT))
#define DIO123 123
#define DIO123_PORT ANALOG9_PORT
#define DIO123_BIT ANALOG9_BIT
#define DIO123_GPIO ANALOG9_GPIO
#define DIO123_PPORT ANALOG9_PPORT
#endif</v>
      </c>
      <c r="F122" s="9"/>
      <c r="G122" s="9"/>
      <c r="H122" s="12" t="str">
        <f t="shared" si="14"/>
        <v>#ifdef ANALOG9
#ifdef ANALOG9_CHANNEL
#define ANALOG9_PMUXVAL 1
#define ANALOG9_PMUX (pinmux(ANALOG9_PORT, ANALOG9_BIT))
#else
#error ""ANALOG9_CHANNEL not defined""
#endif
#define DIO123_CHANNEL ANALOG9_CHANNEL
#define DIO123_PMUXVAL ANALOG9_PMUXVAL
#define DIO123_PMUX ANALOG9_PMUX
#endif</v>
      </c>
      <c r="I122" s="13" t="str">
        <f t="shared" si="15"/>
        <v>#if !(ANALOG9&lt;0)
mcu_config_analog(ANALOG9);
#endif</v>
      </c>
      <c r="J122" s="4"/>
      <c r="K122" s="4"/>
      <c r="L122" s="4"/>
      <c r="M122" s="4"/>
    </row>
    <row r="123" spans="1:13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0"/>
        <v>#if (defined(ANALOG10_PORT) &amp;&amp; defined(ANALOG10_BIT))
#define ANALOG10 124
#define ANALOG10_GPIO (PORTREG(ANALOG10_PORT))
#define ANALOG10_PPORT (pinport(ANALOG10_PORT))
#define DIO124 124
#define DIO124_PORT ANALOG10_PORT
#define DIO124_BIT ANALOG10_BIT
#define DIO124_GPIO ANALOG10_GPIO
#define DIO124_PPORT ANALOG10_PPORT
#endif</v>
      </c>
      <c r="F123" s="9"/>
      <c r="G123" s="9"/>
      <c r="H123" s="12" t="str">
        <f t="shared" si="14"/>
        <v>#ifdef ANALOG10
#ifdef ANALOG10_CHANNEL
#define ANALOG10_PMUXVAL 1
#define ANALOG10_PMUX (pinmux(ANALOG10_PORT, ANALOG10_BIT))
#else
#error ""ANALOG10_CHANNEL not defined""
#endif
#define DIO124_CHANNEL ANALOG10_CHANNEL
#define DIO124_PMUXVAL ANALOG10_PMUXVAL
#define DIO124_PMUX ANALOG10_PMUX
#endif</v>
      </c>
      <c r="I123" s="13" t="str">
        <f t="shared" si="15"/>
        <v>#if !(ANALOG10&lt;0)
mcu_config_analog(ANALOG10);
#endif</v>
      </c>
      <c r="J123" s="4"/>
      <c r="K123" s="4"/>
      <c r="L123" s="4"/>
      <c r="M123" s="4"/>
    </row>
    <row r="124" spans="1:13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0"/>
        <v>#if (defined(ANALOG11_PORT) &amp;&amp; defined(ANALOG11_BIT))
#define ANALOG11 125
#define ANALOG11_GPIO (PORTREG(ANALOG11_PORT))
#define ANALOG11_PPORT (pinport(ANALOG11_PORT))
#define DIO125 125
#define DIO125_PORT ANALOG11_PORT
#define DIO125_BIT ANALOG11_BIT
#define DIO125_GPIO ANALOG11_GPIO
#define DIO125_PPORT ANALOG11_PPORT
#endif</v>
      </c>
      <c r="F124" s="9"/>
      <c r="G124" s="9"/>
      <c r="H124" s="12" t="str">
        <f t="shared" si="14"/>
        <v>#ifdef ANALOG11
#ifdef ANALOG11_CHANNEL
#define ANALOG11_PMUXVAL 1
#define ANALOG11_PMUX (pinmux(ANALOG11_PORT, ANALOG11_BIT))
#else
#error ""ANALOG11_CHANNEL not defined""
#endif
#define DIO125_CHANNEL ANALOG11_CHANNEL
#define DIO125_PMUXVAL ANALOG11_PMUXVAL
#define DIO125_PMUX ANALOG11_PMUX
#endif</v>
      </c>
      <c r="I124" s="13" t="str">
        <f t="shared" si="15"/>
        <v>#if !(ANALOG11&lt;0)
mcu_config_analog(ANALOG11);
#endif</v>
      </c>
      <c r="J124" s="4"/>
      <c r="K124" s="4"/>
      <c r="L124" s="4"/>
      <c r="M124" s="4"/>
    </row>
    <row r="125" spans="1:13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0"/>
        <v>#if (defined(ANALOG12_PORT) &amp;&amp; defined(ANALOG12_BIT))
#define ANALOG12 126
#define ANALOG12_GPIO (PORTREG(ANALOG12_PORT))
#define ANALOG12_PPORT (pinport(ANALOG12_PORT))
#define DIO126 126
#define DIO126_PORT ANALOG12_PORT
#define DIO126_BIT ANALOG12_BIT
#define DIO126_GPIO ANALOG12_GPIO
#define DIO126_PPORT ANALOG12_PPORT
#endif</v>
      </c>
      <c r="F125" s="9"/>
      <c r="G125" s="9"/>
      <c r="H125" s="12" t="str">
        <f t="shared" si="14"/>
        <v>#ifdef ANALOG12
#ifdef ANALOG12_CHANNEL
#define ANALOG12_PMUXVAL 1
#define ANALOG12_PMUX (pinmux(ANALOG12_PORT, ANALOG12_BIT))
#else
#error ""ANALOG12_CHANNEL not defined""
#endif
#define DIO126_CHANNEL ANALOG12_CHANNEL
#define DIO126_PMUXVAL ANALOG12_PMUXVAL
#define DIO126_PMUX ANALOG12_PMUX
#endif</v>
      </c>
      <c r="I125" s="13" t="str">
        <f t="shared" si="15"/>
        <v>#if !(ANALOG12&lt;0)
mcu_config_analog(ANALOG12);
#endif</v>
      </c>
      <c r="J125" s="4"/>
      <c r="K125" s="4"/>
      <c r="L125" s="4"/>
      <c r="M125" s="4"/>
    </row>
    <row r="126" spans="1:13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0"/>
        <v>#if (defined(ANALOG13_PORT) &amp;&amp; defined(ANALOG13_BIT))
#define ANALOG13 127
#define ANALOG13_GPIO (PORTREG(ANALOG13_PORT))
#define ANALOG13_PPORT (pinport(ANALOG13_PORT))
#define DIO127 127
#define DIO127_PORT ANALOG13_PORT
#define DIO127_BIT ANALOG13_BIT
#define DIO127_GPIO ANALOG13_GPIO
#define DIO127_PPORT ANALOG13_PPORT
#endif</v>
      </c>
      <c r="F126" s="9"/>
      <c r="G126" s="9"/>
      <c r="H126" s="12" t="str">
        <f t="shared" si="14"/>
        <v>#ifdef ANALOG13
#ifdef ANALOG13_CHANNEL
#define ANALOG13_PMUXVAL 1
#define ANALOG13_PMUX (pinmux(ANALOG13_PORT, ANALOG13_BIT))
#else
#error ""ANALOG13_CHANNEL not defined""
#endif
#define DIO127_CHANNEL ANALOG13_CHANNEL
#define DIO127_PMUXVAL ANALOG13_PMUXVAL
#define DIO127_PMUX ANALOG13_PMUX
#endif</v>
      </c>
      <c r="I126" s="13" t="str">
        <f t="shared" si="15"/>
        <v>#if !(ANALOG13&lt;0)
mcu_config_analog(ANALOG13);
#endif</v>
      </c>
      <c r="J126" s="4"/>
      <c r="K126" s="4"/>
      <c r="L126" s="4"/>
      <c r="M126" s="4"/>
    </row>
    <row r="127" spans="1:13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0"/>
        <v>#if (defined(ANALOG14_PORT) &amp;&amp; defined(ANALOG14_BIT))
#define ANALOG14 128
#define ANALOG14_GPIO (PORTREG(ANALOG14_PORT))
#define ANALOG14_PPORT (pinport(ANALOG14_PORT))
#define DIO128 128
#define DIO128_PORT ANALOG14_PORT
#define DIO128_BIT ANALOG14_BIT
#define DIO128_GPIO ANALOG14_GPIO
#define DIO128_PPORT ANALOG14_PPORT
#endif</v>
      </c>
      <c r="F127" s="9"/>
      <c r="G127" s="9"/>
      <c r="H127" s="12" t="str">
        <f t="shared" si="14"/>
        <v>#ifdef ANALOG14
#ifdef ANALOG14_CHANNEL
#define ANALOG14_PMUXVAL 1
#define ANALOG14_PMUX (pinmux(ANALOG14_PORT, ANALOG14_BIT))
#else
#error ""ANALOG14_CHANNEL not defined""
#endif
#define DIO128_CHANNEL ANALOG14_CHANNEL
#define DIO128_PMUXVAL ANALOG14_PMUXVAL
#define DIO128_PMUX ANALOG14_PMUX
#endif</v>
      </c>
      <c r="I127" s="13" t="str">
        <f t="shared" si="15"/>
        <v>#if !(ANALOG14&lt;0)
mcu_config_analog(ANALOG14);
#endif</v>
      </c>
      <c r="J127" s="4"/>
      <c r="K127" s="4"/>
      <c r="L127" s="4"/>
      <c r="M127" s="4"/>
    </row>
    <row r="128" spans="1:13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0"/>
        <v>#if (defined(ANALOG15_PORT) &amp;&amp; defined(ANALOG15_BIT))
#define ANALOG15 129
#define ANALOG15_GPIO (PORTREG(ANALOG15_PORT))
#define ANALOG15_PPORT (pinport(ANALOG15_PORT))
#define DIO129 129
#define DIO129_PORT ANALOG15_PORT
#define DIO129_BIT ANALOG15_BIT
#define DIO129_GPIO ANALOG15_GPIO
#define DIO129_PPORT ANALOG15_PPORT
#endif</v>
      </c>
      <c r="F128" s="9"/>
      <c r="G128" s="9"/>
      <c r="H128" s="12" t="str">
        <f t="shared" si="14"/>
        <v>#ifdef ANALOG15
#ifdef ANALOG15_CHANNEL
#define ANALOG15_PMUXVAL 1
#define ANALOG15_PMUX (pinmux(ANALOG15_PORT, ANALOG15_BIT))
#else
#error ""ANALOG15_CHANNEL not defined""
#endif
#define DIO129_CHANNEL ANALOG15_CHANNEL
#define DIO129_PMUXVAL ANALOG15_PMUXVAL
#define DIO129_PMUX ANALOG15_PMUX
#endif</v>
      </c>
      <c r="I128" s="13" t="str">
        <f t="shared" si="15"/>
        <v>#if !(ANALOG15&lt;0)
mcu_config_analog(ANALOG15);
#endif</v>
      </c>
      <c r="J128" s="4"/>
      <c r="K128" s="4"/>
      <c r="L128" s="4"/>
      <c r="M128" s="4"/>
    </row>
    <row r="129" spans="1:13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0"/>
        <v>#if (defined(DIN0_PORT) &amp;&amp; defined(DIN0_BIT))
#define DIN0 130
#define DIN0_GPIO (PORTREG(DIN0_PORT))
#define DIN0_PPORT (pinport(DIN0_PORT))
#define DIO130 130
#define DIO130_PORT DIN0_PORT
#define DIO130_BIT DIN0_BIT
#define DIO130_GPIO DIN0_GPIO
#define DIO130_PPORT DIN0_PPORT
#endif</v>
      </c>
      <c r="F129" s="12" t="str">
        <f>"#if(defined("&amp;C129&amp;"_ISR) &amp;&amp; defined("&amp;C129&amp;"))
#define "&amp;C129&amp;"_ISRBIT ("&amp;C129&amp;"_BIT&amp;0x0F)
#define "&amp;C129&amp;"_ISRMASK (1U&lt;&lt;("&amp;C129&amp;"_BIT&amp;0x0F))
#define "&amp;C129&amp;"_PMUXVAL 0
#define "&amp;C129&amp;"_PMUX (pinmux("&amp;C129&amp;"_PORT, "&amp;C129&amp;"_BIT))
#define "&amp;C129&amp;"_PPORT (pinport("&amp;C129&amp;"_PORT))
#define "&amp;C129&amp;"_CB mcu_inputs_changed_cb
#define "&amp;B129&amp;"_ISRBIT "&amp;C129&amp;"_ISRBIT
#define "&amp;B129&amp;"_ISRMASK "&amp;C129&amp;"_ISRMASK
#define "&amp;B129&amp;"_PMUXVAL 0
#define "&amp;B129&amp;"_PMUX "&amp;C129&amp;"_PMUX
#define "&amp;B129&amp;"_PPORT "&amp;C129&amp;"_PPORT
#define "&amp;B129&amp;"_CB "&amp;C129&amp;"_CB
#else
#define "&amp;C129&amp;"_ISRMASK 0
#define "&amp;B129&amp;"_ISRMASK 0
#endif"</f>
        <v>#if(defined(DIN0_ISR) &amp;&amp; defined(DIN0))
#define DIN0_ISRBIT (DIN0_BIT&amp;0x0F)
#define DIN0_ISRMASK (1U&lt;&lt;(DIN0_BIT&amp;0x0F))
#define DIN0_PMUXVAL 0
#define DIN0_PMUX (pinmux(DIN0_PORT, DIN0_BIT))
#define DIN0_PPORT (pinport(DIN0_PORT))
#define DIN0_CB mcu_inputs_changed_cb
#define DIO130_ISRBIT DIN0_ISRBIT
#define DIO130_ISRMASK DIN0_ISRMASK
#define DIO130_PMUXVAL 0
#define DIO130_PMUX DIN0_PMUX
#define DIO130_PPORT DIN0_PPORT
#define DIO130_CB DIN0_CB
#else
#define DIN0_ISRMASK 0
#define DIO130_ISRMASK 0
#endif</v>
      </c>
      <c r="G129" s="9" t="str">
        <f t="shared" ref="G129:G136" si="16">""&amp;C129&amp;"_ISRMASK"</f>
        <v>DIN0_ISRMASK</v>
      </c>
      <c r="H129" s="9"/>
      <c r="I129" s="14" t="str">
        <f>"#if !("&amp;C129&amp;"&lt;0)
mcu_config_input("&amp;C129&amp;");
#ifdef "&amp;C129&amp;"_PULLUP
mcu_config_pullup("&amp;C129&amp;");
#endif
#ifdef "&amp;C129&amp;"_ISR
mcu_config_input_isr("&amp;C129&amp;");
#endif
#endif"</f>
        <v>#if !(DIN0&lt;0)
mcu_config_input(DIN0);
#ifdef DIN0_PULLUP
mcu_config_pullup(DIN0);
#endif
#ifdef DIN0_ISR
mcu_config_input_isr(DIN0);
#endif
#endif</v>
      </c>
      <c r="J129" s="4"/>
      <c r="K129" s="4"/>
      <c r="L129" s="4"/>
      <c r="M129" s="4"/>
    </row>
    <row r="130" spans="1:13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0"/>
        <v>#if (defined(DIN1_PORT) &amp;&amp; defined(DIN1_BIT))
#define DIN1 131
#define DIN1_GPIO (PORTREG(DIN1_PORT))
#define DIN1_PPORT (pinport(DIN1_PORT))
#define DIO131 131
#define DIO131_PORT DIN1_PORT
#define DIO131_BIT DIN1_BIT
#define DIO131_GPIO DIN1_GPIO
#define DIO131_PPORT DIN1_PPORT
#endif</v>
      </c>
      <c r="F130" s="12" t="str">
        <f t="shared" ref="F130:F136" si="17">"#if(defined("&amp;C130&amp;"_ISR) &amp;&amp; defined("&amp;C130&amp;"))
#define "&amp;C130&amp;"_ISRBIT ("&amp;C130&amp;"_BIT&amp;0x0F)
#define "&amp;C130&amp;"_ISRMASK (1U&lt;&lt;("&amp;C130&amp;"_BIT&amp;0x0F))
#define "&amp;C130&amp;"_PMUXVAL 0
#define "&amp;C130&amp;"_PMUX (pinmux("&amp;C130&amp;"_PORT, "&amp;C130&amp;"_BIT))
#define "&amp;C130&amp;"_PPORT (pinport("&amp;C130&amp;"_PORT))
#define "&amp;C130&amp;"_CB mcu_inputs_changed_cb
#define "&amp;B130&amp;"_ISRBIT "&amp;C130&amp;"_ISRBIT
#define "&amp;B130&amp;"_ISRMASK "&amp;C130&amp;"_ISRMASK
#define "&amp;B130&amp;"_PMUXVAL 0
#define "&amp;B130&amp;"_PMUX "&amp;C130&amp;"_PMUX
#define "&amp;B130&amp;"_PPORT "&amp;C130&amp;"_PPORT
#define "&amp;B130&amp;"_CB "&amp;C130&amp;"_CB
#else
#define "&amp;C130&amp;"_ISRMASK 0
#define "&amp;B130&amp;"_ISRMASK 0
#endif"</f>
        <v>#if(defined(DIN1_ISR) &amp;&amp; defined(DIN1))
#define DIN1_ISRBIT (DIN1_BIT&amp;0x0F)
#define DIN1_ISRMASK (1U&lt;&lt;(DIN1_BIT&amp;0x0F))
#define DIN1_PMUXVAL 0
#define DIN1_PMUX (pinmux(DIN1_PORT, DIN1_BIT))
#define DIN1_PPORT (pinport(DIN1_PORT))
#define DIN1_CB mcu_inputs_changed_cb
#define DIO131_ISRBIT DIN1_ISRBIT
#define DIO131_ISRMASK DIN1_ISRMASK
#define DIO131_PMUXVAL 0
#define DIO131_PMUX DIN1_PMUX
#define DIO131_PPORT DIN1_PPORT
#define DIO131_CB DIN1_CB
#else
#define DIN1_ISRMASK 0
#define DIO131_ISRMASK 0
#endif</v>
      </c>
      <c r="G130" s="9" t="str">
        <f t="shared" si="16"/>
        <v>DIN1_ISRMASK</v>
      </c>
      <c r="H130" s="9"/>
      <c r="I130" s="14" t="str">
        <f t="shared" ref="I130:I136" si="18">"#if !("&amp;C130&amp;"&lt;0)
mcu_config_input("&amp;C130&amp;");
#ifdef "&amp;C130&amp;"_PULLUP
mcu_config_pullup("&amp;C130&amp;");
#endif
#ifdef "&amp;C130&amp;"_ISR
mcu_config_input_isr("&amp;C130&amp;");
#endif
#endif"</f>
        <v>#if !(DIN1&lt;0)
mcu_config_input(DIN1);
#ifdef DIN1_PULLUP
mcu_config_pullup(DIN1);
#endif
#ifdef DIN1_ISR
mcu_config_input_isr(DIN1);
#endif
#endif</v>
      </c>
      <c r="J130" s="4"/>
      <c r="K130" s="4"/>
      <c r="L130" s="4"/>
      <c r="M130" s="4"/>
    </row>
    <row r="131" spans="1:13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0"/>
        <v>#if (defined(DIN2_PORT) &amp;&amp; defined(DIN2_BIT))
#define DIN2 132
#define DIN2_GPIO (PORTREG(DIN2_PORT))
#define DIN2_PPORT (pinport(DIN2_PORT))
#define DIO132 132
#define DIO132_PORT DIN2_PORT
#define DIO132_BIT DIN2_BIT
#define DIO132_GPIO DIN2_GPIO
#define DIO132_PPORT DIN2_PPORT
#endif</v>
      </c>
      <c r="F131" s="12" t="str">
        <f t="shared" si="17"/>
        <v>#if(defined(DIN2_ISR) &amp;&amp; defined(DIN2))
#define DIN2_ISRBIT (DIN2_BIT&amp;0x0F)
#define DIN2_ISRMASK (1U&lt;&lt;(DIN2_BIT&amp;0x0F))
#define DIN2_PMUXVAL 0
#define DIN2_PMUX (pinmux(DIN2_PORT, DIN2_BIT))
#define DIN2_PPORT (pinport(DIN2_PORT))
#define DIN2_CB mcu_inputs_changed_cb
#define DIO132_ISRBIT DIN2_ISRBIT
#define DIO132_ISRMASK DIN2_ISRMASK
#define DIO132_PMUXVAL 0
#define DIO132_PMUX DIN2_PMUX
#define DIO132_PPORT DIN2_PPORT
#define DIO132_CB DIN2_CB
#else
#define DIN2_ISRMASK 0
#define DIO132_ISRMASK 0
#endif</v>
      </c>
      <c r="G131" s="9" t="str">
        <f t="shared" si="16"/>
        <v>DIN2_ISRMASK</v>
      </c>
      <c r="H131" s="9"/>
      <c r="I131" s="14" t="str">
        <f t="shared" si="18"/>
        <v>#if !(DIN2&lt;0)
mcu_config_input(DIN2);
#ifdef DIN2_PULLUP
mcu_config_pullup(DIN2);
#endif
#ifdef DIN2_ISR
mcu_config_input_isr(DIN2);
#endif
#endif</v>
      </c>
      <c r="J131" s="4"/>
      <c r="K131" s="4"/>
      <c r="L131" s="4"/>
      <c r="M131" s="4"/>
    </row>
    <row r="132" spans="1:13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0"/>
        <v>#if (defined(DIN3_PORT) &amp;&amp; defined(DIN3_BIT))
#define DIN3 133
#define DIN3_GPIO (PORTREG(DIN3_PORT))
#define DIN3_PPORT (pinport(DIN3_PORT))
#define DIO133 133
#define DIO133_PORT DIN3_PORT
#define DIO133_BIT DIN3_BIT
#define DIO133_GPIO DIN3_GPIO
#define DIO133_PPORT DIN3_PPORT
#endif</v>
      </c>
      <c r="F132" s="12" t="str">
        <f t="shared" si="17"/>
        <v>#if(defined(DIN3_ISR) &amp;&amp; defined(DIN3))
#define DIN3_ISRBIT (DIN3_BIT&amp;0x0F)
#define DIN3_ISRMASK (1U&lt;&lt;(DIN3_BIT&amp;0x0F))
#define DIN3_PMUXVAL 0
#define DIN3_PMUX (pinmux(DIN3_PORT, DIN3_BIT))
#define DIN3_PPORT (pinport(DIN3_PORT))
#define DIN3_CB mcu_inputs_changed_cb
#define DIO133_ISRBIT DIN3_ISRBIT
#define DIO133_ISRMASK DIN3_ISRMASK
#define DIO133_PMUXVAL 0
#define DIO133_PMUX DIN3_PMUX
#define DIO133_PPORT DIN3_PPORT
#define DIO133_CB DIN3_CB
#else
#define DIN3_ISRMASK 0
#define DIO133_ISRMASK 0
#endif</v>
      </c>
      <c r="G132" s="9" t="str">
        <f t="shared" si="16"/>
        <v>DIN3_ISRMASK</v>
      </c>
      <c r="H132" s="9"/>
      <c r="I132" s="14" t="str">
        <f t="shared" si="18"/>
        <v>#if !(DIN3&lt;0)
mcu_config_input(DIN3);
#ifdef DIN3_PULLUP
mcu_config_pullup(DIN3);
#endif
#ifdef DIN3_ISR
mcu_config_input_isr(DIN3);
#endif
#endif</v>
      </c>
      <c r="J132" s="4"/>
      <c r="K132" s="4"/>
      <c r="L132" s="4"/>
      <c r="M132" s="4"/>
    </row>
    <row r="133" spans="1:13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0"/>
        <v>#if (defined(DIN4_PORT) &amp;&amp; defined(DIN4_BIT))
#define DIN4 134
#define DIN4_GPIO (PORTREG(DIN4_PORT))
#define DIN4_PPORT (pinport(DIN4_PORT))
#define DIO134 134
#define DIO134_PORT DIN4_PORT
#define DIO134_BIT DIN4_BIT
#define DIO134_GPIO DIN4_GPIO
#define DIO134_PPORT DIN4_PPORT
#endif</v>
      </c>
      <c r="F133" s="12" t="str">
        <f t="shared" si="17"/>
        <v>#if(defined(DIN4_ISR) &amp;&amp; defined(DIN4))
#define DIN4_ISRBIT (DIN4_BIT&amp;0x0F)
#define DIN4_ISRMASK (1U&lt;&lt;(DIN4_BIT&amp;0x0F))
#define DIN4_PMUXVAL 0
#define DIN4_PMUX (pinmux(DIN4_PORT, DIN4_BIT))
#define DIN4_PPORT (pinport(DIN4_PORT))
#define DIN4_CB mcu_inputs_changed_cb
#define DIO134_ISRBIT DIN4_ISRBIT
#define DIO134_ISRMASK DIN4_ISRMASK
#define DIO134_PMUXVAL 0
#define DIO134_PMUX DIN4_PMUX
#define DIO134_PPORT DIN4_PPORT
#define DIO134_CB DIN4_CB
#else
#define DIN4_ISRMASK 0
#define DIO134_ISRMASK 0
#endif</v>
      </c>
      <c r="G133" s="9" t="str">
        <f t="shared" si="16"/>
        <v>DIN4_ISRMASK</v>
      </c>
      <c r="H133" s="9"/>
      <c r="I133" s="14" t="str">
        <f t="shared" si="18"/>
        <v>#if !(DIN4&lt;0)
mcu_config_input(DIN4);
#ifdef DIN4_PULLUP
mcu_config_pullup(DIN4);
#endif
#ifdef DIN4_ISR
mcu_config_input_isr(DIN4);
#endif
#endif</v>
      </c>
      <c r="J133" s="4"/>
      <c r="K133" s="4"/>
      <c r="L133" s="4"/>
      <c r="M133" s="4"/>
    </row>
    <row r="134" spans="1:13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0"/>
        <v>#if (defined(DIN5_PORT) &amp;&amp; defined(DIN5_BIT))
#define DIN5 135
#define DIN5_GPIO (PORTREG(DIN5_PORT))
#define DIN5_PPORT (pinport(DIN5_PORT))
#define DIO135 135
#define DIO135_PORT DIN5_PORT
#define DIO135_BIT DIN5_BIT
#define DIO135_GPIO DIN5_GPIO
#define DIO135_PPORT DIN5_PPORT
#endif</v>
      </c>
      <c r="F134" s="12" t="str">
        <f t="shared" si="17"/>
        <v>#if(defined(DIN5_ISR) &amp;&amp; defined(DIN5))
#define DIN5_ISRBIT (DIN5_BIT&amp;0x0F)
#define DIN5_ISRMASK (1U&lt;&lt;(DIN5_BIT&amp;0x0F))
#define DIN5_PMUXVAL 0
#define DIN5_PMUX (pinmux(DIN5_PORT, DIN5_BIT))
#define DIN5_PPORT (pinport(DIN5_PORT))
#define DIN5_CB mcu_inputs_changed_cb
#define DIO135_ISRBIT DIN5_ISRBIT
#define DIO135_ISRMASK DIN5_ISRMASK
#define DIO135_PMUXVAL 0
#define DIO135_PMUX DIN5_PMUX
#define DIO135_PPORT DIN5_PPORT
#define DIO135_CB DIN5_CB
#else
#define DIN5_ISRMASK 0
#define DIO135_ISRMASK 0
#endif</v>
      </c>
      <c r="G134" s="9" t="str">
        <f t="shared" si="16"/>
        <v>DIN5_ISRMASK</v>
      </c>
      <c r="H134" s="9"/>
      <c r="I134" s="14" t="str">
        <f t="shared" si="18"/>
        <v>#if !(DIN5&lt;0)
mcu_config_input(DIN5);
#ifdef DIN5_PULLUP
mcu_config_pullup(DIN5);
#endif
#ifdef DIN5_ISR
mcu_config_input_isr(DIN5);
#endif
#endif</v>
      </c>
      <c r="J134" s="4"/>
      <c r="K134" s="4"/>
      <c r="L134" s="4"/>
      <c r="M134" s="4"/>
    </row>
    <row r="135" spans="1:13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0"/>
        <v>#if (defined(DIN6_PORT) &amp;&amp; defined(DIN6_BIT))
#define DIN6 136
#define DIN6_GPIO (PORTREG(DIN6_PORT))
#define DIN6_PPORT (pinport(DIN6_PORT))
#define DIO136 136
#define DIO136_PORT DIN6_PORT
#define DIO136_BIT DIN6_BIT
#define DIO136_GPIO DIN6_GPIO
#define DIO136_PPORT DIN6_PPORT
#endif</v>
      </c>
      <c r="F135" s="12" t="str">
        <f t="shared" si="17"/>
        <v>#if(defined(DIN6_ISR) &amp;&amp; defined(DIN6))
#define DIN6_ISRBIT (DIN6_BIT&amp;0x0F)
#define DIN6_ISRMASK (1U&lt;&lt;(DIN6_BIT&amp;0x0F))
#define DIN6_PMUXVAL 0
#define DIN6_PMUX (pinmux(DIN6_PORT, DIN6_BIT))
#define DIN6_PPORT (pinport(DIN6_PORT))
#define DIN6_CB mcu_inputs_changed_cb
#define DIO136_ISRBIT DIN6_ISRBIT
#define DIO136_ISRMASK DIN6_ISRMASK
#define DIO136_PMUXVAL 0
#define DIO136_PMUX DIN6_PMUX
#define DIO136_PPORT DIN6_PPORT
#define DIO136_CB DIN6_CB
#else
#define DIN6_ISRMASK 0
#define DIO136_ISRMASK 0
#endif</v>
      </c>
      <c r="G135" s="9" t="str">
        <f t="shared" si="16"/>
        <v>DIN6_ISRMASK</v>
      </c>
      <c r="H135" s="9"/>
      <c r="I135" s="14" t="str">
        <f t="shared" si="18"/>
        <v>#if !(DIN6&lt;0)
mcu_config_input(DIN6);
#ifdef DIN6_PULLUP
mcu_config_pullup(DIN6);
#endif
#ifdef DIN6_ISR
mcu_config_input_isr(DIN6);
#endif
#endif</v>
      </c>
      <c r="J135" s="4"/>
      <c r="K135" s="4"/>
      <c r="L135" s="4"/>
      <c r="M135" s="4"/>
    </row>
    <row r="136" spans="1:13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0"/>
        <v>#if (defined(DIN7_PORT) &amp;&amp; defined(DIN7_BIT))
#define DIN7 137
#define DIN7_GPIO (PORTREG(DIN7_PORT))
#define DIN7_PPORT (pinport(DIN7_PORT))
#define DIO137 137
#define DIO137_PORT DIN7_PORT
#define DIO137_BIT DIN7_BIT
#define DIO137_GPIO DIN7_GPIO
#define DIO137_PPORT DIN7_PPORT
#endif</v>
      </c>
      <c r="F136" s="12" t="str">
        <f t="shared" si="17"/>
        <v>#if(defined(DIN7_ISR) &amp;&amp; defined(DIN7))
#define DIN7_ISRBIT (DIN7_BIT&amp;0x0F)
#define DIN7_ISRMASK (1U&lt;&lt;(DIN7_BIT&amp;0x0F))
#define DIN7_PMUXVAL 0
#define DIN7_PMUX (pinmux(DIN7_PORT, DIN7_BIT))
#define DIN7_PPORT (pinport(DIN7_PORT))
#define DIN7_CB mcu_inputs_changed_cb
#define DIO137_ISRBIT DIN7_ISRBIT
#define DIO137_ISRMASK DIN7_ISRMASK
#define DIO137_PMUXVAL 0
#define DIO137_PMUX DIN7_PMUX
#define DIO137_PPORT DIN7_PPORT
#define DIO137_CB DIN7_CB
#else
#define DIN7_ISRMASK 0
#define DIO137_ISRMASK 0
#endif</v>
      </c>
      <c r="G136" s="9" t="str">
        <f t="shared" si="16"/>
        <v>DIN7_ISRMASK</v>
      </c>
      <c r="H136" s="9"/>
      <c r="I136" s="14" t="str">
        <f t="shared" si="18"/>
        <v>#if !(DIN7&lt;0)
mcu_config_input(DIN7);
#ifdef DIN7_PULLUP
mcu_config_pullup(DIN7);
#endif
#ifdef DIN7_ISR
mcu_config_input_isr(DIN7);
#endif
#endif</v>
      </c>
      <c r="J136" s="4"/>
      <c r="K136" s="4"/>
      <c r="L136" s="4"/>
      <c r="M136" s="4"/>
    </row>
    <row r="137" spans="1:13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0"/>
        <v>#if (defined(DIN8_PORT) &amp;&amp; defined(DIN8_BIT))
#define DIN8 138
#define DIN8_GPIO (PORTREG(DIN8_PORT))
#define DIN8_PPORT (pinport(DIN8_PORT))
#define DIO138 138
#define DIO138_PORT DIN8_PORT
#define DIO138_BIT DIN8_BIT
#define DIO138_GPIO DIN8_GPIO
#define DIO138_PPORT DIN8_PPORT
#endif</v>
      </c>
      <c r="F137" s="9"/>
      <c r="G137" s="9"/>
      <c r="H137" s="9"/>
      <c r="I137" s="14" t="str">
        <f>"#if !("&amp;C137&amp;"&lt;0)
mcu_config_input("&amp;C137&amp;");
#ifdef "&amp;C137&amp;"_PULLUP
mcu_config_pullup("&amp;C137&amp;");
#endif
#endif"</f>
        <v>#if !(DIN8&lt;0)
mcu_config_input(DIN8);
#ifdef DIN8_PULLUP
mcu_config_pullup(DIN8);
#endif
#endif</v>
      </c>
      <c r="J137" s="4"/>
      <c r="K137" s="4"/>
      <c r="L137" s="4"/>
      <c r="M137" s="4"/>
    </row>
    <row r="138" spans="1:13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0"/>
        <v>#if (defined(DIN9_PORT) &amp;&amp; defined(DIN9_BIT))
#define DIN9 139
#define DIN9_GPIO (PORTREG(DIN9_PORT))
#define DIN9_PPORT (pinport(DIN9_PORT))
#define DIO139 139
#define DIO139_PORT DIN9_PORT
#define DIO139_BIT DIN9_BIT
#define DIO139_GPIO DIN9_GPIO
#define DIO139_PPORT DIN9_PPORT
#endif</v>
      </c>
      <c r="F138" s="9"/>
      <c r="G138" s="9"/>
      <c r="H138" s="9"/>
      <c r="I138" s="14" t="str">
        <f t="shared" ref="I138:I160" si="19">"#if "&amp;C138&amp;"&gt;=0
mcu_config_input("&amp;C138&amp;");
#ifdef "&amp;C138&amp;"_PULLUP
mcu_config_pullup("&amp;C138&amp;");
#endif
#endif"</f>
        <v>#if DIN9&gt;=0
mcu_config_input(DIN9);
#ifdef DIN9_PULLUP
mcu_config_pullup(DIN9);
#endif
#endif</v>
      </c>
      <c r="J138" s="4"/>
      <c r="K138" s="4"/>
      <c r="L138" s="4"/>
      <c r="M138" s="4"/>
    </row>
    <row r="139" spans="1:13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0"/>
        <v>#if (defined(DIN10_PORT) &amp;&amp; defined(DIN10_BIT))
#define DIN10 140
#define DIN10_GPIO (PORTREG(DIN10_PORT))
#define DIN10_PPORT (pinport(DIN10_PORT))
#define DIO140 140
#define DIO140_PORT DIN10_PORT
#define DIO140_BIT DIN10_BIT
#define DIO140_GPIO DIN10_GPIO
#define DIO140_PPORT DIN10_PPORT
#endif</v>
      </c>
      <c r="F139" s="9"/>
      <c r="G139" s="9"/>
      <c r="H139" s="9"/>
      <c r="I139" s="14" t="str">
        <f t="shared" si="19"/>
        <v>#if DIN10&gt;=0
mcu_config_input(DIN10);
#ifdef DIN10_PULLUP
mcu_config_pullup(DIN10);
#endif
#endif</v>
      </c>
      <c r="J139" s="4"/>
      <c r="K139" s="4"/>
      <c r="L139" s="4"/>
      <c r="M139" s="4"/>
    </row>
    <row r="140" spans="1:13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0"/>
        <v>#if (defined(DIN11_PORT) &amp;&amp; defined(DIN11_BIT))
#define DIN11 141
#define DIN11_GPIO (PORTREG(DIN11_PORT))
#define DIN11_PPORT (pinport(DIN11_PORT))
#define DIO141 141
#define DIO141_PORT DIN11_PORT
#define DIO141_BIT DIN11_BIT
#define DIO141_GPIO DIN11_GPIO
#define DIO141_PPORT DIN11_PPORT
#endif</v>
      </c>
      <c r="F140" s="9"/>
      <c r="G140" s="9"/>
      <c r="H140" s="9"/>
      <c r="I140" s="14" t="str">
        <f t="shared" si="19"/>
        <v>#if DIN11&gt;=0
mcu_config_input(DIN11);
#ifdef DIN11_PULLUP
mcu_config_pullup(DIN11);
#endif
#endif</v>
      </c>
      <c r="J140" s="9"/>
      <c r="K140" s="9"/>
      <c r="L140" s="9"/>
      <c r="M140" s="9"/>
    </row>
    <row r="141" spans="1:13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0"/>
        <v>#if (defined(DIN12_PORT) &amp;&amp; defined(DIN12_BIT))
#define DIN12 142
#define DIN12_GPIO (PORTREG(DIN12_PORT))
#define DIN12_PPORT (pinport(DIN12_PORT))
#define DIO142 142
#define DIO142_PORT DIN12_PORT
#define DIO142_BIT DIN12_BIT
#define DIO142_GPIO DIN12_GPIO
#define DIO142_PPORT DIN12_PPORT
#endif</v>
      </c>
      <c r="F141" s="9"/>
      <c r="G141" s="9"/>
      <c r="H141" s="9"/>
      <c r="I141" s="14" t="str">
        <f t="shared" si="19"/>
        <v>#if DIN12&gt;=0
mcu_config_input(DIN12);
#ifdef DIN12_PULLUP
mcu_config_pullup(DIN12);
#endif
#endif</v>
      </c>
      <c r="J141" s="9"/>
      <c r="K141" s="9"/>
      <c r="L141" s="9"/>
      <c r="M141" s="9"/>
    </row>
    <row r="142" spans="1:13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0"/>
        <v>#if (defined(DIN13_PORT) &amp;&amp; defined(DIN13_BIT))
#define DIN13 143
#define DIN13_GPIO (PORTREG(DIN13_PORT))
#define DIN13_PPORT (pinport(DIN13_PORT))
#define DIO143 143
#define DIO143_PORT DIN13_PORT
#define DIO143_BIT DIN13_BIT
#define DIO143_GPIO DIN13_GPIO
#define DIO143_PPORT DIN13_PPORT
#endif</v>
      </c>
      <c r="F142" s="9"/>
      <c r="G142" s="9"/>
      <c r="H142" s="9"/>
      <c r="I142" s="14" t="str">
        <f t="shared" si="19"/>
        <v>#if DIN13&gt;=0
mcu_config_input(DIN13);
#ifdef DIN13_PULLUP
mcu_config_pullup(DIN13);
#endif
#endif</v>
      </c>
      <c r="J142" s="9"/>
      <c r="K142" s="9"/>
      <c r="L142" s="9"/>
      <c r="M142" s="9"/>
    </row>
    <row r="143" spans="1:13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0"/>
        <v>#if (defined(DIN14_PORT) &amp;&amp; defined(DIN14_BIT))
#define DIN14 144
#define DIN14_GPIO (PORTREG(DIN14_PORT))
#define DIN14_PPORT (pinport(DIN14_PORT))
#define DIO144 144
#define DIO144_PORT DIN14_PORT
#define DIO144_BIT DIN14_BIT
#define DIO144_GPIO DIN14_GPIO
#define DIO144_PPORT DIN14_PPORT
#endif</v>
      </c>
      <c r="F143" s="9"/>
      <c r="G143" s="9"/>
      <c r="H143" s="9"/>
      <c r="I143" s="14" t="str">
        <f t="shared" si="19"/>
        <v>#if DIN14&gt;=0
mcu_config_input(DIN14);
#ifdef DIN14_PULLUP
mcu_config_pullup(DIN14);
#endif
#endif</v>
      </c>
      <c r="J143" s="9"/>
      <c r="K143" s="9"/>
      <c r="L143" s="9"/>
      <c r="M143" s="9"/>
    </row>
    <row r="144" spans="1:13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0"/>
        <v>#if (defined(DIN15_PORT) &amp;&amp; defined(DIN15_BIT))
#define DIN15 145
#define DIN15_GPIO (PORTREG(DIN15_PORT))
#define DIN15_PPORT (pinport(DIN15_PORT))
#define DIO145 145
#define DIO145_PORT DIN15_PORT
#define DIO145_BIT DIN15_BIT
#define DIO145_GPIO DIN15_GPIO
#define DIO145_PPORT DIN15_PPORT
#endif</v>
      </c>
      <c r="F144" s="9"/>
      <c r="G144" s="9"/>
      <c r="H144" s="9"/>
      <c r="I144" s="14" t="str">
        <f t="shared" si="19"/>
        <v>#if DIN15&gt;=0
mcu_config_input(DIN15);
#ifdef DIN15_PULLUP
mcu_config_pullup(DIN15);
#endif
#endif</v>
      </c>
      <c r="J144" s="9"/>
      <c r="K144" s="9"/>
      <c r="L144" s="9"/>
      <c r="M144" s="9"/>
    </row>
    <row r="145" spans="1:13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0"/>
        <v>#if (defined(DIN16_PORT) &amp;&amp; defined(DIN16_BIT))
#define DIN16 146
#define DIN16_GPIO (PORTREG(DIN16_PORT))
#define DIN16_PPORT (pinport(DIN16_PORT))
#define DIO146 146
#define DIO146_PORT DIN16_PORT
#define DIO146_BIT DIN16_BIT
#define DIO146_GPIO DIN16_GPIO
#define DIO146_PPORT DIN16_PPORT
#endif</v>
      </c>
      <c r="F145" s="12"/>
      <c r="G145" s="9"/>
      <c r="H145" s="9"/>
      <c r="I145" s="14" t="str">
        <f t="shared" si="19"/>
        <v>#if DIN16&gt;=0
mcu_config_input(DIN16);
#ifdef DIN16_PULLUP
mcu_config_pullup(DIN16);
#endif
#endif</v>
      </c>
      <c r="J145" s="4"/>
      <c r="K145" s="4"/>
      <c r="L145" s="4"/>
      <c r="M145" s="4"/>
    </row>
    <row r="146" spans="1:13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0"/>
        <v>#if (defined(DIN17_PORT) &amp;&amp; defined(DIN17_BIT))
#define DIN17 147
#define DIN17_GPIO (PORTREG(DIN17_PORT))
#define DIN17_PPORT (pinport(DIN17_PORT))
#define DIO147 147
#define DIO147_PORT DIN17_PORT
#define DIO147_BIT DIN17_BIT
#define DIO147_GPIO DIN17_GPIO
#define DIO147_PPORT DIN17_PPORT
#endif</v>
      </c>
      <c r="F146" s="12"/>
      <c r="G146" s="9"/>
      <c r="H146" s="9"/>
      <c r="I146" s="14" t="str">
        <f t="shared" si="19"/>
        <v>#if DIN17&gt;=0
mcu_config_input(DIN17);
#ifdef DIN17_PULLUP
mcu_config_pullup(DIN17);
#endif
#endif</v>
      </c>
      <c r="J146" s="4"/>
      <c r="K146" s="4"/>
      <c r="L146" s="4"/>
      <c r="M146" s="4"/>
    </row>
    <row r="147" spans="1:13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0"/>
        <v>#if (defined(DIN18_PORT) &amp;&amp; defined(DIN18_BIT))
#define DIN18 148
#define DIN18_GPIO (PORTREG(DIN18_PORT))
#define DIN18_PPORT (pinport(DIN18_PORT))
#define DIO148 148
#define DIO148_PORT DIN18_PORT
#define DIO148_BIT DIN18_BIT
#define DIO148_GPIO DIN18_GPIO
#define DIO148_PPORT DIN18_PPORT
#endif</v>
      </c>
      <c r="F147" s="12"/>
      <c r="G147" s="9"/>
      <c r="H147" s="9"/>
      <c r="I147" s="14" t="str">
        <f t="shared" si="19"/>
        <v>#if DIN18&gt;=0
mcu_config_input(DIN18);
#ifdef DIN18_PULLUP
mcu_config_pullup(DIN18);
#endif
#endif</v>
      </c>
      <c r="J147" s="4"/>
      <c r="K147" s="4"/>
      <c r="L147" s="4"/>
      <c r="M147" s="4"/>
    </row>
    <row r="148" spans="1:13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0"/>
        <v>#if (defined(DIN19_PORT) &amp;&amp; defined(DIN19_BIT))
#define DIN19 149
#define DIN19_GPIO (PORTREG(DIN19_PORT))
#define DIN19_PPORT (pinport(DIN19_PORT))
#define DIO149 149
#define DIO149_PORT DIN19_PORT
#define DIO149_BIT DIN19_BIT
#define DIO149_GPIO DIN19_GPIO
#define DIO149_PPORT DIN19_PPORT
#endif</v>
      </c>
      <c r="F148" s="12"/>
      <c r="G148" s="9"/>
      <c r="H148" s="9"/>
      <c r="I148" s="14" t="str">
        <f t="shared" si="19"/>
        <v>#if DIN19&gt;=0
mcu_config_input(DIN19);
#ifdef DIN19_PULLUP
mcu_config_pullup(DIN19);
#endif
#endif</v>
      </c>
      <c r="J148" s="4"/>
      <c r="K148" s="4"/>
      <c r="L148" s="4"/>
      <c r="M148" s="4"/>
    </row>
    <row r="149" spans="1:13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0"/>
        <v>#if (defined(DIN20_PORT) &amp;&amp; defined(DIN20_BIT))
#define DIN20 150
#define DIN20_GPIO (PORTREG(DIN20_PORT))
#define DIN20_PPORT (pinport(DIN20_PORT))
#define DIO150 150
#define DIO150_PORT DIN20_PORT
#define DIO150_BIT DIN20_BIT
#define DIO150_GPIO DIN20_GPIO
#define DIO150_PPORT DIN20_PPORT
#endif</v>
      </c>
      <c r="F149" s="12"/>
      <c r="G149" s="9"/>
      <c r="H149" s="9"/>
      <c r="I149" s="14" t="str">
        <f t="shared" si="19"/>
        <v>#if DIN20&gt;=0
mcu_config_input(DIN20);
#ifdef DIN20_PULLUP
mcu_config_pullup(DIN20);
#endif
#endif</v>
      </c>
      <c r="J149" s="4"/>
      <c r="K149" s="4"/>
      <c r="L149" s="4"/>
      <c r="M149" s="4"/>
    </row>
    <row r="150" spans="1:13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0"/>
        <v>#if (defined(DIN21_PORT) &amp;&amp; defined(DIN21_BIT))
#define DIN21 151
#define DIN21_GPIO (PORTREG(DIN21_PORT))
#define DIN21_PPORT (pinport(DIN21_PORT))
#define DIO151 151
#define DIO151_PORT DIN21_PORT
#define DIO151_BIT DIN21_BIT
#define DIO151_GPIO DIN21_GPIO
#define DIO151_PPORT DIN21_PPORT
#endif</v>
      </c>
      <c r="F150" s="12"/>
      <c r="G150" s="9"/>
      <c r="H150" s="9"/>
      <c r="I150" s="14" t="str">
        <f t="shared" si="19"/>
        <v>#if DIN21&gt;=0
mcu_config_input(DIN21);
#ifdef DIN21_PULLUP
mcu_config_pullup(DIN21);
#endif
#endif</v>
      </c>
      <c r="J150" s="4"/>
      <c r="K150" s="4"/>
      <c r="L150" s="4"/>
      <c r="M150" s="4"/>
    </row>
    <row r="151" spans="1:13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0"/>
        <v>#if (defined(DIN22_PORT) &amp;&amp; defined(DIN22_BIT))
#define DIN22 152
#define DIN22_GPIO (PORTREG(DIN22_PORT))
#define DIN22_PPORT (pinport(DIN22_PORT))
#define DIO152 152
#define DIO152_PORT DIN22_PORT
#define DIO152_BIT DIN22_BIT
#define DIO152_GPIO DIN22_GPIO
#define DIO152_PPORT DIN22_PPORT
#endif</v>
      </c>
      <c r="F151" s="12"/>
      <c r="G151" s="9"/>
      <c r="H151" s="9"/>
      <c r="I151" s="14" t="str">
        <f t="shared" si="19"/>
        <v>#if DIN22&gt;=0
mcu_config_input(DIN22);
#ifdef DIN22_PULLUP
mcu_config_pullup(DIN22);
#endif
#endif</v>
      </c>
      <c r="J151" s="4"/>
      <c r="K151" s="4"/>
      <c r="L151" s="4"/>
      <c r="M151" s="4"/>
    </row>
    <row r="152" spans="1:13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0"/>
        <v>#if (defined(DIN23_PORT) &amp;&amp; defined(DIN23_BIT))
#define DIN23 153
#define DIN23_GPIO (PORTREG(DIN23_PORT))
#define DIN23_PPORT (pinport(DIN23_PORT))
#define DIO153 153
#define DIO153_PORT DIN23_PORT
#define DIO153_BIT DIN23_BIT
#define DIO153_GPIO DIN23_GPIO
#define DIO153_PPORT DIN23_PPORT
#endif</v>
      </c>
      <c r="F152" s="12"/>
      <c r="G152" s="9"/>
      <c r="H152" s="9"/>
      <c r="I152" s="14" t="str">
        <f t="shared" si="19"/>
        <v>#if DIN23&gt;=0
mcu_config_input(DIN23);
#ifdef DIN23_PULLUP
mcu_config_pullup(DIN23);
#endif
#endif</v>
      </c>
      <c r="J152" s="4"/>
      <c r="K152" s="4"/>
      <c r="L152" s="4"/>
      <c r="M152" s="4"/>
    </row>
    <row r="153" spans="1:13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0"/>
        <v>#if (defined(DIN24_PORT) &amp;&amp; defined(DIN24_BIT))
#define DIN24 154
#define DIN24_GPIO (PORTREG(DIN24_PORT))
#define DIN24_PPORT (pinport(DIN24_PORT))
#define DIO154 154
#define DIO154_PORT DIN24_PORT
#define DIO154_BIT DIN24_BIT
#define DIO154_GPIO DIN24_GPIO
#define DIO154_PPORT DIN24_PPORT
#endif</v>
      </c>
      <c r="F153" s="9"/>
      <c r="G153" s="9"/>
      <c r="H153" s="9"/>
      <c r="I153" s="14" t="str">
        <f t="shared" si="19"/>
        <v>#if DIN24&gt;=0
mcu_config_input(DIN24);
#ifdef DIN24_PULLUP
mcu_config_pullup(DIN24);
#endif
#endif</v>
      </c>
      <c r="J153" s="4"/>
      <c r="K153" s="4"/>
      <c r="L153" s="4"/>
      <c r="M153" s="4"/>
    </row>
    <row r="154" spans="1:13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0"/>
        <v>#if (defined(DIN25_PORT) &amp;&amp; defined(DIN25_BIT))
#define DIN25 155
#define DIN25_GPIO (PORTREG(DIN25_PORT))
#define DIN25_PPORT (pinport(DIN25_PORT))
#define DIO155 155
#define DIO155_PORT DIN25_PORT
#define DIO155_BIT DIN25_BIT
#define DIO155_GPIO DIN25_GPIO
#define DIO155_PPORT DIN25_PPORT
#endif</v>
      </c>
      <c r="F154" s="9"/>
      <c r="G154" s="9"/>
      <c r="H154" s="9"/>
      <c r="I154" s="14" t="str">
        <f t="shared" si="19"/>
        <v>#if DIN25&gt;=0
mcu_config_input(DIN25);
#ifdef DIN25_PULLUP
mcu_config_pullup(DIN25);
#endif
#endif</v>
      </c>
      <c r="J154" s="4"/>
      <c r="K154" s="4"/>
      <c r="L154" s="4"/>
      <c r="M154" s="4"/>
    </row>
    <row r="155" spans="1:13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0"/>
        <v>#if (defined(DIN26_PORT) &amp;&amp; defined(DIN26_BIT))
#define DIN26 156
#define DIN26_GPIO (PORTREG(DIN26_PORT))
#define DIN26_PPORT (pinport(DIN26_PORT))
#define DIO156 156
#define DIO156_PORT DIN26_PORT
#define DIO156_BIT DIN26_BIT
#define DIO156_GPIO DIN26_GPIO
#define DIO156_PPORT DIN26_PPORT
#endif</v>
      </c>
      <c r="F155" s="9"/>
      <c r="G155" s="9"/>
      <c r="H155" s="9"/>
      <c r="I155" s="14" t="str">
        <f t="shared" si="19"/>
        <v>#if DIN26&gt;=0
mcu_config_input(DIN26);
#ifdef DIN26_PULLUP
mcu_config_pullup(DIN26);
#endif
#endif</v>
      </c>
      <c r="J155" s="4"/>
      <c r="K155" s="4"/>
      <c r="L155" s="4"/>
      <c r="M155" s="4"/>
    </row>
    <row r="156" spans="1:13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0"/>
        <v>#if (defined(DIN27_PORT) &amp;&amp; defined(DIN27_BIT))
#define DIN27 157
#define DIN27_GPIO (PORTREG(DIN27_PORT))
#define DIN27_PPORT (pinport(DIN27_PORT))
#define DIO157 157
#define DIO157_PORT DIN27_PORT
#define DIO157_BIT DIN27_BIT
#define DIO157_GPIO DIN27_GPIO
#define DIO157_PPORT DIN27_PPORT
#endif</v>
      </c>
      <c r="F156" s="9"/>
      <c r="G156" s="9"/>
      <c r="H156" s="9"/>
      <c r="I156" s="14" t="str">
        <f t="shared" si="19"/>
        <v>#if DIN27&gt;=0
mcu_config_input(DIN27);
#ifdef DIN27_PULLUP
mcu_config_pullup(DIN27);
#endif
#endif</v>
      </c>
      <c r="J156" s="9"/>
      <c r="K156" s="9"/>
      <c r="L156" s="9"/>
      <c r="M156" s="9"/>
    </row>
    <row r="157" spans="1:13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0"/>
        <v>#if (defined(DIN28_PORT) &amp;&amp; defined(DIN28_BIT))
#define DIN28 158
#define DIN28_GPIO (PORTREG(DIN28_PORT))
#define DIN28_PPORT (pinport(DIN28_PORT))
#define DIO158 158
#define DIO158_PORT DIN28_PORT
#define DIO158_BIT DIN28_BIT
#define DIO158_GPIO DIN28_GPIO
#define DIO158_PPORT DIN28_PPORT
#endif</v>
      </c>
      <c r="F157" s="9"/>
      <c r="G157" s="9"/>
      <c r="H157" s="9"/>
      <c r="I157" s="14" t="str">
        <f t="shared" si="19"/>
        <v>#if DIN28&gt;=0
mcu_config_input(DIN28);
#ifdef DIN28_PULLUP
mcu_config_pullup(DIN28);
#endif
#endif</v>
      </c>
      <c r="J157" s="9"/>
      <c r="K157" s="9"/>
      <c r="L157" s="9"/>
      <c r="M157" s="9"/>
    </row>
    <row r="158" spans="1:13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0"/>
        <v>#if (defined(DIN29_PORT) &amp;&amp; defined(DIN29_BIT))
#define DIN29 159
#define DIN29_GPIO (PORTREG(DIN29_PORT))
#define DIN29_PPORT (pinport(DIN29_PORT))
#define DIO159 159
#define DIO159_PORT DIN29_PORT
#define DIO159_BIT DIN29_BIT
#define DIO159_GPIO DIN29_GPIO
#define DIO159_PPORT DIN29_PPORT
#endif</v>
      </c>
      <c r="F158" s="9"/>
      <c r="G158" s="9"/>
      <c r="H158" s="9"/>
      <c r="I158" s="14" t="str">
        <f t="shared" si="19"/>
        <v>#if DIN29&gt;=0
mcu_config_input(DIN29);
#ifdef DIN29_PULLUP
mcu_config_pullup(DIN29);
#endif
#endif</v>
      </c>
      <c r="J158" s="9"/>
      <c r="K158" s="9"/>
      <c r="L158" s="9"/>
      <c r="M158" s="9"/>
    </row>
    <row r="159" spans="1:13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0"/>
        <v>#if (defined(DIN30_PORT) &amp;&amp; defined(DIN30_BIT))
#define DIN30 160
#define DIN30_GPIO (PORTREG(DIN30_PORT))
#define DIN30_PPORT (pinport(DIN30_PORT))
#define DIO160 160
#define DIO160_PORT DIN30_PORT
#define DIO160_BIT DIN30_BIT
#define DIO160_GPIO DIN30_GPIO
#define DIO160_PPORT DIN30_PPORT
#endif</v>
      </c>
      <c r="F159" s="9"/>
      <c r="G159" s="9"/>
      <c r="H159" s="9"/>
      <c r="I159" s="14" t="str">
        <f t="shared" si="19"/>
        <v>#if DIN30&gt;=0
mcu_config_input(DIN30);
#ifdef DIN30_PULLUP
mcu_config_pullup(DIN30);
#endif
#endif</v>
      </c>
      <c r="J159" s="9"/>
      <c r="K159" s="9"/>
      <c r="L159" s="9"/>
      <c r="M159" s="9"/>
    </row>
    <row r="160" spans="1:13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0"/>
        <v>#if (defined(DIN31_PORT) &amp;&amp; defined(DIN31_BIT))
#define DIN31 161
#define DIN31_GPIO (PORTREG(DIN31_PORT))
#define DIN31_PPORT (pinport(DIN31_PORT))
#define DIO161 161
#define DIO161_PORT DIN31_PORT
#define DIO161_BIT DIN31_BIT
#define DIO161_GPIO DIN31_GPIO
#define DIO161_PPORT DIN31_PPORT
#endif</v>
      </c>
      <c r="F160" s="9"/>
      <c r="G160" s="9"/>
      <c r="H160" s="9"/>
      <c r="I160" s="14" t="str">
        <f t="shared" si="19"/>
        <v>#if DIN31&gt;=0
mcu_config_input(DIN31);
#ifdef DIN31_PULLUP
mcu_config_pullup(DIN31);
#endif
#endif</v>
      </c>
      <c r="J160" s="9"/>
      <c r="K160" s="9"/>
      <c r="L160" s="9"/>
      <c r="M160" s="9"/>
    </row>
    <row r="161" spans="1:13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4">
        <v>32</v>
      </c>
      <c r="E161" s="9" t="str">
        <f t="shared" si="10"/>
        <v>#if (defined(DIN32_PORT) &amp;&amp; defined(DIN32_BIT))
#define DIN32 162
#define DIN32_GPIO (PORTREG(DIN32_PORT))
#define DIN32_PPORT (pinport(DIN32_PORT))
#define DIO162 162
#define DIO162_PORT DIN32_PORT
#define DIO162_BIT DIN32_BIT
#define DIO162_GPIO DIN32_GPIO
#define DIO162_PPORT DIN32_PPORT
#endif</v>
      </c>
      <c r="F161" s="9"/>
      <c r="G161" s="9"/>
      <c r="H161" s="9"/>
      <c r="I161" s="14"/>
      <c r="J161" s="9"/>
      <c r="K161" s="9"/>
      <c r="L161" s="9"/>
      <c r="M161" s="9"/>
    </row>
    <row r="162" spans="1:13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4">
        <v>33</v>
      </c>
      <c r="E162" s="9" t="str">
        <f t="shared" si="10"/>
        <v>#if (defined(DIN33_PORT) &amp;&amp; defined(DIN33_BIT))
#define DIN33 163
#define DIN33_GPIO (PORTREG(DIN33_PORT))
#define DIN33_PPORT (pinport(DIN33_PORT))
#define DIO163 163
#define DIO163_PORT DIN33_PORT
#define DIO163_BIT DIN33_BIT
#define DIO163_GPIO DIN33_GPIO
#define DIO163_PPORT DIN33_PPORT
#endif</v>
      </c>
      <c r="F162" s="9"/>
      <c r="G162" s="9"/>
      <c r="H162" s="9"/>
      <c r="I162" s="14"/>
      <c r="J162" s="9"/>
      <c r="K162" s="9"/>
      <c r="L162" s="9"/>
      <c r="M162" s="9"/>
    </row>
    <row r="163" spans="1:13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4">
        <v>34</v>
      </c>
      <c r="E163" s="9" t="str">
        <f t="shared" si="10"/>
        <v>#if (defined(DIN34_PORT) &amp;&amp; defined(DIN34_BIT))
#define DIN34 164
#define DIN34_GPIO (PORTREG(DIN34_PORT))
#define DIN34_PPORT (pinport(DIN34_PORT))
#define DIO164 164
#define DIO164_PORT DIN34_PORT
#define DIO164_BIT DIN34_BIT
#define DIO164_GPIO DIN34_GPIO
#define DIO164_PPORT DIN34_PPORT
#endif</v>
      </c>
      <c r="F163" s="9"/>
      <c r="G163" s="9"/>
      <c r="H163" s="9"/>
      <c r="I163" s="14"/>
      <c r="J163" s="9"/>
      <c r="K163" s="9"/>
      <c r="L163" s="9"/>
      <c r="M163" s="9"/>
    </row>
    <row r="164" spans="1:13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4">
        <v>35</v>
      </c>
      <c r="E164" s="9" t="str">
        <f t="shared" ref="E164:E194" si="21">"#if (defined("&amp;C164&amp;"_PORT) &amp;&amp; defined("&amp;C164&amp;"_BIT))
#define "&amp;C164&amp;" "&amp;A164&amp;"
#define "&amp;C164&amp;"_GPIO (PORTREG("&amp;C164&amp;"_PORT))
#define "&amp;C164&amp;"_PPORT (pinport("&amp;C164&amp;"_PORT))
#define "&amp;B164&amp;" "&amp;A164&amp;"
#define "&amp;B164&amp;"_PORT "&amp;C164&amp;"_PORT
#define "&amp;B164&amp;"_BIT "&amp;C164&amp;"_BIT
#define "&amp;B164&amp;"_GPIO "&amp;C164&amp;"_GPIO
#define "&amp;B164&amp;"_PPORT "&amp;C164&amp;"_PPORT
#endif"</f>
        <v>#if (defined(DIN35_PORT) &amp;&amp; defined(DIN35_BIT))
#define DIN35 165
#define DIN35_GPIO (PORTREG(DIN35_PORT))
#define DIN35_PPORT (pinport(DIN35_PORT))
#define DIO165 165
#define DIO165_PORT DIN35_PORT
#define DIO165_BIT DIN35_BIT
#define DIO165_GPIO DIN35_GPIO
#define DIO165_PPORT DIN35_PPORT
#endif</v>
      </c>
      <c r="F164" s="9"/>
      <c r="G164" s="9"/>
      <c r="H164" s="9"/>
      <c r="I164" s="14"/>
      <c r="J164" s="9"/>
      <c r="K164" s="9"/>
      <c r="L164" s="9"/>
      <c r="M164" s="9"/>
    </row>
    <row r="165" spans="1:13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4">
        <v>36</v>
      </c>
      <c r="E165" s="9" t="str">
        <f t="shared" si="21"/>
        <v>#if (defined(DIN36_PORT) &amp;&amp; defined(DIN36_BIT))
#define DIN36 166
#define DIN36_GPIO (PORTREG(DIN36_PORT))
#define DIN36_PPORT (pinport(DIN36_PORT))
#define DIO166 166
#define DIO166_PORT DIN36_PORT
#define DIO166_BIT DIN36_BIT
#define DIO166_GPIO DIN36_GPIO
#define DIO166_PPORT DIN36_PPORT
#endif</v>
      </c>
      <c r="F165" s="9"/>
      <c r="G165" s="9"/>
      <c r="H165" s="9"/>
      <c r="I165" s="14"/>
      <c r="J165" s="9"/>
      <c r="K165" s="9"/>
      <c r="L165" s="9"/>
      <c r="M165" s="9"/>
    </row>
    <row r="166" spans="1:13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4">
        <v>37</v>
      </c>
      <c r="E166" s="9" t="str">
        <f t="shared" si="21"/>
        <v>#if (defined(DIN37_PORT) &amp;&amp; defined(DIN37_BIT))
#define DIN37 167
#define DIN37_GPIO (PORTREG(DIN37_PORT))
#define DIN37_PPORT (pinport(DIN37_PORT))
#define DIO167 167
#define DIO167_PORT DIN37_PORT
#define DIO167_BIT DIN37_BIT
#define DIO167_GPIO DIN37_GPIO
#define DIO167_PPORT DIN37_PPORT
#endif</v>
      </c>
      <c r="F166" s="9"/>
      <c r="G166" s="9"/>
      <c r="H166" s="9"/>
      <c r="I166" s="14"/>
      <c r="J166" s="9"/>
      <c r="K166" s="9"/>
      <c r="L166" s="9"/>
      <c r="M166" s="9"/>
    </row>
    <row r="167" spans="1:13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4">
        <v>38</v>
      </c>
      <c r="E167" s="9" t="str">
        <f t="shared" si="21"/>
        <v>#if (defined(DIN38_PORT) &amp;&amp; defined(DIN38_BIT))
#define DIN38 168
#define DIN38_GPIO (PORTREG(DIN38_PORT))
#define DIN38_PPORT (pinport(DIN38_PORT))
#define DIO168 168
#define DIO168_PORT DIN38_PORT
#define DIO168_BIT DIN38_BIT
#define DIO168_GPIO DIN38_GPIO
#define DIO168_PPORT DIN38_PPORT
#endif</v>
      </c>
      <c r="F167" s="9"/>
      <c r="G167" s="9"/>
      <c r="H167" s="9"/>
      <c r="I167" s="14"/>
      <c r="J167" s="9"/>
      <c r="K167" s="9"/>
      <c r="L167" s="9"/>
      <c r="M167" s="9"/>
    </row>
    <row r="168" spans="1:13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4">
        <v>39</v>
      </c>
      <c r="E168" s="9" t="str">
        <f t="shared" si="21"/>
        <v>#if (defined(DIN39_PORT) &amp;&amp; defined(DIN39_BIT))
#define DIN39 169
#define DIN39_GPIO (PORTREG(DIN39_PORT))
#define DIN39_PPORT (pinport(DIN39_PORT))
#define DIO169 169
#define DIO169_PORT DIN39_PORT
#define DIO169_BIT DIN39_BIT
#define DIO169_GPIO DIN39_GPIO
#define DIO169_PPORT DIN39_PPORT
#endif</v>
      </c>
      <c r="F168" s="9"/>
      <c r="G168" s="9"/>
      <c r="H168" s="9"/>
      <c r="I168" s="14"/>
      <c r="J168" s="9"/>
      <c r="K168" s="9"/>
      <c r="L168" s="9"/>
      <c r="M168" s="9"/>
    </row>
    <row r="169" spans="1:13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4">
        <v>40</v>
      </c>
      <c r="E169" s="9" t="str">
        <f t="shared" si="21"/>
        <v>#if (defined(DIN40_PORT) &amp;&amp; defined(DIN40_BIT))
#define DIN40 170
#define DIN40_GPIO (PORTREG(DIN40_PORT))
#define DIN40_PPORT (pinport(DIN40_PORT))
#define DIO170 170
#define DIO170_PORT DIN40_PORT
#define DIO170_BIT DIN40_BIT
#define DIO170_GPIO DIN40_GPIO
#define DIO170_PPORT DIN40_PPORT
#endif</v>
      </c>
      <c r="F169" s="9"/>
      <c r="G169" s="9"/>
      <c r="H169" s="9"/>
      <c r="I169" s="14"/>
      <c r="J169" s="9"/>
      <c r="K169" s="9"/>
      <c r="L169" s="9"/>
      <c r="M169" s="9"/>
    </row>
    <row r="170" spans="1:13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4">
        <v>41</v>
      </c>
      <c r="E170" s="9" t="str">
        <f t="shared" si="21"/>
        <v>#if (defined(DIN41_PORT) &amp;&amp; defined(DIN41_BIT))
#define DIN41 171
#define DIN41_GPIO (PORTREG(DIN41_PORT))
#define DIN41_PPORT (pinport(DIN41_PORT))
#define DIO171 171
#define DIO171_PORT DIN41_PORT
#define DIO171_BIT DIN41_BIT
#define DIO171_GPIO DIN41_GPIO
#define DIO171_PPORT DIN41_PPORT
#endif</v>
      </c>
      <c r="F170" s="9"/>
      <c r="G170" s="9"/>
      <c r="H170" s="9"/>
      <c r="I170" s="14"/>
      <c r="J170" s="9"/>
      <c r="K170" s="9"/>
      <c r="L170" s="9"/>
      <c r="M170" s="9"/>
    </row>
    <row r="171" spans="1:13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4">
        <v>42</v>
      </c>
      <c r="E171" s="9" t="str">
        <f t="shared" si="21"/>
        <v>#if (defined(DIN42_PORT) &amp;&amp; defined(DIN42_BIT))
#define DIN42 172
#define DIN42_GPIO (PORTREG(DIN42_PORT))
#define DIN42_PPORT (pinport(DIN42_PORT))
#define DIO172 172
#define DIO172_PORT DIN42_PORT
#define DIO172_BIT DIN42_BIT
#define DIO172_GPIO DIN42_GPIO
#define DIO172_PPORT DIN42_PPORT
#endif</v>
      </c>
      <c r="F171" s="9"/>
      <c r="G171" s="9"/>
      <c r="H171" s="9"/>
      <c r="I171" s="14"/>
      <c r="J171" s="9"/>
      <c r="K171" s="9"/>
      <c r="L171" s="9"/>
      <c r="M171" s="9"/>
    </row>
    <row r="172" spans="1:13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4">
        <v>43</v>
      </c>
      <c r="E172" s="9" t="str">
        <f t="shared" si="21"/>
        <v>#if (defined(DIN43_PORT) &amp;&amp; defined(DIN43_BIT))
#define DIN43 173
#define DIN43_GPIO (PORTREG(DIN43_PORT))
#define DIN43_PPORT (pinport(DIN43_PORT))
#define DIO173 173
#define DIO173_PORT DIN43_PORT
#define DIO173_BIT DIN43_BIT
#define DIO173_GPIO DIN43_GPIO
#define DIO173_PPORT DIN43_PPORT
#endif</v>
      </c>
      <c r="F172" s="9"/>
      <c r="G172" s="9"/>
      <c r="H172" s="9"/>
      <c r="I172" s="14"/>
      <c r="J172" s="9"/>
      <c r="K172" s="9"/>
      <c r="L172" s="9"/>
      <c r="M172" s="9"/>
    </row>
    <row r="173" spans="1:13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4">
        <v>44</v>
      </c>
      <c r="E173" s="9" t="str">
        <f t="shared" si="21"/>
        <v>#if (defined(DIN44_PORT) &amp;&amp; defined(DIN44_BIT))
#define DIN44 174
#define DIN44_GPIO (PORTREG(DIN44_PORT))
#define DIN44_PPORT (pinport(DIN44_PORT))
#define DIO174 174
#define DIO174_PORT DIN44_PORT
#define DIO174_BIT DIN44_BIT
#define DIO174_GPIO DIN44_GPIO
#define DIO174_PPORT DIN44_PPORT
#endif</v>
      </c>
      <c r="F173" s="9"/>
      <c r="G173" s="9"/>
      <c r="H173" s="9"/>
      <c r="I173" s="14"/>
      <c r="J173" s="9"/>
      <c r="K173" s="9"/>
      <c r="L173" s="9"/>
      <c r="M173" s="9"/>
    </row>
    <row r="174" spans="1:13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4">
        <v>45</v>
      </c>
      <c r="E174" s="9" t="str">
        <f t="shared" si="21"/>
        <v>#if (defined(DIN45_PORT) &amp;&amp; defined(DIN45_BIT))
#define DIN45 175
#define DIN45_GPIO (PORTREG(DIN45_PORT))
#define DIN45_PPORT (pinport(DIN45_PORT))
#define DIO175 175
#define DIO175_PORT DIN45_PORT
#define DIO175_BIT DIN45_BIT
#define DIO175_GPIO DIN45_GPIO
#define DIO175_PPORT DIN45_PPORT
#endif</v>
      </c>
      <c r="F174" s="9"/>
      <c r="G174" s="9"/>
      <c r="H174" s="9"/>
      <c r="I174" s="14"/>
      <c r="J174" s="9"/>
      <c r="K174" s="9"/>
      <c r="L174" s="9"/>
      <c r="M174" s="9"/>
    </row>
    <row r="175" spans="1:13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4">
        <v>46</v>
      </c>
      <c r="E175" s="9" t="str">
        <f t="shared" si="21"/>
        <v>#if (defined(DIN46_PORT) &amp;&amp; defined(DIN46_BIT))
#define DIN46 176
#define DIN46_GPIO (PORTREG(DIN46_PORT))
#define DIN46_PPORT (pinport(DIN46_PORT))
#define DIO176 176
#define DIO176_PORT DIN46_PORT
#define DIO176_BIT DIN46_BIT
#define DIO176_GPIO DIN46_GPIO
#define DIO176_PPORT DIN46_PPORT
#endif</v>
      </c>
      <c r="F175" s="9"/>
      <c r="G175" s="9"/>
      <c r="H175" s="9"/>
      <c r="I175" s="14"/>
      <c r="J175" s="9"/>
      <c r="K175" s="9"/>
      <c r="L175" s="9"/>
      <c r="M175" s="9"/>
    </row>
    <row r="176" spans="1:13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4">
        <v>47</v>
      </c>
      <c r="E176" s="9" t="str">
        <f t="shared" si="21"/>
        <v>#if (defined(DIN47_PORT) &amp;&amp; defined(DIN47_BIT))
#define DIN47 177
#define DIN47_GPIO (PORTREG(DIN47_PORT))
#define DIN47_PPORT (pinport(DIN47_PORT))
#define DIO177 177
#define DIO177_PORT DIN47_PORT
#define DIO177_BIT DIN47_BIT
#define DIO177_GPIO DIN47_GPIO
#define DIO177_PPORT DIN47_PPORT
#endif</v>
      </c>
      <c r="F176" s="9"/>
      <c r="G176" s="9"/>
      <c r="H176" s="9"/>
      <c r="I176" s="14"/>
      <c r="J176" s="9"/>
      <c r="K176" s="9"/>
      <c r="L176" s="9"/>
      <c r="M176" s="9"/>
    </row>
    <row r="177" spans="1:13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4">
        <v>48</v>
      </c>
      <c r="E177" s="9" t="str">
        <f t="shared" si="21"/>
        <v>#if (defined(DIN48_PORT) &amp;&amp; defined(DIN48_BIT))
#define DIN48 178
#define DIN48_GPIO (PORTREG(DIN48_PORT))
#define DIN48_PPORT (pinport(DIN48_PORT))
#define DIO178 178
#define DIO178_PORT DIN48_PORT
#define DIO178_BIT DIN48_BIT
#define DIO178_GPIO DIN48_GPIO
#define DIO178_PPORT DIN48_PPORT
#endif</v>
      </c>
      <c r="F177" s="9"/>
      <c r="G177" s="9"/>
      <c r="H177" s="9"/>
      <c r="I177" s="14"/>
      <c r="J177" s="9"/>
      <c r="K177" s="9"/>
      <c r="L177" s="9"/>
      <c r="M177" s="9"/>
    </row>
    <row r="178" spans="1:13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4">
        <v>49</v>
      </c>
      <c r="E178" s="9" t="str">
        <f t="shared" si="21"/>
        <v>#if (defined(DIN49_PORT) &amp;&amp; defined(DIN49_BIT))
#define DIN49 179
#define DIN49_GPIO (PORTREG(DIN49_PORT))
#define DIN49_PPORT (pinport(DIN49_PORT))
#define DIO179 179
#define DIO179_PORT DIN49_PORT
#define DIO179_BIT DIN49_BIT
#define DIO179_GPIO DIN49_GPIO
#define DIO179_PPORT DIN49_PPORT
#endif</v>
      </c>
      <c r="F178" s="9"/>
      <c r="G178" s="9"/>
      <c r="H178" s="9"/>
      <c r="I178" s="14"/>
      <c r="J178" s="9"/>
      <c r="K178" s="9"/>
      <c r="L178" s="9"/>
      <c r="M178" s="9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TX_GPIO (PORTREG(TX_PORT))
#define TX_PPORT (pinport(TX_PORT))
#define DIO200 200
#define DIO200_PORT TX_PORT
#define DIO200_BIT TX_BIT
#define DIO200_GPIO TX_GPIO
#define DIO200_PPORT TX_PPORT
#endif</v>
      </c>
      <c r="F179" s="9"/>
      <c r="G179" s="9"/>
      <c r="H179" s="9"/>
      <c r="I179" s="13" t="str">
        <f>"#if !("&amp;C179&amp;"&lt;0)
mcu_config_output("&amp;C179&amp;");
#endif"</f>
        <v>#if !(TX&lt;0)
mcu_config_output(TX);
#endif</v>
      </c>
      <c r="J179" s="4"/>
      <c r="K179" s="4"/>
      <c r="L179" s="4"/>
      <c r="M179" s="4"/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RX_GPIO (PORTREG(RX_PORT))
#define RX_PPORT (pinport(RX_PORT))
#define DIO201 201
#define DIO201_PORT RX_PORT
#define DIO201_BIT RX_BIT
#define DIO201_GPIO RX_GPIO
#define DIO201_PPORT RX_PPORT
#endif</v>
      </c>
      <c r="F180" s="9"/>
      <c r="G180" s="9"/>
      <c r="H180" s="9"/>
      <c r="I180" s="14" t="str">
        <f>"#if !("&amp;C180&amp;"&lt;0)
mcu_config_input("&amp;C180&amp;");
#ifdef "&amp;C180&amp;"_PULLUP
mcu_config_pullup("&amp;C180&amp;");
#endif
#endif"</f>
        <v>#if !(RX&lt;0)
mcu_config_input(RX);
#ifdef RX_PULLUP
mcu_config_pullup(RX);
#endif
#endif</v>
      </c>
      <c r="J180" s="4"/>
      <c r="K180" s="4"/>
      <c r="L180" s="4"/>
      <c r="M180" s="4"/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1"/>
        <v>#if (defined(USB_DM_PORT) &amp;&amp; defined(USB_DM_BIT))
#define USB_DM 202
#define USB_DM_GPIO (PORTREG(USB_DM_PORT))
#define USB_DM_PPORT (pinport(USB_DM_PORT))
#define DIO202 202
#define DIO202_PORT USB_DM_PORT
#define DIO202_BIT USB_DM_BIT
#define DIO202_GPIO USB_DM_GPIO
#define DIO202_PPORT USB_DM_PPORT
#endif</v>
      </c>
      <c r="F181" s="9"/>
      <c r="G181" s="9"/>
      <c r="H181" s="9"/>
      <c r="I181" s="14" t="str">
        <f>"#if !("&amp;C181&amp;"&lt;0)
mcu_config_input("&amp;C181&amp;");
#ifdef "&amp;C181&amp;"_PULLUP
mcu_config_pullup("&amp;C181&amp;");
#endif
#endif"</f>
        <v>#if !(USB_DM&lt;0)
mcu_config_input(USB_DM);
#ifdef USB_DM_PULLUP
mcu_config_pullup(USB_DM);
#endif
#endif</v>
      </c>
      <c r="J181" s="4"/>
      <c r="K181" s="4"/>
      <c r="L181" s="4"/>
      <c r="M181" s="4"/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1"/>
        <v>#if (defined(USB_DP_PORT) &amp;&amp; defined(USB_DP_BIT))
#define USB_DP 203
#define USB_DP_GPIO (PORTREG(USB_DP_PORT))
#define USB_DP_PPORT (pinport(USB_DP_PORT))
#define DIO203 203
#define DIO203_PORT USB_DP_PORT
#define DIO203_BIT USB_DP_BIT
#define DIO203_GPIO USB_DP_GPIO
#define DIO203_PPORT USB_DP_PPORT
#endif</v>
      </c>
      <c r="F182" s="9"/>
      <c r="G182" s="9"/>
      <c r="H182" s="9"/>
      <c r="I182" s="14" t="str">
        <f>"#if !("&amp;C182&amp;"&lt;0)
mcu_config_input("&amp;C182&amp;");
#ifdef "&amp;C182&amp;"_PULLUP
mcu_config_pullup("&amp;C182&amp;");
#endif
#endif"</f>
        <v>#if !(USB_DP&lt;0)
mcu_config_input(USB_DP);
#ifdef USB_DP_PULLUP
mcu_config_pullup(USB_DP);
#endif
#endif</v>
      </c>
      <c r="J182" s="4"/>
      <c r="K182" s="4"/>
      <c r="L182" s="4"/>
      <c r="M182" s="4"/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1"/>
        <v>#if (defined(SPI_CLK_PORT) &amp;&amp; defined(SPI_CLK_BIT))
#define SPI_CLK 204
#define SPI_CLK_GPIO (PORTREG(SPI_CLK_PORT))
#define SPI_CLK_PPORT (pinport(SPI_CLK_PORT))
#define DIO204 204
#define DIO204_PORT SPI_CLK_PORT
#define DIO204_BIT SPI_CLK_BIT
#define DIO204_GPIO SPI_CLK_GPIO
#define DIO204_PPORT SPI_CLK_PPORT
#endif</v>
      </c>
      <c r="F183" s="9"/>
      <c r="G183" s="9"/>
      <c r="H183" s="9"/>
      <c r="I183" s="13" t="str">
        <f>"#if !("&amp;C183&amp;"&lt;0)
mcu_config_output("&amp;C183&amp;");
#endif"</f>
        <v>#if !(SPI_CLK&lt;0)
mcu_config_output(SPI_CLK);
#endif</v>
      </c>
      <c r="J183" s="4"/>
      <c r="K183" s="4"/>
      <c r="L183" s="4"/>
      <c r="M183" s="4"/>
    </row>
    <row r="184" spans="1:13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4">
        <v>1</v>
      </c>
      <c r="E184" s="9" t="str">
        <f t="shared" si="21"/>
        <v>#if (defined(SPI_SDI_PORT) &amp;&amp; defined(SPI_SDI_BIT))
#define SPI_SDI 205
#define SPI_SDI_GPIO (PORTREG(SPI_SDI_PORT))
#define SPI_SDI_PPORT (pinport(SPI_SDI_PORT))
#define DIO205 205
#define DIO205_PORT SPI_SDI_PORT
#define DIO205_BIT SPI_SDI_BIT
#define DIO205_GPIO SPI_SDI_GPIO
#define DIO205_PPORT SPI_SDI_PPORT
#endif</v>
      </c>
      <c r="F184" s="9"/>
      <c r="G184" s="9"/>
      <c r="H184" s="9"/>
      <c r="I184" s="14" t="str">
        <f>"#if !("&amp;C184&amp;"&lt;0)
mcu_config_input("&amp;C184&amp;");
#ifdef "&amp;C184&amp;"_PULLUP
mcu_config_pullup("&amp;C184&amp;");
#endif
#endif"</f>
        <v>#if !(SPI_SDI&lt;0)
mcu_config_input(SPI_SDI);
#ifdef SPI_SDI_PULLUP
mcu_config_pullup(SPI_SDI);
#endif
#endif</v>
      </c>
      <c r="J184" s="4"/>
      <c r="K184" s="4"/>
      <c r="L184" s="4"/>
      <c r="M184" s="4"/>
    </row>
    <row r="185" spans="1:13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5">
        <v>2</v>
      </c>
      <c r="E185" s="9" t="str">
        <f t="shared" si="21"/>
        <v>#if (defined(SPI_SDO_PORT) &amp;&amp; defined(SPI_SDO_BIT))
#define SPI_SDO 206
#define SPI_SDO_GPIO (PORTREG(SPI_SDO_PORT))
#define SPI_SDO_PPORT (pinport(SPI_SDO_PORT))
#define DIO206 206
#define DIO206_PORT SPI_SDO_PORT
#define DIO206_BIT SPI_SDO_BIT
#define DIO206_GPIO SPI_SDO_GPIO
#define DIO206_PPORT SPI_SDO_PPORT
#endif</v>
      </c>
      <c r="F185" s="9"/>
      <c r="G185" s="9"/>
      <c r="H185" s="9"/>
      <c r="I185" s="13" t="str">
        <f>"#if !("&amp;C185&amp;"&lt;0)
mcu_config_output("&amp;C185&amp;");
#endif"</f>
        <v>#if !(SPI_SDO&lt;0)
mcu_config_output(SPI_SDO);
#endif</v>
      </c>
      <c r="J185" s="4"/>
      <c r="K185" s="4"/>
      <c r="L185" s="4"/>
      <c r="M185" s="4"/>
    </row>
    <row r="186" spans="1:13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5">
        <v>3</v>
      </c>
      <c r="E186" s="9" t="str">
        <f t="shared" si="21"/>
        <v>#if (defined(SPI_CS_PORT) &amp;&amp; defined(SPI_CS_BIT))
#define SPI_CS 207
#define SPI_CS_GPIO (PORTREG(SPI_CS_PORT))
#define SPI_CS_PPORT (pinport(SPI_CS_PORT))
#define DIO207 207
#define DIO207_PORT SPI_CS_PORT
#define DIO207_BIT SPI_CS_BIT
#define DIO207_GPIO SPI_CS_GPIO
#define DIO207_PPORT SPI_CS_PPORT
#endif</v>
      </c>
      <c r="F186" s="9"/>
      <c r="G186" s="9"/>
      <c r="H186" s="9"/>
      <c r="I186" s="13" t="str">
        <f>"#if !("&amp;C186&amp;"&lt;0)
mcu_config_output("&amp;C186&amp;");
#endif"</f>
        <v>#if !(SPI_CS&lt;0)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5">
        <v>4</v>
      </c>
      <c r="E187" s="9" t="str">
        <f t="shared" si="21"/>
        <v>#if (defined(I2C_SCL_PORT) &amp;&amp; defined(I2C_SCL_BIT))
#define I2C_SCL 208
#define I2C_SCL_GPIO (PORTREG(I2C_SCL_PORT))
#define I2C_SCL_PPORT (pinport(I2C_SCL_PORT))
#define DIO208 208
#define DIO208_PORT I2C_SCL_PORT
#define DIO208_BIT I2C_SCL_BIT
#define DIO208_GPIO I2C_SCL_GPIO
#define DIO208_PPORT I2C_SCL_PPORT
#endif</v>
      </c>
      <c r="F187" s="9"/>
      <c r="G187" s="9"/>
      <c r="H187" s="9"/>
      <c r="I187" s="13" t="str">
        <f>"#if !("&amp;C187&amp;"&lt;0)
mcu_config_input("&amp;C187&amp;");
mcu_config_pullup("&amp;C187&amp;");
#endif"</f>
        <v>#if !(I2C_SCL&lt;0)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15"/>
      <c r="E188" s="9" t="str">
        <f t="shared" si="21"/>
        <v>#if (defined(I2C_SDA_PORT) &amp;&amp; defined(I2C_SDA_BIT))
#define I2C_SDA 209
#define I2C_SDA_GPIO (PORTREG(I2C_SDA_PORT))
#define I2C_SDA_PPORT (pinport(I2C_SDA_PORT))
#define DIO209 209
#define DIO209_PORT I2C_SDA_PORT
#define DIO209_BIT I2C_SDA_BIT
#define DIO209_GPIO I2C_SDA_GPIO
#define DIO209_PPORT I2C_SDA_PPORT
#endif</v>
      </c>
      <c r="F188" s="9"/>
      <c r="G188" s="9"/>
      <c r="H188" s="9"/>
      <c r="I188" s="13" t="str">
        <f>"#if !("&amp;C188&amp;"&lt;0)
mcu_config_input("&amp;C188&amp;");
mcu_config_pullup("&amp;C188&amp;");
#endif"</f>
        <v>#if !(I2C_SDA&lt;0)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4">
        <v>0</v>
      </c>
      <c r="E189" s="9" t="str">
        <f t="shared" si="21"/>
        <v>#if (defined(TX2_PORT) &amp;&amp; defined(TX2_BIT))
#define TX2 210
#define TX2_GPIO (PORTREG(TX2_PORT))
#define TX2_PPORT (pinport(TX2_PORT))
#define DIO210 210
#define DIO210_PORT TX2_PORT
#define DIO210_BIT TX2_BIT
#define DIO210_GPIO TX2_GPIO
#define DIO210_PPORT TX2_PPORT
#endif</v>
      </c>
      <c r="F189" s="9"/>
      <c r="G189" s="9"/>
      <c r="H189" s="9"/>
      <c r="I189" s="13" t="str">
        <f>"#if !("&amp;C189&amp;"&lt;0)
mcu_config_output("&amp;C189&amp;");
#endif"</f>
        <v>#if !(TX2&lt;0)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4">
        <v>1</v>
      </c>
      <c r="E190" s="9" t="str">
        <f t="shared" si="21"/>
        <v>#if (defined(RX2_PORT) &amp;&amp; defined(RX2_BIT))
#define RX2 211
#define RX2_GPIO (PORTREG(RX2_PORT))
#define RX2_PPORT (pinport(RX2_PORT))
#define DIO211 211
#define DIO211_PORT RX2_PORT
#define DIO211_BIT RX2_BIT
#define DIO211_GPIO RX2_GPIO
#define DIO211_PPORT RX2_PPORT
#endif</v>
      </c>
      <c r="F190" s="9"/>
      <c r="G190" s="9"/>
      <c r="H190" s="9"/>
      <c r="I190" s="14" t="str">
        <f>"#if !("&amp;C190&amp;"&lt;0)
mcu_config_input("&amp;C190&amp;");
#ifdef "&amp;C190&amp;"_PULLUP
mcu_config_pullup("&amp;C190&amp;");
#endif
#endif"</f>
        <v>#if !(RX2&lt;0)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1"/>
        <v>#if (defined(SPI2_CLK_PORT) &amp;&amp; defined(SPI2_CLK_BIT))
#define SPI2_CLK 212
#define SPI2_CLK_GPIO (PORTREG(SPI2_CLK_PORT))
#define SPI2_CLK_PPORT (pinport(SPI2_CLK_PORT))
#define DIO212 212
#define DIO212_PORT SPI2_CLK_PORT
#define DIO212_BIT SPI2_CLK_BIT
#define DIO212_GPIO SPI2_CLK_GPIO
#define DIO212_PPORT SPI2_CLK_PPORT
#endif</v>
      </c>
      <c r="F191" s="16"/>
      <c r="G191" s="16"/>
      <c r="H191" s="16"/>
      <c r="I191" s="13" t="str">
        <f>"#if !("&amp;C191&amp;"&lt;0)
mcu_config_output("&amp;C191&amp;");
#endif"</f>
        <v>#if !(SPI2_CLK&lt;0)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1"/>
        <v>#if (defined(SPI2_SDI_PORT) &amp;&amp; defined(SPI2_SDI_BIT))
#define SPI2_SDI 213
#define SPI2_SDI_GPIO (PORTREG(SPI2_SDI_PORT))
#define SPI2_SDI_PPORT (pinport(SPI2_SDI_PORT))
#define DIO213 213
#define DIO213_PORT SPI2_SDI_PORT
#define DIO213_BIT SPI2_SDI_BIT
#define DIO213_GPIO SPI2_SDI_GPIO
#define DIO213_PPORT SPI2_SDI_PPORT
#endif</v>
      </c>
      <c r="F192" s="16"/>
      <c r="G192" s="16"/>
      <c r="H192" s="16"/>
      <c r="I192" s="14" t="str">
        <f>"#if !("&amp;C192&amp;"&lt;0)
mcu_config_input("&amp;C192&amp;");
#ifdef "&amp;C192&amp;"_PULLUP
mcu_config_pullup("&amp;C192&amp;");
#endif
#endif"</f>
        <v>#if !(SPI2_SDI&lt;0)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1"/>
        <v>#if (defined(SPI2_SDO_PORT) &amp;&amp; defined(SPI2_SDO_BIT))
#define SPI2_SDO 214
#define SPI2_SDO_GPIO (PORTREG(SPI2_SDO_PORT))
#define SPI2_SDO_PPORT (pinport(SPI2_SDO_PORT))
#define DIO214 214
#define DIO214_PORT SPI2_SDO_PORT
#define DIO214_BIT SPI2_SDO_BIT
#define DIO214_GPIO SPI2_SDO_GPIO
#define DIO214_PPORT SPI2_SDO_PPORT
#endif</v>
      </c>
      <c r="F193" s="16"/>
      <c r="G193" s="16"/>
      <c r="H193" s="16"/>
      <c r="I193" s="13" t="str">
        <f>"#if !("&amp;C193&amp;"&lt;0)
mcu_config_output("&amp;C193&amp;");
#endif"</f>
        <v>#if !(SPI2_SDO&lt;0)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1"/>
        <v>#if (defined(SPI2_CS_PORT) &amp;&amp; defined(SPI2_CS_BIT))
#define SPI2_CS 215
#define SPI2_CS_GPIO (PORTREG(SPI2_CS_PORT))
#define SPI2_CS_PPORT (pinport(SPI2_CS_PORT))
#define DIO215 215
#define DIO215_PORT SPI2_CS_PORT
#define DIO215_BIT SPI2_CS_BIT
#define DIO215_GPIO SPI2_CS_GPIO
#define DIO215_PPORT SPI2_CS_PPORT
#endif</v>
      </c>
      <c r="F194" s="16"/>
      <c r="G194" s="16"/>
      <c r="H194" s="16"/>
      <c r="I194" s="13" t="str">
        <f>"#if !("&amp;C194&amp;"&lt;0)
mcu_config_output("&amp;C194&amp;");
#endif"</f>
        <v>#if !(SPI2_CS&lt;0)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15"/>
      <c r="E195" s="16"/>
      <c r="F195" s="16"/>
      <c r="G195" s="16"/>
      <c r="H195" s="16"/>
      <c r="I195" s="6"/>
      <c r="J195" s="6"/>
      <c r="K195" s="6"/>
      <c r="L195" s="6"/>
      <c r="M195" s="6"/>
    </row>
    <row r="196" spans="1:13" ht="15" customHeight="1" x14ac:dyDescent="0.25">
      <c r="A196" s="6"/>
      <c r="B196" s="6"/>
      <c r="C196" s="6"/>
      <c r="D196" s="15"/>
      <c r="E196" s="16"/>
      <c r="F196" s="16"/>
      <c r="G196" s="16"/>
      <c r="H196" s="16"/>
      <c r="I196" s="6"/>
      <c r="J196" s="6"/>
      <c r="K196" s="6"/>
      <c r="L196" s="6"/>
      <c r="M196" s="6"/>
    </row>
    <row r="197" spans="1:13" ht="15" customHeight="1" x14ac:dyDescent="0.25">
      <c r="A197" s="6"/>
      <c r="B197" s="6"/>
      <c r="C197" s="6"/>
      <c r="D197" s="15"/>
      <c r="E197" s="16"/>
      <c r="F197" s="16"/>
      <c r="G197" s="16"/>
      <c r="H197" s="16"/>
      <c r="I197" s="6"/>
      <c r="J197" s="6"/>
      <c r="K197" s="6"/>
      <c r="L197" s="6"/>
      <c r="M197" s="6"/>
    </row>
    <row r="198" spans="1:13" ht="15" customHeight="1" x14ac:dyDescent="0.25">
      <c r="A198" s="6" t="s">
        <v>155</v>
      </c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</row>
    <row r="199" spans="1:13" ht="15" customHeight="1" x14ac:dyDescent="0.25">
      <c r="A199" s="6" t="s">
        <v>156</v>
      </c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</row>
    <row r="200" spans="1:13" ht="15" customHeight="1" x14ac:dyDescent="0.25">
      <c r="A200" s="6" t="s">
        <v>157</v>
      </c>
      <c r="B200" s="6" t="str">
        <f t="shared" ref="B200:B242" si="23">A200&amp;","</f>
        <v>Reset_Handler,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</row>
    <row r="201" spans="1:13" ht="15" customHeight="1" x14ac:dyDescent="0.25">
      <c r="A201" s="6" t="s">
        <v>158</v>
      </c>
      <c r="B201" s="6" t="str">
        <f t="shared" si="23"/>
        <v>NMI_Handler,</v>
      </c>
      <c r="C201" s="6" t="str">
        <f t="shared" ref="C201:C202" si="24">"#pragma weak "&amp;A201&amp;" = Default_Handler"</f>
        <v>#pragma weak NMI_Handler = Default_Handler</v>
      </c>
      <c r="D201" s="6"/>
      <c r="E201" s="6"/>
      <c r="F201" s="6"/>
      <c r="G201" s="6"/>
      <c r="H201" s="6"/>
      <c r="I201" s="6"/>
      <c r="J201" s="6"/>
      <c r="K201" s="6"/>
      <c r="L201" s="6"/>
      <c r="M201" s="6"/>
    </row>
    <row r="202" spans="1:13" ht="15" customHeight="1" x14ac:dyDescent="0.25">
      <c r="A202" s="6" t="s">
        <v>159</v>
      </c>
      <c r="B202" s="6" t="str">
        <f t="shared" si="23"/>
        <v>HardFault_Handler,</v>
      </c>
      <c r="C202" s="6" t="str">
        <f t="shared" si="24"/>
        <v>#pragma weak HardFault_Handler = Default_Handler</v>
      </c>
      <c r="D202" s="6"/>
      <c r="E202" s="6"/>
      <c r="F202" s="6"/>
      <c r="G202" s="6"/>
      <c r="H202" s="6"/>
      <c r="I202" s="6"/>
      <c r="J202" s="6"/>
      <c r="K202" s="6"/>
      <c r="L202" s="6"/>
      <c r="M202" s="6"/>
    </row>
    <row r="203" spans="1:13" ht="15" customHeight="1" x14ac:dyDescent="0.25">
      <c r="A203" s="6">
        <v>0</v>
      </c>
      <c r="B203" s="6" t="str">
        <f t="shared" si="23"/>
        <v>0,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</row>
    <row r="204" spans="1:13" ht="15" customHeight="1" x14ac:dyDescent="0.25">
      <c r="A204" s="6">
        <v>0</v>
      </c>
      <c r="B204" s="6" t="str">
        <f t="shared" si="23"/>
        <v>0,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</row>
    <row r="205" spans="1:13" ht="15" customHeight="1" x14ac:dyDescent="0.25">
      <c r="A205" s="6">
        <v>0</v>
      </c>
      <c r="B205" s="6" t="str">
        <f t="shared" si="23"/>
        <v>0,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</row>
    <row r="206" spans="1:13" ht="15" customHeight="1" x14ac:dyDescent="0.25">
      <c r="A206" s="6">
        <v>0</v>
      </c>
      <c r="B206" s="6" t="str">
        <f t="shared" si="23"/>
        <v>0,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</row>
    <row r="207" spans="1:13" ht="15" customHeight="1" x14ac:dyDescent="0.25">
      <c r="A207" s="6">
        <v>0</v>
      </c>
      <c r="B207" s="6" t="str">
        <f t="shared" si="23"/>
        <v>0,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</row>
    <row r="208" spans="1:13" ht="15" customHeight="1" x14ac:dyDescent="0.25">
      <c r="A208" s="6">
        <v>0</v>
      </c>
      <c r="B208" s="6" t="str">
        <f t="shared" si="23"/>
        <v>0,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</row>
    <row r="209" spans="1:13" ht="15" customHeight="1" x14ac:dyDescent="0.25">
      <c r="A209" s="6">
        <v>0</v>
      </c>
      <c r="B209" s="6" t="str">
        <f t="shared" si="23"/>
        <v>0,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</row>
    <row r="210" spans="1:13" ht="15" customHeight="1" x14ac:dyDescent="0.25">
      <c r="A210" s="6" t="s">
        <v>160</v>
      </c>
      <c r="B210" s="6" t="str">
        <f t="shared" si="23"/>
        <v>SVC_Handler,</v>
      </c>
      <c r="C210" s="6" t="str">
        <f>"#pragma weak "&amp;A210&amp;" = Default_Handler"</f>
        <v>#pragma weak SVC_Handler = Default_Handler</v>
      </c>
      <c r="D210" s="6"/>
      <c r="E210" s="6"/>
      <c r="F210" s="6"/>
      <c r="G210" s="6"/>
      <c r="H210" s="6"/>
      <c r="I210" s="6"/>
      <c r="J210" s="6"/>
      <c r="K210" s="6"/>
      <c r="L210" s="6"/>
      <c r="M210" s="6"/>
    </row>
    <row r="211" spans="1:13" ht="15" customHeight="1" x14ac:dyDescent="0.25">
      <c r="A211" s="6">
        <v>0</v>
      </c>
      <c r="B211" s="6" t="str">
        <f t="shared" si="23"/>
        <v>0,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</row>
    <row r="212" spans="1:13" ht="15" customHeight="1" x14ac:dyDescent="0.25">
      <c r="A212" s="6">
        <v>0</v>
      </c>
      <c r="B212" s="6" t="str">
        <f t="shared" si="23"/>
        <v>0,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</row>
    <row r="213" spans="1:13" ht="15" customHeight="1" x14ac:dyDescent="0.25">
      <c r="A213" s="6" t="s">
        <v>161</v>
      </c>
      <c r="B213" s="6" t="str">
        <f t="shared" si="23"/>
        <v>PendSV_Handler,</v>
      </c>
      <c r="C213" s="6" t="str">
        <f t="shared" ref="C213:C242" si="25">"#pragma weak "&amp;A213&amp;" = Default_Handler"</f>
        <v>#pragma weak PendSV_Handler = Default_Handler</v>
      </c>
      <c r="D213" s="6"/>
      <c r="E213" s="6"/>
      <c r="F213" s="6"/>
      <c r="G213" s="6"/>
      <c r="H213" s="6"/>
      <c r="I213" s="6"/>
      <c r="J213" s="6"/>
      <c r="K213" s="6"/>
      <c r="L213" s="6"/>
      <c r="M213" s="6"/>
    </row>
    <row r="214" spans="1:13" ht="15" customHeight="1" x14ac:dyDescent="0.25">
      <c r="A214" s="6" t="s">
        <v>162</v>
      </c>
      <c r="B214" s="6" t="str">
        <f t="shared" si="23"/>
        <v>SysTick_Handler,</v>
      </c>
      <c r="C214" s="6" t="str">
        <f t="shared" si="25"/>
        <v>#pragma weak SysTick_Handler = Default_Handler</v>
      </c>
      <c r="D214" s="6"/>
      <c r="E214" s="6"/>
      <c r="F214" s="6"/>
      <c r="G214" s="6"/>
      <c r="H214" s="6"/>
      <c r="I214" s="6"/>
      <c r="J214" s="6"/>
      <c r="K214" s="6"/>
      <c r="L214" s="6"/>
      <c r="M214" s="6"/>
    </row>
    <row r="215" spans="1:13" ht="15" customHeight="1" x14ac:dyDescent="0.25">
      <c r="A215" s="6" t="s">
        <v>163</v>
      </c>
      <c r="B215" s="6" t="str">
        <f t="shared" si="23"/>
        <v>PM_Handler,</v>
      </c>
      <c r="C215" s="6" t="str">
        <f t="shared" si="25"/>
        <v>#pragma weak PM_Handler = Default_Handler</v>
      </c>
      <c r="D215" s="6"/>
      <c r="E215" s="6"/>
      <c r="F215" s="6"/>
      <c r="G215" s="6"/>
      <c r="H215" s="6"/>
      <c r="I215" s="6"/>
      <c r="J215" s="6"/>
      <c r="K215" s="6"/>
      <c r="L215" s="6"/>
      <c r="M215" s="6"/>
    </row>
    <row r="216" spans="1:13" ht="15" customHeight="1" x14ac:dyDescent="0.25">
      <c r="A216" s="6" t="s">
        <v>164</v>
      </c>
      <c r="B216" s="6" t="str">
        <f t="shared" si="23"/>
        <v>SYSCTRL_Handler,</v>
      </c>
      <c r="C216" s="6" t="str">
        <f t="shared" si="25"/>
        <v>#pragma weak SYSCTRL_Handler = Default_Handler</v>
      </c>
      <c r="D216" s="6"/>
      <c r="E216" s="6"/>
      <c r="F216" s="6"/>
      <c r="G216" s="6"/>
      <c r="H216" s="6"/>
      <c r="I216" s="6"/>
      <c r="J216" s="6"/>
      <c r="K216" s="6"/>
      <c r="L216" s="6"/>
      <c r="M216" s="6"/>
    </row>
    <row r="217" spans="1:13" ht="15" customHeight="1" x14ac:dyDescent="0.25">
      <c r="A217" s="6" t="s">
        <v>165</v>
      </c>
      <c r="B217" s="6" t="str">
        <f t="shared" si="23"/>
        <v>WDT_Handler,</v>
      </c>
      <c r="C217" s="6" t="str">
        <f t="shared" si="25"/>
        <v>#pragma weak WDT_Handler = Default_Handler</v>
      </c>
      <c r="D217" s="6"/>
      <c r="E217" s="6"/>
      <c r="F217" s="6"/>
      <c r="G217" s="6"/>
      <c r="H217" s="6"/>
      <c r="I217" s="6"/>
      <c r="J217" s="6"/>
      <c r="K217" s="6"/>
      <c r="L217" s="6"/>
      <c r="M217" s="6"/>
    </row>
    <row r="218" spans="1:13" ht="15" customHeight="1" x14ac:dyDescent="0.25">
      <c r="A218" s="6" t="s">
        <v>166</v>
      </c>
      <c r="B218" s="6" t="str">
        <f t="shared" si="23"/>
        <v>RTC_Handler,</v>
      </c>
      <c r="C218" s="6" t="str">
        <f t="shared" si="25"/>
        <v>#pragma weak RTC_Handler = Default_Handler</v>
      </c>
      <c r="D218" s="6"/>
      <c r="E218" s="6"/>
      <c r="F218" s="6"/>
      <c r="G218" s="6"/>
      <c r="H218" s="6"/>
      <c r="I218" s="6"/>
      <c r="J218" s="6"/>
      <c r="K218" s="6"/>
      <c r="L218" s="6"/>
      <c r="M218" s="6"/>
    </row>
    <row r="219" spans="1:13" ht="15" customHeight="1" x14ac:dyDescent="0.25">
      <c r="A219" s="6" t="s">
        <v>167</v>
      </c>
      <c r="B219" s="6" t="str">
        <f t="shared" si="23"/>
        <v>EIC_Handler,</v>
      </c>
      <c r="C219" s="6" t="str">
        <f t="shared" si="25"/>
        <v>#pragma weak EIC_Handler = Default_Handler</v>
      </c>
      <c r="D219" s="6"/>
      <c r="E219" s="6"/>
      <c r="F219" s="6"/>
      <c r="G219" s="6"/>
      <c r="H219" s="6"/>
      <c r="I219" s="6"/>
      <c r="J219" s="6"/>
      <c r="K219" s="6"/>
      <c r="L219" s="6"/>
      <c r="M219" s="6"/>
    </row>
    <row r="220" spans="1:13" ht="15" customHeight="1" x14ac:dyDescent="0.25">
      <c r="A220" s="6" t="s">
        <v>168</v>
      </c>
      <c r="B220" s="6" t="str">
        <f t="shared" si="23"/>
        <v>NVMCTRL_Handler,</v>
      </c>
      <c r="C220" s="6" t="str">
        <f t="shared" si="25"/>
        <v>#pragma weak NVMCTRL_Handler = Default_Handler</v>
      </c>
      <c r="D220" s="6"/>
      <c r="E220" s="6"/>
      <c r="F220" s="6"/>
      <c r="G220" s="6"/>
      <c r="H220" s="6"/>
      <c r="I220" s="6"/>
      <c r="J220" s="6"/>
      <c r="K220" s="6"/>
      <c r="L220" s="6"/>
      <c r="M220" s="6"/>
    </row>
    <row r="221" spans="1:13" ht="15" customHeight="1" x14ac:dyDescent="0.25">
      <c r="A221" s="6" t="s">
        <v>169</v>
      </c>
      <c r="B221" s="6" t="str">
        <f t="shared" si="23"/>
        <v>DMAC_Handler,</v>
      </c>
      <c r="C221" s="6" t="str">
        <f t="shared" si="25"/>
        <v>#pragma weak DMAC_Handler = Default_Handler</v>
      </c>
      <c r="D221" s="6"/>
      <c r="E221" s="6"/>
      <c r="F221" s="6"/>
      <c r="G221" s="6"/>
      <c r="H221" s="6"/>
      <c r="I221" s="6"/>
      <c r="J221" s="6"/>
      <c r="K221" s="6"/>
      <c r="L221" s="6"/>
      <c r="M221" s="6"/>
    </row>
    <row r="222" spans="1:13" ht="15" customHeight="1" x14ac:dyDescent="0.25">
      <c r="A222" s="6" t="s">
        <v>170</v>
      </c>
      <c r="B222" s="6" t="str">
        <f t="shared" si="23"/>
        <v>USB_Handler,</v>
      </c>
      <c r="C222" s="6" t="str">
        <f t="shared" si="25"/>
        <v>#pragma weak USB_Handler = Default_Handler</v>
      </c>
      <c r="D222" s="6"/>
      <c r="E222" s="6"/>
      <c r="F222" s="6"/>
      <c r="G222" s="6"/>
      <c r="H222" s="6"/>
      <c r="I222" s="6"/>
      <c r="J222" s="6"/>
      <c r="K222" s="6"/>
      <c r="L222" s="6"/>
      <c r="M222" s="6"/>
    </row>
    <row r="223" spans="1:13" ht="15" customHeight="1" x14ac:dyDescent="0.25">
      <c r="A223" s="6" t="s">
        <v>171</v>
      </c>
      <c r="B223" s="6" t="str">
        <f t="shared" si="23"/>
        <v>EVSYS_Handler,</v>
      </c>
      <c r="C223" s="6" t="str">
        <f t="shared" si="25"/>
        <v>#pragma weak EVSYS_Handler = Default_Handler</v>
      </c>
      <c r="D223" s="6"/>
      <c r="E223" s="6"/>
      <c r="F223" s="6"/>
      <c r="G223" s="6"/>
      <c r="H223" s="6"/>
      <c r="I223" s="6"/>
      <c r="J223" s="6"/>
      <c r="K223" s="6"/>
      <c r="L223" s="6"/>
      <c r="M223" s="6"/>
    </row>
    <row r="224" spans="1:13" ht="15" customHeight="1" x14ac:dyDescent="0.25">
      <c r="A224" s="6" t="s">
        <v>172</v>
      </c>
      <c r="B224" s="6" t="str">
        <f t="shared" si="23"/>
        <v>SERCOM0_Handler,</v>
      </c>
      <c r="C224" s="6" t="str">
        <f t="shared" si="25"/>
        <v>#pragma weak SERCOM0_Handler = Default_Handler</v>
      </c>
      <c r="D224" s="6"/>
      <c r="E224" s="6"/>
      <c r="F224" s="6"/>
      <c r="G224" s="6"/>
      <c r="H224" s="6"/>
      <c r="I224" s="6"/>
      <c r="J224" s="6"/>
      <c r="K224" s="6"/>
      <c r="L224" s="6"/>
      <c r="M224" s="6"/>
    </row>
    <row r="225" spans="1:13" ht="15" customHeight="1" x14ac:dyDescent="0.25">
      <c r="A225" s="6" t="s">
        <v>173</v>
      </c>
      <c r="B225" s="6" t="str">
        <f t="shared" si="23"/>
        <v>SERCOM1_Handler,</v>
      </c>
      <c r="C225" s="6" t="str">
        <f t="shared" si="25"/>
        <v>#pragma weak SERCOM1_Handler = Default_Handler</v>
      </c>
      <c r="D225" s="6"/>
      <c r="E225" s="6"/>
      <c r="F225" s="6"/>
      <c r="G225" s="6"/>
      <c r="H225" s="6"/>
      <c r="I225" s="6"/>
      <c r="J225" s="6"/>
      <c r="K225" s="6"/>
      <c r="L225" s="6"/>
      <c r="M225" s="6"/>
    </row>
    <row r="226" spans="1:13" ht="15" customHeight="1" x14ac:dyDescent="0.25">
      <c r="A226" s="6" t="s">
        <v>174</v>
      </c>
      <c r="B226" s="6" t="str">
        <f t="shared" si="23"/>
        <v>SERCOM2_Handler,</v>
      </c>
      <c r="C226" s="6" t="str">
        <f t="shared" si="25"/>
        <v>#pragma weak SERCOM2_Handler = Default_Handler</v>
      </c>
      <c r="D226" s="6"/>
      <c r="E226" s="6"/>
      <c r="F226" s="6"/>
      <c r="G226" s="6"/>
      <c r="H226" s="6"/>
      <c r="I226" s="6"/>
      <c r="J226" s="6"/>
      <c r="K226" s="6"/>
      <c r="L226" s="6"/>
      <c r="M226" s="6"/>
    </row>
    <row r="227" spans="1:13" ht="15" customHeight="1" x14ac:dyDescent="0.25">
      <c r="A227" s="6" t="s">
        <v>175</v>
      </c>
      <c r="B227" s="6" t="str">
        <f t="shared" si="23"/>
        <v>SERCOM3_Handler,</v>
      </c>
      <c r="C227" s="6" t="str">
        <f t="shared" si="25"/>
        <v>#pragma weak SERCOM3_Handler = Default_Handler</v>
      </c>
      <c r="D227" s="6"/>
      <c r="E227" s="6"/>
      <c r="F227" s="6"/>
      <c r="G227" s="6"/>
      <c r="H227" s="6"/>
      <c r="I227" s="6"/>
      <c r="J227" s="6"/>
      <c r="K227" s="6"/>
      <c r="L227" s="6"/>
      <c r="M227" s="6"/>
    </row>
    <row r="228" spans="1:13" ht="15" customHeight="1" x14ac:dyDescent="0.25">
      <c r="A228" s="6" t="s">
        <v>176</v>
      </c>
      <c r="B228" s="6" t="str">
        <f t="shared" si="23"/>
        <v>SERCOM4_Handler,</v>
      </c>
      <c r="C228" s="6" t="str">
        <f t="shared" si="25"/>
        <v>#pragma weak SERCOM4_Handler = Default_Handler</v>
      </c>
      <c r="D228" s="6"/>
      <c r="E228" s="6"/>
      <c r="F228" s="6"/>
      <c r="G228" s="6"/>
      <c r="H228" s="6"/>
      <c r="I228" s="6"/>
      <c r="J228" s="6"/>
      <c r="K228" s="6"/>
      <c r="L228" s="6"/>
      <c r="M228" s="6"/>
    </row>
    <row r="229" spans="1:13" ht="15" customHeight="1" x14ac:dyDescent="0.25">
      <c r="A229" s="6" t="s">
        <v>177</v>
      </c>
      <c r="B229" s="6" t="str">
        <f t="shared" si="23"/>
        <v>SERCOM5_Handler,</v>
      </c>
      <c r="C229" s="6" t="str">
        <f t="shared" si="25"/>
        <v>#pragma weak SERCOM5_Handler = Default_Handler</v>
      </c>
      <c r="D229" s="6"/>
      <c r="E229" s="6"/>
      <c r="F229" s="6"/>
      <c r="G229" s="6"/>
      <c r="H229" s="6"/>
      <c r="I229" s="6"/>
      <c r="J229" s="6"/>
      <c r="K229" s="6"/>
      <c r="L229" s="6"/>
      <c r="M229" s="6"/>
    </row>
    <row r="230" spans="1:13" ht="15" customHeight="1" x14ac:dyDescent="0.25">
      <c r="A230" s="6" t="s">
        <v>178</v>
      </c>
      <c r="B230" s="6" t="str">
        <f t="shared" si="23"/>
        <v>TCC0_Handler,</v>
      </c>
      <c r="C230" s="6" t="str">
        <f t="shared" si="25"/>
        <v>#pragma weak TCC0_Handler = Default_Handler</v>
      </c>
      <c r="D230" s="6"/>
      <c r="E230" s="6"/>
      <c r="F230" s="6"/>
      <c r="G230" s="6"/>
      <c r="H230" s="6"/>
      <c r="I230" s="6"/>
      <c r="J230" s="6"/>
      <c r="K230" s="6"/>
      <c r="L230" s="6"/>
      <c r="M230" s="6"/>
    </row>
    <row r="231" spans="1:13" ht="15" customHeight="1" x14ac:dyDescent="0.25">
      <c r="A231" s="6" t="s">
        <v>179</v>
      </c>
      <c r="B231" s="6" t="str">
        <f t="shared" si="23"/>
        <v>TCC1_Handler,</v>
      </c>
      <c r="C231" s="6" t="str">
        <f t="shared" si="25"/>
        <v>#pragma weak TCC1_Handler = Default_Handler</v>
      </c>
      <c r="D231" s="6"/>
      <c r="E231" s="6"/>
      <c r="F231" s="6"/>
      <c r="G231" s="6"/>
      <c r="H231" s="6"/>
      <c r="I231" s="6"/>
      <c r="J231" s="6"/>
      <c r="K231" s="6"/>
      <c r="L231" s="6"/>
      <c r="M231" s="6"/>
    </row>
    <row r="232" spans="1:13" ht="15" customHeight="1" x14ac:dyDescent="0.25">
      <c r="A232" s="6" t="s">
        <v>180</v>
      </c>
      <c r="B232" s="6" t="str">
        <f t="shared" si="23"/>
        <v>TCC2_Handler,</v>
      </c>
      <c r="C232" s="6" t="str">
        <f t="shared" si="25"/>
        <v>#pragma weak TCC2_Handler = Default_Handler</v>
      </c>
      <c r="D232" s="6"/>
      <c r="E232" s="6"/>
      <c r="F232" s="6"/>
      <c r="G232" s="6"/>
      <c r="H232" s="6"/>
      <c r="I232" s="6"/>
      <c r="J232" s="6"/>
      <c r="K232" s="6"/>
      <c r="L232" s="6"/>
      <c r="M232" s="6"/>
    </row>
    <row r="233" spans="1:13" ht="15" customHeight="1" x14ac:dyDescent="0.25">
      <c r="A233" s="6" t="s">
        <v>181</v>
      </c>
      <c r="B233" s="6" t="str">
        <f t="shared" si="23"/>
        <v>TC3_Handler,</v>
      </c>
      <c r="C233" s="6" t="str">
        <f t="shared" si="25"/>
        <v>#pragma weak TC3_Handler = Default_Handler</v>
      </c>
      <c r="D233" s="6"/>
      <c r="E233" s="6"/>
      <c r="F233" s="6"/>
      <c r="G233" s="6"/>
      <c r="H233" s="6"/>
      <c r="I233" s="6"/>
      <c r="J233" s="6"/>
      <c r="K233" s="6"/>
      <c r="L233" s="6"/>
      <c r="M233" s="6"/>
    </row>
    <row r="234" spans="1:13" ht="15" customHeight="1" x14ac:dyDescent="0.25">
      <c r="A234" s="6" t="s">
        <v>182</v>
      </c>
      <c r="B234" s="6" t="str">
        <f t="shared" si="23"/>
        <v>TC4_Handler,</v>
      </c>
      <c r="C234" s="6" t="str">
        <f t="shared" si="25"/>
        <v>#pragma weak TC4_Handler = Default_Handler</v>
      </c>
      <c r="D234" s="6"/>
      <c r="E234" s="6"/>
      <c r="F234" s="6"/>
      <c r="G234" s="6"/>
      <c r="H234" s="6"/>
      <c r="I234" s="6"/>
      <c r="J234" s="6"/>
      <c r="K234" s="6"/>
      <c r="L234" s="6"/>
      <c r="M234" s="6"/>
    </row>
    <row r="235" spans="1:13" ht="15" customHeight="1" x14ac:dyDescent="0.25">
      <c r="A235" s="6" t="s">
        <v>183</v>
      </c>
      <c r="B235" s="6" t="str">
        <f t="shared" si="23"/>
        <v>TC5_Handler,</v>
      </c>
      <c r="C235" s="6" t="str">
        <f t="shared" si="25"/>
        <v>#pragma weak TC5_Handler = Default_Handler</v>
      </c>
      <c r="D235" s="6"/>
      <c r="E235" s="6"/>
      <c r="F235" s="6"/>
      <c r="G235" s="6"/>
      <c r="H235" s="6"/>
      <c r="I235" s="6"/>
      <c r="J235" s="6"/>
      <c r="K235" s="6"/>
      <c r="L235" s="6"/>
      <c r="M235" s="6"/>
    </row>
    <row r="236" spans="1:13" ht="15" customHeight="1" x14ac:dyDescent="0.25">
      <c r="A236" s="6" t="s">
        <v>184</v>
      </c>
      <c r="B236" s="6" t="str">
        <f t="shared" si="23"/>
        <v>TC6_Handler,</v>
      </c>
      <c r="C236" s="6" t="str">
        <f t="shared" si="25"/>
        <v>#pragma weak TC6_Handler = Default_Handler</v>
      </c>
      <c r="D236" s="6"/>
      <c r="E236" s="6"/>
      <c r="F236" s="6"/>
      <c r="G236" s="6"/>
      <c r="H236" s="6"/>
      <c r="I236" s="6"/>
      <c r="J236" s="6"/>
      <c r="K236" s="6"/>
      <c r="L236" s="6"/>
      <c r="M236" s="6"/>
    </row>
    <row r="237" spans="1:13" ht="15" customHeight="1" x14ac:dyDescent="0.25">
      <c r="A237" s="6" t="s">
        <v>185</v>
      </c>
      <c r="B237" s="6" t="str">
        <f t="shared" si="23"/>
        <v>TC7_Handler,</v>
      </c>
      <c r="C237" s="6" t="str">
        <f t="shared" si="25"/>
        <v>#pragma weak TC7_Handler = Default_Handler</v>
      </c>
      <c r="D237" s="6"/>
      <c r="E237" s="6"/>
      <c r="F237" s="6"/>
      <c r="G237" s="6"/>
      <c r="H237" s="6"/>
      <c r="I237" s="6"/>
      <c r="J237" s="6"/>
      <c r="K237" s="6"/>
      <c r="L237" s="6"/>
      <c r="M237" s="6"/>
    </row>
    <row r="238" spans="1:13" ht="15" customHeight="1" x14ac:dyDescent="0.25">
      <c r="A238" s="6" t="s">
        <v>186</v>
      </c>
      <c r="B238" s="6" t="str">
        <f t="shared" si="23"/>
        <v>ADC_Handler,</v>
      </c>
      <c r="C238" s="6" t="str">
        <f t="shared" si="25"/>
        <v>#pragma weak ADC_Handler = Default_Handler</v>
      </c>
      <c r="D238" s="6"/>
      <c r="E238" s="6"/>
      <c r="F238" s="6"/>
      <c r="G238" s="6"/>
      <c r="H238" s="6"/>
      <c r="I238" s="6"/>
      <c r="J238" s="6"/>
      <c r="K238" s="6"/>
      <c r="L238" s="6"/>
      <c r="M238" s="6"/>
    </row>
    <row r="239" spans="1:13" ht="15" customHeight="1" x14ac:dyDescent="0.25">
      <c r="A239" s="6" t="s">
        <v>187</v>
      </c>
      <c r="B239" s="6" t="str">
        <f t="shared" si="23"/>
        <v>AC_Handler,</v>
      </c>
      <c r="C239" s="6" t="str">
        <f t="shared" si="25"/>
        <v>#pragma weak AC_Handler = Default_Handler</v>
      </c>
      <c r="D239" s="6"/>
      <c r="E239" s="6"/>
      <c r="F239" s="6"/>
      <c r="G239" s="6"/>
      <c r="H239" s="6"/>
      <c r="I239" s="6"/>
      <c r="J239" s="6"/>
      <c r="K239" s="6"/>
      <c r="L239" s="6"/>
      <c r="M239" s="6"/>
    </row>
    <row r="240" spans="1:13" ht="15" customHeight="1" x14ac:dyDescent="0.25">
      <c r="A240" s="6" t="s">
        <v>188</v>
      </c>
      <c r="B240" s="6" t="str">
        <f t="shared" si="23"/>
        <v>DAC_Handler,</v>
      </c>
      <c r="C240" s="6" t="str">
        <f t="shared" si="25"/>
        <v>#pragma weak DAC_Handler = Default_Handler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</row>
    <row r="241" spans="1:13" ht="15" customHeight="1" x14ac:dyDescent="0.25">
      <c r="A241" s="6" t="s">
        <v>189</v>
      </c>
      <c r="B241" s="6" t="str">
        <f t="shared" si="23"/>
        <v>PTC_Handler,</v>
      </c>
      <c r="C241" s="6" t="str">
        <f t="shared" si="25"/>
        <v>#pragma weak PTC_Handler = Default_Handler</v>
      </c>
      <c r="D241" s="6"/>
      <c r="E241" s="6"/>
      <c r="F241" s="6"/>
      <c r="G241" s="6"/>
      <c r="H241" s="6"/>
      <c r="I241" s="6"/>
      <c r="J241" s="6"/>
      <c r="K241" s="6"/>
      <c r="L241" s="6"/>
      <c r="M241" s="6"/>
    </row>
    <row r="242" spans="1:13" ht="15" customHeight="1" x14ac:dyDescent="0.25">
      <c r="A242" s="6" t="s">
        <v>190</v>
      </c>
      <c r="B242" s="6" t="str">
        <f t="shared" si="23"/>
        <v>I2S_Handler,</v>
      </c>
      <c r="C242" s="6" t="str">
        <f t="shared" si="25"/>
        <v>#pragma weak I2S_Handler = Default_Handler</v>
      </c>
      <c r="D242" s="6"/>
      <c r="E242" s="6"/>
      <c r="F242" s="6"/>
      <c r="G242" s="6"/>
      <c r="H242" s="6"/>
      <c r="I242" s="6"/>
      <c r="J242" s="6"/>
      <c r="K242" s="6"/>
      <c r="L242" s="6"/>
      <c r="M242" s="6"/>
    </row>
    <row r="243" spans="1:13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</row>
    <row r="244" spans="1:13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</row>
    <row r="245" spans="1:13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</row>
    <row r="246" spans="1:13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</row>
    <row r="247" spans="1:13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</row>
    <row r="248" spans="1:13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</row>
    <row r="249" spans="1:13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</row>
    <row r="250" spans="1:13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</row>
    <row r="251" spans="1:13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</row>
    <row r="252" spans="1:13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</row>
    <row r="253" spans="1:13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</row>
    <row r="254" spans="1:13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</row>
    <row r="255" spans="1:13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</row>
    <row r="256" spans="1:13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</row>
    <row r="257" spans="1:13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</row>
    <row r="258" spans="1:13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</row>
    <row r="259" spans="1:13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</row>
    <row r="260" spans="1:13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</row>
    <row r="261" spans="1:13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</row>
    <row r="262" spans="1:13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</row>
    <row r="263" spans="1:13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</row>
    <row r="264" spans="1:13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</row>
    <row r="265" spans="1:13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</row>
    <row r="266" spans="1:13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</row>
    <row r="267" spans="1:13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</row>
    <row r="268" spans="1:13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</row>
    <row r="269" spans="1:13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</row>
    <row r="270" spans="1:13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</row>
    <row r="271" spans="1:13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</row>
    <row r="272" spans="1:13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</row>
    <row r="273" spans="1:13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</row>
    <row r="274" spans="1:13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</row>
    <row r="275" spans="1:13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</row>
    <row r="276" spans="1:13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</row>
    <row r="277" spans="1:13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</row>
    <row r="278" spans="1:13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</row>
    <row r="279" spans="1:13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</row>
    <row r="280" spans="1:13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</row>
    <row r="281" spans="1:13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</row>
    <row r="282" spans="1:13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</row>
    <row r="283" spans="1:13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</row>
    <row r="284" spans="1:13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</row>
    <row r="285" spans="1:13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</row>
    <row r="286" spans="1:13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</row>
    <row r="287" spans="1:13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</row>
    <row r="288" spans="1:13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</row>
    <row r="289" spans="1:13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</row>
    <row r="290" spans="1:13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</row>
    <row r="291" spans="1:13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</row>
    <row r="292" spans="1:13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</row>
    <row r="293" spans="1:13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</row>
    <row r="294" spans="1:13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</row>
    <row r="295" spans="1:13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</row>
    <row r="296" spans="1:13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</row>
    <row r="297" spans="1:13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</row>
    <row r="298" spans="1:13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</row>
    <row r="299" spans="1:13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</row>
    <row r="300" spans="1:13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</row>
    <row r="301" spans="1:13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</row>
    <row r="302" spans="1:13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</row>
    <row r="303" spans="1:13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</row>
    <row r="304" spans="1:13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</row>
    <row r="305" spans="1:13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</row>
    <row r="306" spans="1:13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</row>
    <row r="307" spans="1:13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</row>
    <row r="308" spans="1:13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</row>
    <row r="309" spans="1:13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</row>
    <row r="310" spans="1:13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</row>
    <row r="311" spans="1:13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</row>
    <row r="312" spans="1:13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</row>
    <row r="313" spans="1:13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</row>
    <row r="314" spans="1:13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</row>
    <row r="315" spans="1:13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</row>
    <row r="316" spans="1:13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</row>
    <row r="317" spans="1:13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</row>
    <row r="318" spans="1:13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</row>
    <row r="319" spans="1:13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</row>
    <row r="320" spans="1:13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</row>
    <row r="321" spans="1:13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</row>
    <row r="322" spans="1:13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</row>
    <row r="323" spans="1:13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</row>
    <row r="324" spans="1:13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</row>
    <row r="325" spans="1:13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</row>
    <row r="326" spans="1:13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</row>
    <row r="327" spans="1:13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</row>
    <row r="328" spans="1:13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</row>
    <row r="329" spans="1:13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</row>
    <row r="330" spans="1:13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</row>
    <row r="331" spans="1:13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</row>
    <row r="332" spans="1:13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</row>
    <row r="333" spans="1:13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</row>
    <row r="334" spans="1:13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</row>
    <row r="335" spans="1:13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</row>
    <row r="336" spans="1:13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</row>
    <row r="337" spans="1:13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</row>
    <row r="338" spans="1:13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</row>
    <row r="339" spans="1:13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</row>
    <row r="340" spans="1:13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</row>
    <row r="341" spans="1:13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</row>
    <row r="342" spans="1:13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</row>
    <row r="343" spans="1:13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</row>
    <row r="344" spans="1:13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</row>
    <row r="345" spans="1:13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</row>
    <row r="346" spans="1:13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</row>
    <row r="347" spans="1:13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</row>
    <row r="348" spans="1:13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</row>
    <row r="349" spans="1:13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</row>
    <row r="350" spans="1:13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</row>
    <row r="351" spans="1:13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</row>
    <row r="352" spans="1:13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</row>
    <row r="353" spans="1:13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</row>
    <row r="354" spans="1:13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</row>
    <row r="355" spans="1:13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</row>
    <row r="356" spans="1:13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</row>
    <row r="357" spans="1:13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</row>
    <row r="358" spans="1:13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</row>
    <row r="359" spans="1:13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</row>
    <row r="360" spans="1:13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</row>
    <row r="361" spans="1:13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</row>
    <row r="362" spans="1:13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</row>
    <row r="363" spans="1:13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</row>
    <row r="364" spans="1:13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</row>
    <row r="365" spans="1:13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</row>
    <row r="366" spans="1:13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</row>
    <row r="367" spans="1:13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</row>
    <row r="368" spans="1:13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</row>
    <row r="369" spans="1:13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</row>
    <row r="370" spans="1:13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</row>
    <row r="371" spans="1:13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</row>
    <row r="372" spans="1:13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</row>
    <row r="373" spans="1:13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</row>
    <row r="374" spans="1:13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</row>
    <row r="375" spans="1:13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</row>
    <row r="376" spans="1:13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</row>
    <row r="377" spans="1:13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</row>
    <row r="378" spans="1:13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</row>
    <row r="379" spans="1:13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</row>
    <row r="380" spans="1:13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</row>
    <row r="381" spans="1:13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</row>
    <row r="382" spans="1:13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</row>
    <row r="383" spans="1:13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</row>
    <row r="384" spans="1:13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</row>
    <row r="385" spans="1:13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</row>
    <row r="386" spans="1:13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</row>
    <row r="387" spans="1:13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</row>
    <row r="388" spans="1:13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</row>
    <row r="389" spans="1:13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</row>
    <row r="390" spans="1:13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</row>
    <row r="391" spans="1:13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</row>
    <row r="392" spans="1:13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</row>
    <row r="393" spans="1:13" ht="1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</row>
    <row r="394" spans="1:13" ht="1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</row>
    <row r="395" spans="1:13" ht="15" customHeight="1" x14ac:dyDescent="0.2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</row>
    <row r="396" spans="1:13" ht="15" customHeight="1" x14ac:dyDescent="0.25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</row>
    <row r="397" spans="1:13" ht="15" customHeight="1" x14ac:dyDescent="0.25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</row>
    <row r="398" spans="1:13" ht="15" customHeight="1" x14ac:dyDescent="0.25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</row>
    <row r="399" spans="1:13" ht="15" customHeight="1" x14ac:dyDescent="0.25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</row>
    <row r="400" spans="1:13" ht="15" customHeight="1" x14ac:dyDescent="0.25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</row>
    <row r="401" spans="1:13" ht="15" customHeight="1" x14ac:dyDescent="0.25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</row>
    <row r="402" spans="1:13" ht="15" customHeight="1" x14ac:dyDescent="0.25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</row>
    <row r="403" spans="1:13" ht="15" customHeight="1" x14ac:dyDescent="0.25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</row>
    <row r="404" spans="1:13" ht="15" customHeight="1" x14ac:dyDescent="0.25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</row>
    <row r="405" spans="1:13" ht="15" customHeight="1" x14ac:dyDescent="0.2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</row>
    <row r="406" spans="1:13" ht="15" customHeight="1" x14ac:dyDescent="0.25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</row>
    <row r="407" spans="1:13" ht="15" customHeight="1" x14ac:dyDescent="0.25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</row>
    <row r="408" spans="1:13" ht="15" customHeight="1" x14ac:dyDescent="0.25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</row>
    <row r="409" spans="1:13" ht="15" customHeight="1" x14ac:dyDescent="0.25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</row>
    <row r="410" spans="1:13" ht="15" customHeight="1" x14ac:dyDescent="0.25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</row>
    <row r="411" spans="1:13" ht="15" customHeight="1" x14ac:dyDescent="0.25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</row>
    <row r="412" spans="1:13" ht="15" customHeight="1" x14ac:dyDescent="0.25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</row>
    <row r="413" spans="1:13" ht="15" customHeight="1" x14ac:dyDescent="0.25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</row>
    <row r="414" spans="1:13" ht="15" customHeight="1" x14ac:dyDescent="0.25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</row>
    <row r="415" spans="1:13" ht="15" customHeight="1" x14ac:dyDescent="0.2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</row>
    <row r="416" spans="1:13" ht="15" customHeight="1" x14ac:dyDescent="0.25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</row>
    <row r="417" spans="1:13" ht="15" customHeight="1" x14ac:dyDescent="0.25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</row>
    <row r="418" spans="1:13" ht="15" customHeight="1" x14ac:dyDescent="0.25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</row>
    <row r="419" spans="1:13" ht="15" customHeight="1" x14ac:dyDescent="0.25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</row>
    <row r="420" spans="1:13" ht="15" customHeight="1" x14ac:dyDescent="0.25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</row>
    <row r="421" spans="1:13" ht="15" customHeight="1" x14ac:dyDescent="0.25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</row>
    <row r="422" spans="1:13" ht="15" customHeight="1" x14ac:dyDescent="0.25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</row>
    <row r="423" spans="1:13" ht="15" customHeight="1" x14ac:dyDescent="0.25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</row>
    <row r="424" spans="1:13" ht="15" customHeight="1" x14ac:dyDescent="0.25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</row>
    <row r="425" spans="1:13" ht="15" customHeight="1" x14ac:dyDescent="0.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</row>
    <row r="426" spans="1:13" ht="15" customHeight="1" x14ac:dyDescent="0.25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</row>
    <row r="427" spans="1:13" ht="15" customHeight="1" x14ac:dyDescent="0.25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</row>
    <row r="428" spans="1:13" ht="15" customHeight="1" x14ac:dyDescent="0.25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</row>
    <row r="429" spans="1:13" ht="15" customHeight="1" x14ac:dyDescent="0.25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</row>
    <row r="430" spans="1:13" ht="15" customHeight="1" x14ac:dyDescent="0.25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</row>
    <row r="431" spans="1:13" ht="15" customHeight="1" x14ac:dyDescent="0.25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</row>
    <row r="432" spans="1:13" ht="15" customHeight="1" x14ac:dyDescent="0.25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</row>
    <row r="433" spans="1:13" ht="15" customHeight="1" x14ac:dyDescent="0.25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</row>
    <row r="434" spans="1:13" ht="15" customHeight="1" x14ac:dyDescent="0.25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</row>
    <row r="435" spans="1:13" ht="15" customHeight="1" x14ac:dyDescent="0.2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</row>
    <row r="436" spans="1:13" ht="15" customHeight="1" x14ac:dyDescent="0.25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</row>
    <row r="437" spans="1:13" ht="15" customHeight="1" x14ac:dyDescent="0.25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</row>
    <row r="438" spans="1:13" ht="15" customHeight="1" x14ac:dyDescent="0.25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</row>
    <row r="439" spans="1:13" ht="15" customHeight="1" x14ac:dyDescent="0.25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</row>
    <row r="440" spans="1:13" ht="15" customHeight="1" x14ac:dyDescent="0.25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</row>
    <row r="441" spans="1:13" ht="15" customHeight="1" x14ac:dyDescent="0.25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</row>
    <row r="442" spans="1:13" ht="15" customHeight="1" x14ac:dyDescent="0.25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</row>
    <row r="443" spans="1:13" ht="14.25" customHeight="1" x14ac:dyDescent="0.25"/>
    <row r="444" spans="1:13" ht="14.25" customHeight="1" x14ac:dyDescent="0.25"/>
    <row r="445" spans="1:13" ht="14.25" customHeight="1" x14ac:dyDescent="0.25"/>
    <row r="446" spans="1:13" ht="14.25" customHeight="1" x14ac:dyDescent="0.25"/>
    <row r="447" spans="1:13" ht="14.25" customHeight="1" x14ac:dyDescent="0.25"/>
    <row r="448" spans="1:13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  <row r="1089" ht="14.25" customHeight="1" x14ac:dyDescent="0.25"/>
    <row r="1090" ht="14.25" customHeight="1" x14ac:dyDescent="0.25"/>
    <row r="1091" ht="14.25" customHeight="1" x14ac:dyDescent="0.25"/>
    <row r="1092" ht="14.25" customHeight="1" x14ac:dyDescent="0.25"/>
  </sheetData>
  <mergeCells count="3">
    <mergeCell ref="A1:C1"/>
    <mergeCell ref="F2:H2"/>
    <mergeCell ref="J2:M2"/>
  </mergeCells>
  <phoneticPr fontId="7" type="noConversion"/>
  <pageMargins left="0.7" right="0.7" top="0.75" bottom="0.75" header="0" footer="0"/>
  <pageSetup orientation="portrait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5B4E0-D60C-405E-A00A-D4DA80B15B4D}">
  <dimension ref="A1:I1076"/>
  <sheetViews>
    <sheetView topLeftCell="A215" workbookViewId="0">
      <selection activeCell="G222" sqref="G222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"&amp;C3&amp;"_AHBEN (__rccgpioen__("&amp;C3&amp;"_PORT))
#define "&amp;C3&amp;"_GPIO (__gpio__("&amp;C3&amp;"_PORT))
#define "&amp;B3&amp;" "&amp;A3&amp;"
#define "&amp;B3&amp;"_PORT "&amp;C3&amp;"_PORT
#define "&amp;B3&amp;"_BIT "&amp;C3&amp;"_BIT
#define "&amp;B3&amp;"_AHBEN "&amp;C3&amp;"_AHBEN
#define "&amp;B3&amp;"_GPIO "&amp;C3&amp;"_GPIO
#endif"</f>
        <v>#if (defined(STEP0_PORT) &amp;&amp; defined(STEP0_BIT))
#define STEP0 1
#define STEP0_AHBEN (__rccgpioen__(STEP0_PORT))
#define STEP0_GPIO (__gpio__(STEP0_PORT))
#define DIO1 1
#define DIO1_PORT STEP0_PORT
#define DIO1_BIT STEP0_BIT
#define DIO1_AHBEN STEP0_AHBEN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"&amp;C4&amp;"_AHBEN (__rccgpioen__("&amp;C4&amp;"_PORT))
#define "&amp;C4&amp;"_GPIO (__gpio__("&amp;C4&amp;"_PORT))
#define "&amp;B4&amp;" "&amp;A4&amp;"
#define "&amp;B4&amp;"_PORT "&amp;C4&amp;"_PORT
#define "&amp;B4&amp;"_BIT "&amp;C4&amp;"_BIT
#define "&amp;B4&amp;"_AHBEN "&amp;C4&amp;"_AHBEN
#define "&amp;B4&amp;"_GPIO "&amp;C4&amp;"_GPIO
#endif"</f>
        <v>#if (defined(STEP1_PORT) &amp;&amp; defined(STEP1_BIT))
#define STEP1 2
#define STEP1_AHBEN (__rccgpioen__(STEP1_PORT))
#define STEP1_GPIO (__gpio__(STEP1_PORT))
#define DIO2 2
#define DIO2_PORT STEP1_PORT
#define DIO2_BIT STEP1_BIT
#define DIO2_AHBEN STEP1_AHBEN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STEP2_AHBEN (__rccgpioen__(STEP2_PORT))
#define STEP2_GPIO (__gpio__(STEP2_PORT))
#define DIO3 3
#define DIO3_PORT STEP2_PORT
#define DIO3_BIT STEP2_BIT
#define DIO3_AHBEN STEP2_AHBEN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STEP3_AHBEN (__rccgpioen__(STEP3_PORT))
#define STEP3_GPIO (__gpio__(STEP3_PORT))
#define DIO4 4
#define DIO4_PORT STEP3_PORT
#define DIO4_BIT STEP3_BIT
#define DIO4_AHBEN STEP3_AHBEN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STEP4_AHBEN (__rccgpioen__(STEP4_PORT))
#define STEP4_GPIO (__gpio__(STEP4_PORT))
#define DIO5 5
#define DIO5_PORT STEP4_PORT
#define DIO5_BIT STEP4_BIT
#define DIO5_AHBEN STEP4_AHBEN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STEP5_AHBEN (__rccgpioen__(STEP5_PORT))
#define STEP5_GPIO (__gpio__(STEP5_PORT))
#define DIO6 6
#define DIO6_PORT STEP5_PORT
#define DIO6_BIT STEP5_BIT
#define DIO6_AHBEN STEP5_AHBEN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STEP6_AHBEN (__rccgpioen__(STEP6_PORT))
#define STEP6_GPIO (__gpio__(STEP6_PORT))
#define DIO7 7
#define DIO7_PORT STEP6_PORT
#define DIO7_BIT STEP6_BIT
#define DIO7_AHBEN STEP6_AHBEN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STEP7_AHBEN (__rccgpioen__(STEP7_PORT))
#define STEP7_GPIO (__gpio__(STEP7_PORT))
#define DIO8 8
#define DIO8_PORT STEP7_PORT
#define DIO8_BIT STEP7_BIT
#define DIO8_AHBEN STEP7_AHBEN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DIR0_AHBEN (__rccgpioen__(DIR0_PORT))
#define DIR0_GPIO (__gpio__(DIR0_PORT))
#define DIO9 9
#define DIO9_PORT DIR0_PORT
#define DIO9_BIT DIR0_BIT
#define DIO9_AHBEN DIR0_AHBEN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DIR1_AHBEN (__rccgpioen__(DIR1_PORT))
#define DIR1_GPIO (__gpio__(DIR1_PORT))
#define DIO10 10
#define DIO10_PORT DIR1_PORT
#define DIO10_BIT DIR1_BIT
#define DIO10_AHBEN DIR1_AHBEN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DIR2_AHBEN (__rccgpioen__(DIR2_PORT))
#define DIR2_GPIO (__gpio__(DIR2_PORT))
#define DIO11 11
#define DIO11_PORT DIR2_PORT
#define DIO11_BIT DIR2_BIT
#define DIO11_AHBEN DIR2_AHBEN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DIR3_AHBEN (__rccgpioen__(DIR3_PORT))
#define DIR3_GPIO (__gpio__(DIR3_PORT))
#define DIO12 12
#define DIO12_PORT DIR3_PORT
#define DIO12_BIT DIR3_BIT
#define DIO12_AHBEN DIR3_AHBEN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DIR4_AHBEN (__rccgpioen__(DIR4_PORT))
#define DIR4_GPIO (__gpio__(DIR4_PORT))
#define DIO13 13
#define DIO13_PORT DIR4_PORT
#define DIO13_BIT DIR4_BIT
#define DIO13_AHBEN DIR4_AHBEN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DIR5_AHBEN (__rccgpioen__(DIR5_PORT))
#define DIR5_GPIO (__gpio__(DIR5_PORT))
#define DIO14 14
#define DIO14_PORT DIR5_PORT
#define DIO14_BIT DIR5_BIT
#define DIO14_AHBEN DIR5_AHBEN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DIR6_AHBEN (__rccgpioen__(DIR6_PORT))
#define DIR6_GPIO (__gpio__(DIR6_PORT))
#define DIO15 15
#define DIO15_PORT DIR6_PORT
#define DIO15_BIT DIR6_BIT
#define DIO15_AHBEN DIR6_AHBEN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DIR7_AHBEN (__rccgpioen__(DIR7_PORT))
#define DIR7_GPIO (__gpio__(DIR7_PORT))
#define DIO16 16
#define DIO16_PORT DIR7_PORT
#define DIO16_BIT DIR7_BIT
#define DIO16_AHBEN DIR7_AHBEN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STEP0_EN_AHBEN (__rccgpioen__(STEP0_EN_PORT))
#define STEP0_EN_GPIO (__gpio__(STEP0_EN_PORT))
#define DIO17 17
#define DIO17_PORT STEP0_EN_PORT
#define DIO17_BIT STEP0_EN_BIT
#define DIO17_AHBEN STEP0_EN_AHBEN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STEP1_EN_AHBEN (__rccgpioen__(STEP1_EN_PORT))
#define STEP1_EN_GPIO (__gpio__(STEP1_EN_PORT))
#define DIO18 18
#define DIO18_PORT STEP1_EN_PORT
#define DIO18_BIT STEP1_EN_BIT
#define DIO18_AHBEN STEP1_EN_AHBEN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STEP2_EN_AHBEN (__rccgpioen__(STEP2_EN_PORT))
#define STEP2_EN_GPIO (__gpio__(STEP2_EN_PORT))
#define DIO19 19
#define DIO19_PORT STEP2_EN_PORT
#define DIO19_BIT STEP2_EN_BIT
#define DIO19_AHBEN STEP2_EN_AHBEN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STEP3_EN_AHBEN (__rccgpioen__(STEP3_EN_PORT))
#define STEP3_EN_GPIO (__gpio__(STEP3_EN_PORT))
#define DIO20 20
#define DIO20_PORT STEP3_EN_PORT
#define DIO20_BIT STEP3_EN_BIT
#define DIO20_AHBEN STEP3_EN_AHBEN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STEP4_EN_AHBEN (__rccgpioen__(STEP4_EN_PORT))
#define STEP4_EN_GPIO (__gpio__(STEP4_EN_PORT))
#define DIO21 21
#define DIO21_PORT STEP4_EN_PORT
#define DIO21_BIT STEP4_EN_BIT
#define DIO21_AHBEN STEP4_EN_AHBEN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STEP5_EN_AHBEN (__rccgpioen__(STEP5_EN_PORT))
#define STEP5_EN_GPIO (__gpio__(STEP5_EN_PORT))
#define DIO22 22
#define DIO22_PORT STEP5_EN_PORT
#define DIO22_BIT STEP5_EN_BIT
#define DIO22_AHBEN STEP5_EN_AHBEN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STEP6_EN_AHBEN (__rccgpioen__(STEP6_EN_PORT))
#define STEP6_EN_GPIO (__gpio__(STEP6_EN_PORT))
#define DIO23 23
#define DIO23_PORT STEP6_EN_PORT
#define DIO23_BIT STEP6_EN_BIT
#define DIO23_AHBEN STEP6_EN_AHBEN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STEP7_EN_AHBEN (__rccgpioen__(STEP7_EN_PORT))
#define STEP7_EN_GPIO (__gpio__(STEP7_EN_PORT))
#define DIO24 24
#define DIO24_PORT STEP7_EN_PORT
#define DIO24_BIT STEP7_EN_BIT
#define DIO24_AHBEN STEP7_EN_AHBEN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PWM0_AHBEN (__rccgpioen__(PWM0_PORT))
#define PWM0_GPIO (__gpio__(PWM0_PORT))
#define DIO25 25
#define DIO25_PORT PWM0_PORT
#define DIO25_BIT PWM0_BIT
#define DIO25_AHBEN PWM0_AHBEN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("&amp;C27&amp;"_TIMER&gt;=15 &amp; "&amp;C27&amp;"_TIMER&lt;=17))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 || ("&amp;C27&amp;"_TIMER&gt;=15 &amp; "&amp;C27&amp;"_TIMER&lt;=17)
#define "&amp;C27&amp;"_ENOUTPUT {"&amp;C27&amp;"_TIMREG-&gt;BDTR |= (1 &lt;&lt; 15);}
#else
#define "&amp;C27&amp;"_ENOUTPUT {}
#endif
#if ("&amp;C27&amp;"_TIMER==1)
#define "&amp;C27&amp;"_AF 0x02
#elif ("&amp;C27&amp;"_PORT==A)
#if ("&amp;C27&amp;"_TIMER==3)
#define "&amp;C27&amp;"_AF 0x01
#elif ("&amp;C27&amp;"_TIMER==14)
#define "&amp;C27&amp;"_AF 0x04
#elif ("&amp;C27&amp;"_TIMER==15)
#define "&amp;C27&amp;"_AF 0x00
#elif ("&amp;C27&amp;"_TIMER==16) || ("&amp;C27&amp;"_TIMER==17)
#define "&amp;C27&amp;"_AF 0x05
#endif
#elif ("&amp;C27&amp;"_PORT==B)
#if ("&amp;C27&amp;"_TIMER==14)
#define "&amp;C27&amp;"_AF 0x00
#elif ("&amp;C27&amp;"_TIMER==15)
#define "&amp;C27&amp;"_AF 0x01
#elif ("&amp;C27&amp;"_TIMER==16) || ("&amp;C27&amp;"_TIMER==17)
#define "&amp;C27&amp;"_AF 0x02
#endif
#elif ("&amp;C27&amp;"_PORT==C)
#if ("&amp;C27&amp;"_TIMER==3)
#define "&amp;C27&amp;"_AF 0x00
#endif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(PWM0_TIMER&gt;=15 &amp; PWM0_TIMER&lt;=17))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 || (PWM0_TIMER&gt;=15 &amp; PWM0_TIMER&lt;=17)
#define PWM0_ENOUTPUT {PWM0_TIMREG-&gt;BDTR |= (1 &lt;&lt; 15);}
#else
#define PWM0_ENOUTPUT {}
#endif
#if (PWM0_TIMER==1)
#define PWM0_AF 0x02
#elif (PWM0_PORT==A)
#if (PWM0_TIMER==3)
#define PWM0_AF 0x01
#elif (PWM0_TIMER==14)
#define PWM0_AF 0x04
#elif (PWM0_TIMER==15)
#define PWM0_AF 0x00
#elif (PWM0_TIMER==16) || (PWM0_TIMER==17)
#define PWM0_AF 0x05
#endif
#elif (PWM0_PORT==B)
#if (PWM0_TIMER==14)
#define PWM0_AF 0x00
#elif (PWM0_TIMER==15)
#define PWM0_AF 0x01
#elif (PWM0_TIMER==16) || (PWM0_TIMER==17)
#define PWM0_AF 0x02
#endif
#elif (PWM0_PORT==C)
#if (PWM0_TIMER==3)
#define PWM0_AF 0x00
#endif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PWM1_AHBEN (__rccgpioen__(PWM1_PORT))
#define PWM1_GPIO (__gpio__(PWM1_PORT))
#define DIO26 26
#define DIO26_PORT PWM1_PORT
#define DIO26_BIT PWM1_BIT
#define DIO26_AHBEN PWM1_AHBEN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("&amp;C28&amp;"_TIMER&gt;=15 &amp; "&amp;C28&amp;"_TIMER&lt;=17))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 || ("&amp;C28&amp;"_TIMER&gt;=15 &amp; "&amp;C28&amp;"_TIMER&lt;=17)
#define "&amp;C28&amp;"_ENOUTPUT {"&amp;C28&amp;"_TIMREG-&gt;BDTR |= (1 &lt;&lt; 15);}
#else
#define "&amp;C28&amp;"_ENOUTPUT {}
#endif
#if ("&amp;C28&amp;"_TIMER==1)
#define "&amp;C28&amp;"_AF 0x02
#elif ("&amp;C28&amp;"_PORT==A)
#if ("&amp;C28&amp;"_TIMER==3)
#define "&amp;C28&amp;"_AF 0x01
#elif ("&amp;C28&amp;"_TIMER==14)
#define "&amp;C28&amp;"_AF 0x04
#elif ("&amp;C28&amp;"_TIMER==15)
#define "&amp;C28&amp;"_AF 0x00
#elif ("&amp;C28&amp;"_TIMER==16) || ("&amp;C28&amp;"_TIMER==17)
#define "&amp;C28&amp;"_AF 0x05
#endif
#elif ("&amp;C28&amp;"_PORT==B)
#if ("&amp;C28&amp;"_TIMER==14)
#define "&amp;C28&amp;"_AF 0x00
#elif ("&amp;C28&amp;"_TIMER==15)
#define "&amp;C28&amp;"_AF 0x01
#elif ("&amp;C28&amp;"_TIMER==16) || ("&amp;C28&amp;"_TIMER==17)
#define "&amp;C28&amp;"_AF 0x02
#endif
#elif ("&amp;C28&amp;"_PORT==C)
#if ("&amp;C28&amp;"_TIMER==3)
#define "&amp;C28&amp;"_AF 0x00
#endif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(PWM1_TIMER&gt;=15 &amp; PWM1_TIMER&lt;=17))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 || (PWM1_TIMER&gt;=15 &amp; PWM1_TIMER&lt;=17)
#define PWM1_ENOUTPUT {PWM1_TIMREG-&gt;BDTR |= (1 &lt;&lt; 15);}
#else
#define PWM1_ENOUTPUT {}
#endif
#if (PWM1_TIMER==1)
#define PWM1_AF 0x02
#elif (PWM1_PORT==A)
#if (PWM1_TIMER==3)
#define PWM1_AF 0x01
#elif (PWM1_TIMER==14)
#define PWM1_AF 0x04
#elif (PWM1_TIMER==15)
#define PWM1_AF 0x00
#elif (PWM1_TIMER==16) || (PWM1_TIMER==17)
#define PWM1_AF 0x05
#endif
#elif (PWM1_PORT==B)
#if (PWM1_TIMER==14)
#define PWM1_AF 0x00
#elif (PWM1_TIMER==15)
#define PWM1_AF 0x01
#elif (PWM1_TIMER==16) || (PWM1_TIMER==17)
#define PWM1_AF 0x02
#endif
#elif (PWM1_PORT==C)
#if (PWM1_TIMER==3)
#define PWM1_AF 0x00
#endif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PWM2_AHBEN (__rccgpioen__(PWM2_PORT))
#define PWM2_GPIO (__gpio__(PWM2_PORT))
#define DIO27 27
#define DIO27_PORT PWM2_PORT
#define DIO27_BIT PWM2_BIT
#define DIO27_AHBEN PWM2_AHBEN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(PWM2_TIMER&gt;=15 &amp; PWM2_TIMER&lt;=17))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 || (PWM2_TIMER&gt;=15 &amp; PWM2_TIMER&lt;=17)
#define PWM2_ENOUTPUT {PWM2_TIMREG-&gt;BDTR |= (1 &lt;&lt; 15);}
#else
#define PWM2_ENOUTPUT {}
#endif
#if (PWM2_TIMER==1)
#define PWM2_AF 0x02
#elif (PWM2_PORT==A)
#if (PWM2_TIMER==3)
#define PWM2_AF 0x01
#elif (PWM2_TIMER==14)
#define PWM2_AF 0x04
#elif (PWM2_TIMER==15)
#define PWM2_AF 0x00
#elif (PWM2_TIMER==16) || (PWM2_TIMER==17)
#define PWM2_AF 0x05
#endif
#elif (PWM2_PORT==B)
#if (PWM2_TIMER==14)
#define PWM2_AF 0x00
#elif (PWM2_TIMER==15)
#define PWM2_AF 0x01
#elif (PWM2_TIMER==16) || (PWM2_TIMER==17)
#define PWM2_AF 0x02
#endif
#elif (PWM2_PORT==C)
#if (PWM2_TIMER==3)
#define PWM2_AF 0x00
#endif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PWM3_AHBEN (__rccgpioen__(PWM3_PORT))
#define PWM3_GPIO (__gpio__(PWM3_PORT))
#define DIO28 28
#define DIO28_PORT PWM3_PORT
#define DIO28_BIT PWM3_BIT
#define DIO28_AHBEN PWM3_AHBEN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(PWM3_TIMER&gt;=15 &amp; PWM3_TIMER&lt;=17))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 || (PWM3_TIMER&gt;=15 &amp; PWM3_TIMER&lt;=17)
#define PWM3_ENOUTPUT {PWM3_TIMREG-&gt;BDTR |= (1 &lt;&lt; 15);}
#else
#define PWM3_ENOUTPUT {}
#endif
#if (PWM3_TIMER==1)
#define PWM3_AF 0x02
#elif (PWM3_PORT==A)
#if (PWM3_TIMER==3)
#define PWM3_AF 0x01
#elif (PWM3_TIMER==14)
#define PWM3_AF 0x04
#elif (PWM3_TIMER==15)
#define PWM3_AF 0x00
#elif (PWM3_TIMER==16) || (PWM3_TIMER==17)
#define PWM3_AF 0x05
#endif
#elif (PWM3_PORT==B)
#if (PWM3_TIMER==14)
#define PWM3_AF 0x00
#elif (PWM3_TIMER==15)
#define PWM3_AF 0x01
#elif (PWM3_TIMER==16) || (PWM3_TIMER==17)
#define PWM3_AF 0x02
#endif
#elif (PWM3_PORT==C)
#if (PWM3_TIMER==3)
#define PWM3_AF 0x00
#endif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PWM4_AHBEN (__rccgpioen__(PWM4_PORT))
#define PWM4_GPIO (__gpio__(PWM4_PORT))
#define DIO29 29
#define DIO29_PORT PWM4_PORT
#define DIO29_BIT PWM4_BIT
#define DIO29_AHBEN PWM4_AHBEN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(PWM4_TIMER&gt;=15 &amp; PWM4_TIMER&lt;=17))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 || (PWM4_TIMER&gt;=15 &amp; PWM4_TIMER&lt;=17)
#define PWM4_ENOUTPUT {PWM4_TIMREG-&gt;BDTR |= (1 &lt;&lt; 15);}
#else
#define PWM4_ENOUTPUT {}
#endif
#if (PWM4_TIMER==1)
#define PWM4_AF 0x02
#elif (PWM4_PORT==A)
#if (PWM4_TIMER==3)
#define PWM4_AF 0x01
#elif (PWM4_TIMER==14)
#define PWM4_AF 0x04
#elif (PWM4_TIMER==15)
#define PWM4_AF 0x00
#elif (PWM4_TIMER==16) || (PWM4_TIMER==17)
#define PWM4_AF 0x05
#endif
#elif (PWM4_PORT==B)
#if (PWM4_TIMER==14)
#define PWM4_AF 0x00
#elif (PWM4_TIMER==15)
#define PWM4_AF 0x01
#elif (PWM4_TIMER==16) || (PWM4_TIMER==17)
#define PWM4_AF 0x02
#endif
#elif (PWM4_PORT==C)
#if (PWM4_TIMER==3)
#define PWM4_AF 0x00
#endif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PWM5_AHBEN (__rccgpioen__(PWM5_PORT))
#define PWM5_GPIO (__gpio__(PWM5_PORT))
#define DIO30 30
#define DIO30_PORT PWM5_PORT
#define DIO30_BIT PWM5_BIT
#define DIO30_AHBEN PWM5_AHBEN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(PWM5_TIMER&gt;=15 &amp; PWM5_TIMER&lt;=17))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 || (PWM5_TIMER&gt;=15 &amp; PWM5_TIMER&lt;=17)
#define PWM5_ENOUTPUT {PWM5_TIMREG-&gt;BDTR |= (1 &lt;&lt; 15);}
#else
#define PWM5_ENOUTPUT {}
#endif
#if (PWM5_TIMER==1)
#define PWM5_AF 0x02
#elif (PWM5_PORT==A)
#if (PWM5_TIMER==3)
#define PWM5_AF 0x01
#elif (PWM5_TIMER==14)
#define PWM5_AF 0x04
#elif (PWM5_TIMER==15)
#define PWM5_AF 0x00
#elif (PWM5_TIMER==16) || (PWM5_TIMER==17)
#define PWM5_AF 0x05
#endif
#elif (PWM5_PORT==B)
#if (PWM5_TIMER==14)
#define PWM5_AF 0x00
#elif (PWM5_TIMER==15)
#define PWM5_AF 0x01
#elif (PWM5_TIMER==16) || (PWM5_TIMER==17)
#define PWM5_AF 0x02
#endif
#elif (PWM5_PORT==C)
#if (PWM5_TIMER==3)
#define PWM5_AF 0x00
#endif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PWM6_AHBEN (__rccgpioen__(PWM6_PORT))
#define PWM6_GPIO (__gpio__(PWM6_PORT))
#define DIO31 31
#define DIO31_PORT PWM6_PORT
#define DIO31_BIT PWM6_BIT
#define DIO31_AHBEN PWM6_AHBEN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(PWM6_TIMER&gt;=15 &amp; PWM6_TIMER&lt;=17))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 || (PWM6_TIMER&gt;=15 &amp; PWM6_TIMER&lt;=17)
#define PWM6_ENOUTPUT {PWM6_TIMREG-&gt;BDTR |= (1 &lt;&lt; 15);}
#else
#define PWM6_ENOUTPUT {}
#endif
#if (PWM6_TIMER==1)
#define PWM6_AF 0x02
#elif (PWM6_PORT==A)
#if (PWM6_TIMER==3)
#define PWM6_AF 0x01
#elif (PWM6_TIMER==14)
#define PWM6_AF 0x04
#elif (PWM6_TIMER==15)
#define PWM6_AF 0x00
#elif (PWM6_TIMER==16) || (PWM6_TIMER==17)
#define PWM6_AF 0x05
#endif
#elif (PWM6_PORT==B)
#if (PWM6_TIMER==14)
#define PWM6_AF 0x00
#elif (PWM6_TIMER==15)
#define PWM6_AF 0x01
#elif (PWM6_TIMER==16) || (PWM6_TIMER==17)
#define PWM6_AF 0x02
#endif
#elif (PWM6_PORT==C)
#if (PWM6_TIMER==3)
#define PWM6_AF 0x00
#endif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PWM7_AHBEN (__rccgpioen__(PWM7_PORT))
#define PWM7_GPIO (__gpio__(PWM7_PORT))
#define DIO32 32
#define DIO32_PORT PWM7_PORT
#define DIO32_BIT PWM7_BIT
#define DIO32_AHBEN PWM7_AHBEN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(PWM7_TIMER&gt;=15 &amp; PWM7_TIMER&lt;=17))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 || (PWM7_TIMER&gt;=15 &amp; PWM7_TIMER&lt;=17)
#define PWM7_ENOUTPUT {PWM7_TIMREG-&gt;BDTR |= (1 &lt;&lt; 15);}
#else
#define PWM7_ENOUTPUT {}
#endif
#if (PWM7_TIMER==1)
#define PWM7_AF 0x02
#elif (PWM7_PORT==A)
#if (PWM7_TIMER==3)
#define PWM7_AF 0x01
#elif (PWM7_TIMER==14)
#define PWM7_AF 0x04
#elif (PWM7_TIMER==15)
#define PWM7_AF 0x00
#elif (PWM7_TIMER==16) || (PWM7_TIMER==17)
#define PWM7_AF 0x05
#endif
#elif (PWM7_PORT==B)
#if (PWM7_TIMER==14)
#define PWM7_AF 0x00
#elif (PWM7_TIMER==15)
#define PWM7_AF 0x01
#elif (PWM7_TIMER==16) || (PWM7_TIMER==17)
#define PWM7_AF 0x02
#endif
#elif (PWM7_PORT==C)
#if (PWM7_TIMER==3)
#define PWM7_AF 0x00
#endif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PWM8_AHBEN (__rccgpioen__(PWM8_PORT))
#define PWM8_GPIO (__gpio__(PWM8_PORT))
#define DIO33 33
#define DIO33_PORT PWM8_PORT
#define DIO33_BIT PWM8_BIT
#define DIO33_AHBEN PWM8_AHBEN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(PWM8_TIMER&gt;=15 &amp; PWM8_TIMER&lt;=17))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 || (PWM8_TIMER&gt;=15 &amp; PWM8_TIMER&lt;=17)
#define PWM8_ENOUTPUT {PWM8_TIMREG-&gt;BDTR |= (1 &lt;&lt; 15);}
#else
#define PWM8_ENOUTPUT {}
#endif
#if (PWM8_TIMER==1)
#define PWM8_AF 0x02
#elif (PWM8_PORT==A)
#if (PWM8_TIMER==3)
#define PWM8_AF 0x01
#elif (PWM8_TIMER==14)
#define PWM8_AF 0x04
#elif (PWM8_TIMER==15)
#define PWM8_AF 0x00
#elif (PWM8_TIMER==16) || (PWM8_TIMER==17)
#define PWM8_AF 0x05
#endif
#elif (PWM8_PORT==B)
#if (PWM8_TIMER==14)
#define PWM8_AF 0x00
#elif (PWM8_TIMER==15)
#define PWM8_AF 0x01
#elif (PWM8_TIMER==16) || (PWM8_TIMER==17)
#define PWM8_AF 0x02
#endif
#elif (PWM8_PORT==C)
#if (PWM8_TIMER==3)
#define PWM8_AF 0x00
#endif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PWM9_AHBEN (__rccgpioen__(PWM9_PORT))
#define PWM9_GPIO (__gpio__(PWM9_PORT))
#define DIO34 34
#define DIO34_PORT PWM9_PORT
#define DIO34_BIT PWM9_BIT
#define DIO34_AHBEN PWM9_AHBEN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(PWM9_TIMER&gt;=15 &amp; PWM9_TIMER&lt;=17))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 || (PWM9_TIMER&gt;=15 &amp; PWM9_TIMER&lt;=17)
#define PWM9_ENOUTPUT {PWM9_TIMREG-&gt;BDTR |= (1 &lt;&lt; 15);}
#else
#define PWM9_ENOUTPUT {}
#endif
#if (PWM9_TIMER==1)
#define PWM9_AF 0x02
#elif (PWM9_PORT==A)
#if (PWM9_TIMER==3)
#define PWM9_AF 0x01
#elif (PWM9_TIMER==14)
#define PWM9_AF 0x04
#elif (PWM9_TIMER==15)
#define PWM9_AF 0x00
#elif (PWM9_TIMER==16) || (PWM9_TIMER==17)
#define PWM9_AF 0x05
#endif
#elif (PWM9_PORT==B)
#if (PWM9_TIMER==14)
#define PWM9_AF 0x00
#elif (PWM9_TIMER==15)
#define PWM9_AF 0x01
#elif (PWM9_TIMER==16) || (PWM9_TIMER==17)
#define PWM9_AF 0x02
#endif
#elif (PWM9_PORT==C)
#if (PWM9_TIMER==3)
#define PWM9_AF 0x00
#endif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PWM10_AHBEN (__rccgpioen__(PWM10_PORT))
#define PWM10_GPIO (__gpio__(PWM10_PORT))
#define DIO35 35
#define DIO35_PORT PWM10_PORT
#define DIO35_BIT PWM10_BIT
#define DIO35_AHBEN PWM10_AHBEN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(PWM10_TIMER&gt;=15 &amp; PWM10_TIMER&lt;=17))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 || (PWM10_TIMER&gt;=15 &amp; PWM10_TIMER&lt;=17)
#define PWM10_ENOUTPUT {PWM10_TIMREG-&gt;BDTR |= (1 &lt;&lt; 15);}
#else
#define PWM10_ENOUTPUT {}
#endif
#if (PWM10_TIMER==1)
#define PWM10_AF 0x02
#elif (PWM10_PORT==A)
#if (PWM10_TIMER==3)
#define PWM10_AF 0x01
#elif (PWM10_TIMER==14)
#define PWM10_AF 0x04
#elif (PWM10_TIMER==15)
#define PWM10_AF 0x00
#elif (PWM10_TIMER==16) || (PWM10_TIMER==17)
#define PWM10_AF 0x05
#endif
#elif (PWM10_PORT==B)
#if (PWM10_TIMER==14)
#define PWM10_AF 0x00
#elif (PWM10_TIMER==15)
#define PWM10_AF 0x01
#elif (PWM10_TIMER==16) || (PWM10_TIMER==17)
#define PWM10_AF 0x02
#endif
#elif (PWM10_PORT==C)
#if (PWM10_TIMER==3)
#define PWM10_AF 0x00
#endif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PWM11_AHBEN (__rccgpioen__(PWM11_PORT))
#define PWM11_GPIO (__gpio__(PWM11_PORT))
#define DIO36 36
#define DIO36_PORT PWM11_PORT
#define DIO36_BIT PWM11_BIT
#define DIO36_AHBEN PWM11_AHBEN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(PWM11_TIMER&gt;=15 &amp; PWM11_TIMER&lt;=17))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 || (PWM11_TIMER&gt;=15 &amp; PWM11_TIMER&lt;=17)
#define PWM11_ENOUTPUT {PWM11_TIMREG-&gt;BDTR |= (1 &lt;&lt; 15);}
#else
#define PWM11_ENOUTPUT {}
#endif
#if (PWM11_TIMER==1)
#define PWM11_AF 0x02
#elif (PWM11_PORT==A)
#if (PWM11_TIMER==3)
#define PWM11_AF 0x01
#elif (PWM11_TIMER==14)
#define PWM11_AF 0x04
#elif (PWM11_TIMER==15)
#define PWM11_AF 0x00
#elif (PWM11_TIMER==16) || (PWM11_TIMER==17)
#define PWM11_AF 0x05
#endif
#elif (PWM11_PORT==B)
#if (PWM11_TIMER==14)
#define PWM11_AF 0x00
#elif (PWM11_TIMER==15)
#define PWM11_AF 0x01
#elif (PWM11_TIMER==16) || (PWM11_TIMER==17)
#define PWM11_AF 0x02
#endif
#elif (PWM11_PORT==C)
#if (PWM11_TIMER==3)
#define PWM11_AF 0x00
#endif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PWM12_AHBEN (__rccgpioen__(PWM12_PORT))
#define PWM12_GPIO (__gpio__(PWM12_PORT))
#define DIO37 37
#define DIO37_PORT PWM12_PORT
#define DIO37_BIT PWM12_BIT
#define DIO37_AHBEN PWM12_AHBEN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(PWM12_TIMER&gt;=15 &amp; PWM12_TIMER&lt;=17))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 || (PWM12_TIMER&gt;=15 &amp; PWM12_TIMER&lt;=17)
#define PWM12_ENOUTPUT {PWM12_TIMREG-&gt;BDTR |= (1 &lt;&lt; 15);}
#else
#define PWM12_ENOUTPUT {}
#endif
#if (PWM12_TIMER==1)
#define PWM12_AF 0x02
#elif (PWM12_PORT==A)
#if (PWM12_TIMER==3)
#define PWM12_AF 0x01
#elif (PWM12_TIMER==14)
#define PWM12_AF 0x04
#elif (PWM12_TIMER==15)
#define PWM12_AF 0x00
#elif (PWM12_TIMER==16) || (PWM12_TIMER==17)
#define PWM12_AF 0x05
#endif
#elif (PWM12_PORT==B)
#if (PWM12_TIMER==14)
#define PWM12_AF 0x00
#elif (PWM12_TIMER==15)
#define PWM12_AF 0x01
#elif (PWM12_TIMER==16) || (PWM12_TIMER==17)
#define PWM12_AF 0x02
#endif
#elif (PWM12_PORT==C)
#if (PWM12_TIMER==3)
#define PWM12_AF 0x00
#endif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PWM13_AHBEN (__rccgpioen__(PWM13_PORT))
#define PWM13_GPIO (__gpio__(PWM13_PORT))
#define DIO38 38
#define DIO38_PORT PWM13_PORT
#define DIO38_BIT PWM13_BIT
#define DIO38_AHBEN PWM13_AHBEN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(PWM13_TIMER&gt;=15 &amp; PWM13_TIMER&lt;=17))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 || (PWM13_TIMER&gt;=15 &amp; PWM13_TIMER&lt;=17)
#define PWM13_ENOUTPUT {PWM13_TIMREG-&gt;BDTR |= (1 &lt;&lt; 15);}
#else
#define PWM13_ENOUTPUT {}
#endif
#if (PWM13_TIMER==1)
#define PWM13_AF 0x02
#elif (PWM13_PORT==A)
#if (PWM13_TIMER==3)
#define PWM13_AF 0x01
#elif (PWM13_TIMER==14)
#define PWM13_AF 0x04
#elif (PWM13_TIMER==15)
#define PWM13_AF 0x00
#elif (PWM13_TIMER==16) || (PWM13_TIMER==17)
#define PWM13_AF 0x05
#endif
#elif (PWM13_PORT==B)
#if (PWM13_TIMER==14)
#define PWM13_AF 0x00
#elif (PWM13_TIMER==15)
#define PWM13_AF 0x01
#elif (PWM13_TIMER==16) || (PWM13_TIMER==17)
#define PWM13_AF 0x02
#endif
#elif (PWM13_PORT==C)
#if (PWM13_TIMER==3)
#define PWM13_AF 0x00
#endif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PWM14_AHBEN (__rccgpioen__(PWM14_PORT))
#define PWM14_GPIO (__gpio__(PWM14_PORT))
#define DIO39 39
#define DIO39_PORT PWM14_PORT
#define DIO39_BIT PWM14_BIT
#define DIO39_AHBEN PWM14_AHBEN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(PWM14_TIMER&gt;=15 &amp; PWM14_TIMER&lt;=17))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 || (PWM14_TIMER&gt;=15 &amp; PWM14_TIMER&lt;=17)
#define PWM14_ENOUTPUT {PWM14_TIMREG-&gt;BDTR |= (1 &lt;&lt; 15);}
#else
#define PWM14_ENOUTPUT {}
#endif
#if (PWM14_TIMER==1)
#define PWM14_AF 0x02
#elif (PWM14_PORT==A)
#if (PWM14_TIMER==3)
#define PWM14_AF 0x01
#elif (PWM14_TIMER==14)
#define PWM14_AF 0x04
#elif (PWM14_TIMER==15)
#define PWM14_AF 0x00
#elif (PWM14_TIMER==16) || (PWM14_TIMER==17)
#define PWM14_AF 0x05
#endif
#elif (PWM14_PORT==B)
#if (PWM14_TIMER==14)
#define PWM14_AF 0x00
#elif (PWM14_TIMER==15)
#define PWM14_AF 0x01
#elif (PWM14_TIMER==16) || (PWM14_TIMER==17)
#define PWM14_AF 0x02
#endif
#elif (PWM14_PORT==C)
#if (PWM14_TIMER==3)
#define PWM14_AF 0x00
#endif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PWM15_AHBEN (__rccgpioen__(PWM15_PORT))
#define PWM15_GPIO (__gpio__(PWM15_PORT))
#define DIO40 40
#define DIO40_PORT PWM15_PORT
#define DIO40_BIT PWM15_BIT
#define DIO40_AHBEN PWM15_AHBEN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(PWM15_TIMER&gt;=15 &amp; PWM15_TIMER&lt;=17))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 || (PWM15_TIMER&gt;=15 &amp; PWM15_TIMER&lt;=17)
#define PWM15_ENOUTPUT {PWM15_TIMREG-&gt;BDTR |= (1 &lt;&lt; 15);}
#else
#define PWM15_ENOUTPUT {}
#endif
#if (PWM15_TIMER==1)
#define PWM15_AF 0x02
#elif (PWM15_PORT==A)
#if (PWM15_TIMER==3)
#define PWM15_AF 0x01
#elif (PWM15_TIMER==14)
#define PWM15_AF 0x04
#elif (PWM15_TIMER==15)
#define PWM15_AF 0x00
#elif (PWM15_TIMER==16) || (PWM15_TIMER==17)
#define PWM15_AF 0x05
#endif
#elif (PWM15_PORT==B)
#if (PWM15_TIMER==14)
#define PWM15_AF 0x00
#elif (PWM15_TIMER==15)
#define PWM15_AF 0x01
#elif (PWM15_TIMER==16) || (PWM15_TIMER==17)
#define PWM15_AF 0x02
#endif
#elif (PWM15_PORT==C)
#if (PWM15_TIMER==3)
#define PWM15_AF 0x00
#endif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SERVO0_AHBEN (__rccgpioen__(SERVO0_PORT))
#define SERVO0_GPIO (__gpio__(SERVO0_PORT))
#define DIO41 41
#define DIO41_PORT SERVO0_PORT
#define DIO41_BIT SERVO0_BIT
#define DIO41_AHBEN SERVO0_AHBEN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SERVO1_AHBEN (__rccgpioen__(SERVO1_PORT))
#define SERVO1_GPIO (__gpio__(SERVO1_PORT))
#define DIO42 42
#define DIO42_PORT SERVO1_PORT
#define DIO42_BIT SERVO1_BIT
#define DIO42_AHBEN SERVO1_AHBEN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SERVO2_AHBEN (__rccgpioen__(SERVO2_PORT))
#define SERVO2_GPIO (__gpio__(SERVO2_PORT))
#define DIO43 43
#define DIO43_PORT SERVO2_PORT
#define DIO43_BIT SERVO2_BIT
#define DIO43_AHBEN SERVO2_AHBEN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SERVO3_AHBEN (__rccgpioen__(SERVO3_PORT))
#define SERVO3_GPIO (__gpio__(SERVO3_PORT))
#define DIO44 44
#define DIO44_PORT SERVO3_PORT
#define DIO44_BIT SERVO3_BIT
#define DIO44_AHBEN SERVO3_AHBEN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SERVO4_AHBEN (__rccgpioen__(SERVO4_PORT))
#define SERVO4_GPIO (__gpio__(SERVO4_PORT))
#define DIO45 45
#define DIO45_PORT SERVO4_PORT
#define DIO45_BIT SERVO4_BIT
#define DIO45_AHBEN SERVO4_AHBEN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SERVO5_AHBEN (__rccgpioen__(SERVO5_PORT))
#define SERVO5_GPIO (__gpio__(SERVO5_PORT))
#define DIO46 46
#define DIO46_PORT SERVO5_PORT
#define DIO46_BIT SERVO5_BIT
#define DIO46_AHBEN SERVO5_AHBEN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DOUT0_AHBEN (__rccgpioen__(DOUT0_PORT))
#define DOUT0_GPIO (__gpio__(DOUT0_PORT))
#define DIO47 47
#define DIO47_PORT DOUT0_PORT
#define DIO47_BIT DOUT0_BIT
#define DIO47_AHBEN DOUT0_AHBEN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DOUT1_AHBEN (__rccgpioen__(DOUT1_PORT))
#define DOUT1_GPIO (__gpio__(DOUT1_PORT))
#define DIO48 48
#define DIO48_PORT DOUT1_PORT
#define DIO48_BIT DOUT1_BIT
#define DIO48_AHBEN DOUT1_AHBEN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DOUT2_AHBEN (__rccgpioen__(DOUT2_PORT))
#define DOUT2_GPIO (__gpio__(DOUT2_PORT))
#define DIO49 49
#define DIO49_PORT DOUT2_PORT
#define DIO49_BIT DOUT2_BIT
#define DIO49_AHBEN DOUT2_AHBEN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DOUT3_AHBEN (__rccgpioen__(DOUT3_PORT))
#define DOUT3_GPIO (__gpio__(DOUT3_PORT))
#define DIO50 50
#define DIO50_PORT DOUT3_PORT
#define DIO50_BIT DOUT3_BIT
#define DIO50_AHBEN DOUT3_AHBEN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DOUT4_AHBEN (__rccgpioen__(DOUT4_PORT))
#define DOUT4_GPIO (__gpio__(DOUT4_PORT))
#define DIO51 51
#define DIO51_PORT DOUT4_PORT
#define DIO51_BIT DOUT4_BIT
#define DIO51_AHBEN DOUT4_AHBEN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DOUT5_AHBEN (__rccgpioen__(DOUT5_PORT))
#define DOUT5_GPIO (__gpio__(DOUT5_PORT))
#define DIO52 52
#define DIO52_PORT DOUT5_PORT
#define DIO52_BIT DOUT5_BIT
#define DIO52_AHBEN DOUT5_AHBEN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DOUT6_AHBEN (__rccgpioen__(DOUT6_PORT))
#define DOUT6_GPIO (__gpio__(DOUT6_PORT))
#define DIO53 53
#define DIO53_PORT DOUT6_PORT
#define DIO53_BIT DOUT6_BIT
#define DIO53_AHBEN DOUT6_AHBEN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DOUT7_AHBEN (__rccgpioen__(DOUT7_PORT))
#define DOUT7_GPIO (__gpio__(DOUT7_PORT))
#define DIO54 54
#define DIO54_PORT DOUT7_PORT
#define DIO54_BIT DOUT7_BIT
#define DIO54_AHBEN DOUT7_AHBEN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DOUT8_AHBEN (__rccgpioen__(DOUT8_PORT))
#define DOUT8_GPIO (__gpio__(DOUT8_PORT))
#define DIO55 55
#define DIO55_PORT DOUT8_PORT
#define DIO55_BIT DOUT8_BIT
#define DIO55_AHBEN DOUT8_AHBEN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DOUT9_AHBEN (__rccgpioen__(DOUT9_PORT))
#define DOUT9_GPIO (__gpio__(DOUT9_PORT))
#define DIO56 56
#define DIO56_PORT DOUT9_PORT
#define DIO56_BIT DOUT9_BIT
#define DIO56_AHBEN DOUT9_AHBEN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DOUT10_AHBEN (__rccgpioen__(DOUT10_PORT))
#define DOUT10_GPIO (__gpio__(DOUT10_PORT))
#define DIO57 57
#define DIO57_PORT DOUT10_PORT
#define DIO57_BIT DOUT10_BIT
#define DIO57_AHBEN DOUT10_AHBEN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DOUT11_AHBEN (__rccgpioen__(DOUT11_PORT))
#define DOUT11_GPIO (__gpio__(DOUT11_PORT))
#define DIO58 58
#define DIO58_PORT DOUT11_PORT
#define DIO58_BIT DOUT11_BIT
#define DIO58_AHBEN DOUT11_AHBEN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DOUT12_AHBEN (__rccgpioen__(DOUT12_PORT))
#define DOUT12_GPIO (__gpio__(DOUT12_PORT))
#define DIO59 59
#define DIO59_PORT DOUT12_PORT
#define DIO59_BIT DOUT12_BIT
#define DIO59_AHBEN DOUT12_AHBEN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DOUT13_AHBEN (__rccgpioen__(DOUT13_PORT))
#define DOUT13_GPIO (__gpio__(DOUT13_PORT))
#define DIO60 60
#define DIO60_PORT DOUT13_PORT
#define DIO60_BIT DOUT13_BIT
#define DIO60_AHBEN DOUT13_AHBEN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DOUT14_AHBEN (__rccgpioen__(DOUT14_PORT))
#define DOUT14_GPIO (__gpio__(DOUT14_PORT))
#define DIO61 61
#define DIO61_PORT DOUT14_PORT
#define DIO61_BIT DOUT14_BIT
#define DIO61_AHBEN DOUT14_AHBEN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DOUT15_AHBEN (__rccgpioen__(DOUT15_PORT))
#define DOUT15_GPIO (__gpio__(DOUT15_PORT))
#define DIO62 62
#define DIO62_PORT DOUT15_PORT
#define DIO62_BIT DOUT15_BIT
#define DIO62_AHBEN DOUT15_AHBEN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DOUT16_AHBEN (__rccgpioen__(DOUT16_PORT))
#define DOUT16_GPIO (__gpio__(DOUT16_PORT))
#define DIO63 63
#define DIO63_PORT DOUT16_PORT
#define DIO63_BIT DOUT16_BIT
#define DIO63_AHBEN DOUT16_AHBEN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DOUT17_AHBEN (__rccgpioen__(DOUT17_PORT))
#define DOUT17_GPIO (__gpio__(DOUT17_PORT))
#define DIO64 64
#define DIO64_PORT DOUT17_PORT
#define DIO64_BIT DOUT17_BIT
#define DIO64_AHBEN DOUT17_AHBEN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DOUT18_AHBEN (__rccgpioen__(DOUT18_PORT))
#define DOUT18_GPIO (__gpio__(DOUT18_PORT))
#define DIO65 65
#define DIO65_PORT DOUT18_PORT
#define DIO65_BIT DOUT18_BIT
#define DIO65_AHBEN DOUT18_AHBEN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49" si="8">"#if (defined("&amp;C68&amp;"_PORT) &amp;&amp; defined("&amp;C68&amp;"_BIT))
#define "&amp;C68&amp;" "&amp;A68&amp;"
#define "&amp;C68&amp;"_AHBEN (__rccgpioen__("&amp;C68&amp;"_PORT))
#define "&amp;C68&amp;"_GPIO (__gpio__("&amp;C68&amp;"_PORT))
#define "&amp;B68&amp;" "&amp;A68&amp;"
#define "&amp;B68&amp;"_PORT "&amp;C68&amp;"_PORT
#define "&amp;B68&amp;"_BIT "&amp;C68&amp;"_BIT
#define "&amp;B68&amp;"_AHBEN "&amp;C68&amp;"_AHBEN
#define "&amp;B68&amp;"_GPIO "&amp;C68&amp;"_GPIO
#endif"</f>
        <v>#if (defined(DOUT19_PORT) &amp;&amp; defined(DOUT19_BIT))
#define DOUT19 66
#define DOUT19_AHBEN (__rccgpioen__(DOUT19_PORT))
#define DOUT19_GPIO (__gpio__(DOUT19_PORT))
#define DIO66 66
#define DIO66_PORT DOUT19_PORT
#define DIO66_BIT DOUT19_BIT
#define DIO66_AHBEN DOUT19_AHBEN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DOUT20_AHBEN (__rccgpioen__(DOUT20_PORT))
#define DOUT20_GPIO (__gpio__(DOUT20_PORT))
#define DIO67 67
#define DIO67_PORT DOUT20_PORT
#define DIO67_BIT DOUT20_BIT
#define DIO67_AHBEN DOUT20_AHBEN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DOUT21_AHBEN (__rccgpioen__(DOUT21_PORT))
#define DOUT21_GPIO (__gpio__(DOUT21_PORT))
#define DIO68 68
#define DIO68_PORT DOUT21_PORT
#define DIO68_BIT DOUT21_BIT
#define DIO68_AHBEN DOUT21_AHBEN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DOUT22_AHBEN (__rccgpioen__(DOUT22_PORT))
#define DOUT22_GPIO (__gpio__(DOUT22_PORT))
#define DIO69 69
#define DIO69_PORT DOUT22_PORT
#define DIO69_BIT DOUT22_BIT
#define DIO69_AHBEN DOUT22_AHBEN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DOUT23_AHBEN (__rccgpioen__(DOUT23_PORT))
#define DOUT23_GPIO (__gpio__(DOUT23_PORT))
#define DIO70 70
#define DIO70_PORT DOUT23_PORT
#define DIO70_BIT DOUT23_BIT
#define DIO70_AHBEN DOUT23_AHBEN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DOUT24_AHBEN (__rccgpioen__(DOUT24_PORT))
#define DOUT24_GPIO (__gpio__(DOUT24_PORT))
#define DIO71 71
#define DIO71_PORT DOUT24_PORT
#define DIO71_BIT DOUT24_BIT
#define DIO71_AHBEN DOUT24_AHBEN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DOUT25_AHBEN (__rccgpioen__(DOUT25_PORT))
#define DOUT25_GPIO (__gpio__(DOUT25_PORT))
#define DIO72 72
#define DIO72_PORT DOUT25_PORT
#define DIO72_BIT DOUT25_BIT
#define DIO72_AHBEN DOUT25_AHBEN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DOUT26_AHBEN (__rccgpioen__(DOUT26_PORT))
#define DOUT26_GPIO (__gpio__(DOUT26_PORT))
#define DIO73 73
#define DIO73_PORT DOUT26_PORT
#define DIO73_BIT DOUT26_BIT
#define DIO73_AHBEN DOUT26_AHBEN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DOUT27_AHBEN (__rccgpioen__(DOUT27_PORT))
#define DOUT27_GPIO (__gpio__(DOUT27_PORT))
#define DIO74 74
#define DIO74_PORT DOUT27_PORT
#define DIO74_BIT DOUT27_BIT
#define DIO74_AHBEN DOUT27_AHBEN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DOUT28_AHBEN (__rccgpioen__(DOUT28_PORT))
#define DOUT28_GPIO (__gpio__(DOUT28_PORT))
#define DIO75 75
#define DIO75_PORT DOUT28_PORT
#define DIO75_BIT DOUT28_BIT
#define DIO75_AHBEN DOUT28_AHBEN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DOUT29_AHBEN (__rccgpioen__(DOUT29_PORT))
#define DOUT29_GPIO (__gpio__(DOUT29_PORT))
#define DIO76 76
#define DIO76_PORT DOUT29_PORT
#define DIO76_BIT DOUT29_BIT
#define DIO76_AHBEN DOUT29_AHBEN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DOUT30_AHBEN (__rccgpioen__(DOUT30_PORT))
#define DOUT30_GPIO (__gpio__(DOUT30_PORT))
#define DIO77 77
#define DIO77_PORT DOUT30_PORT
#define DIO77_BIT DOUT30_BIT
#define DIO77_AHBEN DOUT30_AHBEN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DOUT31_AHBEN (__rccgpioen__(DOUT31_PORT))
#define DOUT31_GPIO (__gpio__(DOUT31_PORT))
#define DIO78 78
#define DIO78_PORT DOUT31_PORT
#define DIO78_BIT DOUT31_BIT
#define DIO78_AHBEN DOUT31_AHBEN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32</v>
      </c>
      <c r="E81" s="9" t="str">
        <f t="shared" ref="E81:E98" si="10">"#if (defined("&amp;C81&amp;"_PORT) &amp;&amp; defined("&amp;C81&amp;"_BIT))
#define "&amp;C81&amp;" "&amp;A81&amp;"
#define "&amp;C81&amp;"_AHBEN (__rccgpioen__("&amp;C81&amp;"_PORT))
#define "&amp;C81&amp;"_GPIO (__gpio__("&amp;C81&amp;"_PORT))
#define "&amp;B81&amp;" "&amp;A81&amp;"
#define "&amp;B81&amp;"_PORT "&amp;C81&amp;"_PORT
#define "&amp;B81&amp;"_BIT "&amp;C81&amp;"_BIT
#define "&amp;B81&amp;"_AHBEN "&amp;C81&amp;"_AHBEN
#define "&amp;B81&amp;"_GPIO "&amp;C81&amp;"_GPIO
#endif"</f>
        <v>#if (defined(DOUT32_PORT) &amp;&amp; defined(DOUT32_BIT))
#define DOUT32 79
#define DOUT32_AHBEN (__rccgpioen__(DOUT32_PORT))
#define DOUT32_GPIO (__gpio__(DOUT32_PORT))
#define DIO79 79
#define DIO79_PORT DOUT32_PORT
#define DIO79_BIT DOUT32_BIT
#define DIO79_AHBEN DOUT32_AHBEN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33</v>
      </c>
      <c r="E82" s="9" t="str">
        <f t="shared" si="10"/>
        <v>#if (defined(DOUT33_PORT) &amp;&amp; defined(DOUT33_BIT))
#define DOUT33 80
#define DOUT33_AHBEN (__rccgpioen__(DOUT33_PORT))
#define DOUT33_GPIO (__gpio__(DOUT33_PORT))
#define DIO80 80
#define DIO80_PORT DOUT33_PORT
#define DIO80_BIT DOUT33_BIT
#define DIO80_AHBEN DOUT33_AHBEN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34</v>
      </c>
      <c r="E83" s="9" t="str">
        <f t="shared" si="10"/>
        <v>#if (defined(DOUT34_PORT) &amp;&amp; defined(DOUT34_BIT))
#define DOUT34 81
#define DOUT34_AHBEN (__rccgpioen__(DOUT34_PORT))
#define DOUT34_GPIO (__gpio__(DOUT34_PORT))
#define DIO81 81
#define DIO81_PORT DOUT34_PORT
#define DIO81_BIT DOUT34_BIT
#define DIO81_AHBEN DOUT34_AHBEN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35</v>
      </c>
      <c r="E84" s="9" t="str">
        <f t="shared" si="10"/>
        <v>#if (defined(DOUT35_PORT) &amp;&amp; defined(DOUT35_BIT))
#define DOUT35 82
#define DOUT35_AHBEN (__rccgpioen__(DOUT35_PORT))
#define DOUT35_GPIO (__gpio__(DOUT35_PORT))
#define DIO82 82
#define DIO82_PORT DOUT35_PORT
#define DIO82_BIT DOUT35_BIT
#define DIO82_AHBEN DOUT35_AHBEN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36</v>
      </c>
      <c r="E85" s="9" t="str">
        <f t="shared" si="10"/>
        <v>#if (defined(DOUT36_PORT) &amp;&amp; defined(DOUT36_BIT))
#define DOUT36 83
#define DOUT36_AHBEN (__rccgpioen__(DOUT36_PORT))
#define DOUT36_GPIO (__gpio__(DOUT36_PORT))
#define DIO83 83
#define DIO83_PORT DOUT36_PORT
#define DIO83_BIT DOUT36_BIT
#define DIO83_AHBEN DOUT36_AHBEN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37</v>
      </c>
      <c r="E86" s="9" t="str">
        <f t="shared" si="10"/>
        <v>#if (defined(DOUT37_PORT) &amp;&amp; defined(DOUT37_BIT))
#define DOUT37 84
#define DOUT37_AHBEN (__rccgpioen__(DOUT37_PORT))
#define DOUT37_GPIO (__gpio__(DOUT37_PORT))
#define DIO84 84
#define DIO84_PORT DOUT37_PORT
#define DIO84_BIT DOUT37_BIT
#define DIO84_AHBEN DOUT37_AHBEN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38</v>
      </c>
      <c r="E87" s="9" t="str">
        <f t="shared" si="10"/>
        <v>#if (defined(DOUT38_PORT) &amp;&amp; defined(DOUT38_BIT))
#define DOUT38 85
#define DOUT38_AHBEN (__rccgpioen__(DOUT38_PORT))
#define DOUT38_GPIO (__gpio__(DOUT38_PORT))
#define DIO85 85
#define DIO85_PORT DOUT38_PORT
#define DIO85_BIT DOUT38_BIT
#define DIO85_AHBEN DOUT38_AHBEN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39</v>
      </c>
      <c r="E88" s="9" t="str">
        <f t="shared" si="10"/>
        <v>#if (defined(DOUT39_PORT) &amp;&amp; defined(DOUT39_BIT))
#define DOUT39 86
#define DOUT39_AHBEN (__rccgpioen__(DOUT39_PORT))
#define DOUT39_GPIO (__gpio__(DOUT39_PORT))
#define DIO86 86
#define DIO86_PORT DOUT39_PORT
#define DIO86_BIT DOUT39_BIT
#define DIO86_AHBEN DOUT39_AHBEN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40</v>
      </c>
      <c r="E89" s="9" t="str">
        <f t="shared" si="10"/>
        <v>#if (defined(DOUT40_PORT) &amp;&amp; defined(DOUT40_BIT))
#define DOUT40 87
#define DOUT40_AHBEN (__rccgpioen__(DOUT40_PORT))
#define DOUT40_GPIO (__gpio__(DOUT40_PORT))
#define DIO87 87
#define DIO87_PORT DOUT40_PORT
#define DIO87_BIT DOUT40_BIT
#define DIO87_AHBEN DOUT40_AHBEN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41</v>
      </c>
      <c r="E90" s="9" t="str">
        <f t="shared" si="10"/>
        <v>#if (defined(DOUT41_PORT) &amp;&amp; defined(DOUT41_BIT))
#define DOUT41 88
#define DOUT41_AHBEN (__rccgpioen__(DOUT41_PORT))
#define DOUT41_GPIO (__gpio__(DOUT41_PORT))
#define DIO88 88
#define DIO88_PORT DOUT41_PORT
#define DIO88_BIT DOUT41_BIT
#define DIO88_AHBEN DOUT41_AHBEN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42</v>
      </c>
      <c r="E91" s="9" t="str">
        <f t="shared" si="10"/>
        <v>#if (defined(DOUT42_PORT) &amp;&amp; defined(DOUT42_BIT))
#define DOUT42 89
#define DOUT42_AHBEN (__rccgpioen__(DOUT42_PORT))
#define DOUT42_GPIO (__gpio__(DOUT42_PORT))
#define DIO89 89
#define DIO89_PORT DOUT42_PORT
#define DIO89_BIT DOUT42_BIT
#define DIO89_AHBEN DOUT42_AHBEN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43</v>
      </c>
      <c r="E92" s="9" t="str">
        <f t="shared" si="10"/>
        <v>#if (defined(DOUT43_PORT) &amp;&amp; defined(DOUT43_BIT))
#define DOUT43 90
#define DOUT43_AHBEN (__rccgpioen__(DOUT43_PORT))
#define DOUT43_GPIO (__gpio__(DOUT43_PORT))
#define DIO90 90
#define DIO90_PORT DOUT43_PORT
#define DIO90_BIT DOUT43_BIT
#define DIO90_AHBEN DOUT43_AHBEN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44</v>
      </c>
      <c r="E93" s="9" t="str">
        <f t="shared" si="10"/>
        <v>#if (defined(DOUT44_PORT) &amp;&amp; defined(DOUT44_BIT))
#define DOUT44 91
#define DOUT44_AHBEN (__rccgpioen__(DOUT44_PORT))
#define DOUT44_GPIO (__gpio__(DOUT44_PORT))
#define DIO91 91
#define DIO91_PORT DOUT44_PORT
#define DIO91_BIT DOUT44_BIT
#define DIO91_AHBEN DOUT44_AHBEN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45</v>
      </c>
      <c r="E94" s="9" t="str">
        <f t="shared" si="10"/>
        <v>#if (defined(DOUT45_PORT) &amp;&amp; defined(DOUT45_BIT))
#define DOUT45 92
#define DOUT45_AHBEN (__rccgpioen__(DOUT45_PORT))
#define DOUT45_GPIO (__gpio__(DOUT45_PORT))
#define DIO92 92
#define DIO92_PORT DOUT45_PORT
#define DIO92_BIT DOUT45_BIT
#define DIO92_AHBEN DOUT45_AHBEN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46</v>
      </c>
      <c r="E95" s="9" t="str">
        <f t="shared" si="10"/>
        <v>#if (defined(DOUT46_PORT) &amp;&amp; defined(DOUT46_BIT))
#define DOUT46 93
#define DOUT46_AHBEN (__rccgpioen__(DOUT46_PORT))
#define DOUT46_GPIO (__gpio__(DOUT46_PORT))
#define DIO93 93
#define DIO93_PORT DOUT46_PORT
#define DIO93_BIT DOUT46_BIT
#define DIO93_AHBEN DOUT46_AHBEN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47</v>
      </c>
      <c r="E96" s="9" t="str">
        <f t="shared" si="10"/>
        <v>#if (defined(DOUT47_PORT) &amp;&amp; defined(DOUT47_BIT))
#define DOUT47 94
#define DOUT47_AHBEN (__rccgpioen__(DOUT47_PORT))
#define DOUT47_GPIO (__gpio__(DOUT47_PORT))
#define DIO94 94
#define DIO94_PORT DOUT47_PORT
#define DIO94_BIT DOUT47_BIT
#define DIO94_AHBEN DOUT47_AHBEN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48</v>
      </c>
      <c r="E97" s="9" t="str">
        <f t="shared" si="10"/>
        <v>#if (defined(DOUT48_PORT) &amp;&amp; defined(DOUT48_BIT))
#define DOUT48 95
#define DOUT48_AHBEN (__rccgpioen__(DOUT48_PORT))
#define DOUT48_GPIO (__gpio__(DOUT48_PORT))
#define DIO95 95
#define DIO95_PORT DOUT48_PORT
#define DIO95_BIT DOUT48_BIT
#define DIO95_AHBEN DOUT48_AHBEN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49</v>
      </c>
      <c r="E98" s="9" t="str">
        <f t="shared" si="10"/>
        <v>#if (defined(DOUT49_PORT) &amp;&amp; defined(DOUT49_BIT))
#define DOUT49 96
#define DOUT49_AHBEN (__rccgpioen__(DOUT49_PORT))
#define DOUT49_GPIO (__gpio__(DOUT49_PORT))
#define DIO96 96
#define DIO96_PORT DOUT49_PORT
#define DIO96_BIT DOUT49_BIT
#define DIO96_AHBEN DOUT49_AHBEN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LIMIT_X_AHBEN (__rccgpioen__(LIMIT_X_PORT))
#define LIMIT_X_GPIO (__gpio__(LIMIT_X_PORT))
#define DIO100 100
#define DIO100_PORT LIMIT_X_PORT
#define DIO100_BIT LIMIT_X_BIT
#define DIO100_AHBEN LIMIT_X_AHBEN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LIMIT_Y_AHBEN (__rccgpioen__(LIMIT_Y_PORT))
#define LIMIT_Y_GPIO (__gpio__(LIMIT_Y_PORT))
#define DIO101 101
#define DIO101_PORT LIMIT_Y_PORT
#define DIO101_BIT LIMIT_Y_BIT
#define DIO101_AHBEN LIMIT_Y_AHBEN
#define DIO101_GPIO LIMIT_Y_GPIO
#endif</v>
      </c>
      <c r="F100" s="12" t="str">
        <f t="shared" ref="F100:F112" si="12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LIMIT_Z_AHBEN (__rccgpioen__(LIMIT_Z_PORT))
#define LIMIT_Z_GPIO (__gpio__(LIMIT_Z_PORT))
#define DIO102 102
#define DIO102_PORT LIMIT_Z_PORT
#define DIO102_BIT LIMIT_Z_BIT
#define DIO102_AHBEN LIMIT_Z_AHBEN
#define DIO102_GPIO LIMIT_Z_GPIO
#endif</v>
      </c>
      <c r="F101" s="12" t="str">
        <f t="shared" si="12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LIMIT_X2_AHBEN (__rccgpioen__(LIMIT_X2_PORT))
#define LIMIT_X2_GPIO (__gpio__(LIMIT_X2_PORT))
#define DIO103 103
#define DIO103_PORT LIMIT_X2_PORT
#define DIO103_BIT LIMIT_X2_BIT
#define DIO103_AHBEN LIMIT_X2_AHBEN
#define DIO103_GPIO LIMIT_X2_GPIO
#endif</v>
      </c>
      <c r="F102" s="12" t="str">
        <f t="shared" si="12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LIMIT_Y2_AHBEN (__rccgpioen__(LIMIT_Y2_PORT))
#define LIMIT_Y2_GPIO (__gpio__(LIMIT_Y2_PORT))
#define DIO104 104
#define DIO104_PORT LIMIT_Y2_PORT
#define DIO104_BIT LIMIT_Y2_BIT
#define DIO104_AHBEN LIMIT_Y2_AHBEN
#define DIO104_GPIO LIMIT_Y2_GPIO
#endif</v>
      </c>
      <c r="F103" s="12" t="str">
        <f t="shared" si="12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LIMIT_Z2_AHBEN (__rccgpioen__(LIMIT_Z2_PORT))
#define LIMIT_Z2_GPIO (__gpio__(LIMIT_Z2_PORT))
#define DIO105 105
#define DIO105_PORT LIMIT_Z2_PORT
#define DIO105_BIT LIMIT_Z2_BIT
#define DIO105_AHBEN LIMIT_Z2_AHBEN
#define DIO105_GPIO LIMIT_Z2_GPIO
#endif</v>
      </c>
      <c r="F104" s="12" t="str">
        <f t="shared" si="12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LIMIT_A_AHBEN (__rccgpioen__(LIMIT_A_PORT))
#define LIMIT_A_GPIO (__gpio__(LIMIT_A_PORT))
#define DIO106 106
#define DIO106_PORT LIMIT_A_PORT
#define DIO106_BIT LIMIT_A_BIT
#define DIO106_AHBEN LIMIT_A_AHBEN
#define DIO106_GPIO LIMIT_A_GPIO
#endif</v>
      </c>
      <c r="F105" s="12" t="str">
        <f t="shared" si="12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LIMIT_B_AHBEN (__rccgpioen__(LIMIT_B_PORT))
#define LIMIT_B_GPIO (__gpio__(LIMIT_B_PORT))
#define DIO107 107
#define DIO107_PORT LIMIT_B_PORT
#define DIO107_BIT LIMIT_B_BIT
#define DIO107_AHBEN LIMIT_B_AHBEN
#define DIO107_GPIO LIMIT_B_GPIO
#endif</v>
      </c>
      <c r="F106" s="12" t="str">
        <f t="shared" si="12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LIMIT_C_AHBEN (__rccgpioen__(LIMIT_C_PORT))
#define LIMIT_C_GPIO (__gpio__(LIMIT_C_PORT))
#define DIO108 108
#define DIO108_PORT LIMIT_C_PORT
#define DIO108_BIT LIMIT_C_BIT
#define DIO108_AHBEN LIMIT_C_AHBEN
#define DIO108_GPIO LIMIT_C_GPIO
#endif</v>
      </c>
      <c r="F107" s="12" t="str">
        <f t="shared" si="12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PROBE_AHBEN (__rccgpioen__(PROBE_PORT))
#define PROBE_GPIO (__gpio__(PROBE_PORT))
#define DIO109 109
#define DIO109_PORT PROBE_PORT
#define DIO109_BIT PROBE_BIT
#define DIO109_AHBEN PROBE_AHBEN
#define DIO109_GPIO PROBE_GPIO
#endif</v>
      </c>
      <c r="F108" s="12" t="str">
        <f t="shared" si="12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ESTOP_AHBEN (__rccgpioen__(ESTOP_PORT))
#define ESTOP_GPIO (__gpio__(ESTOP_PORT))
#define DIO110 110
#define DIO110_PORT ESTOP_PORT
#define DIO110_BIT ESTOP_BIT
#define DIO110_AHBEN ESTOP_AHBEN
#define DIO110_GPIO ESTOP_GPIO
#endif</v>
      </c>
      <c r="F109" s="12" t="str">
        <f t="shared" si="12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SAFETY_DOOR_AHBEN (__rccgpioen__(SAFETY_DOOR_PORT))
#define SAFETY_DOOR_GPIO (__gpio__(SAFETY_DOOR_PORT))
#define DIO111 111
#define DIO111_PORT SAFETY_DOOR_PORT
#define DIO111_BIT SAFETY_DOOR_BIT
#define DIO111_AHBEN SAFETY_DOOR_AHBEN
#define DIO111_GPIO SAFETY_DOOR_GPIO
#endif</v>
      </c>
      <c r="F110" s="12" t="str">
        <f t="shared" si="12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FHOLD_AHBEN (__rccgpioen__(FHOLD_PORT))
#define FHOLD_GPIO (__gpio__(FHOLD_PORT))
#define DIO112 112
#define DIO112_PORT FHOLD_PORT
#define DIO112_BIT FHOLD_BIT
#define DIO112_AHBEN FHOLD_AHBEN
#define DIO112_GPIO FHOLD_GPIO
#endif</v>
      </c>
      <c r="F111" s="12" t="str">
        <f t="shared" si="12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CS_RES_AHBEN (__rccgpioen__(CS_RES_PORT))
#define CS_RES_GPIO (__gpio__(CS_RES_PORT))
#define DIO113 113
#define DIO113_PORT CS_RES_PORT
#define DIO113_BIT CS_RES_BIT
#define DIO113_AHBEN CS_RES_AHBEN
#define DIO113_GPIO CS_RES_GPIO
#endif</v>
      </c>
      <c r="F112" s="12" t="str">
        <f t="shared" si="12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ANALOG0_AHBEN (__rccgpioen__(ANALOG0_PORT))
#define ANALOG0_GPIO (__gpio__(ANALOG0_PORT))
#define DIO114 114
#define DIO114_PORT ANALOG0_PORT
#define DIO114_BIT ANALOG0_BIT
#define DIO114_AHBEN ANALOG0_AHBEN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3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ANALOG1_AHBEN (__rccgpioen__(ANALOG1_PORT))
#define ANALOG1_GPIO (__gpio__(ANALOG1_PORT))
#define DIO115 115
#define DIO115_PORT ANALOG1_PORT
#define DIO115_BIT ANALOG1_BIT
#define DIO115_AHBEN ANALOG1_AHBEN
#define DIO115_GPIO ANALOG1_GPIO
#endif</v>
      </c>
      <c r="F114" s="10"/>
      <c r="G114" s="9"/>
      <c r="H114" s="12" t="str">
        <f t="shared" ref="H114:H128" si="14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3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ANALOG2_AHBEN (__rccgpioen__(ANALOG2_PORT))
#define ANALOG2_GPIO (__gpio__(ANALOG2_PORT))
#define DIO116 116
#define DIO116_PORT ANALOG2_PORT
#define DIO116_BIT ANALOG2_BIT
#define DIO116_AHBEN ANALOG2_AHBEN
#define DIO116_GPIO ANALOG2_GPIO
#endif</v>
      </c>
      <c r="F115" s="10"/>
      <c r="G115" s="9"/>
      <c r="H115" s="12" t="str">
        <f t="shared" si="14"/>
        <v>#ifdef ANALOG2
#ifndef ANALOG2_CHANNEL
#define ANALOG2_CHANNEL -1
#endif
#define DIO116_CHANNEL ANALOG2_CHANNEL
#endif</v>
      </c>
      <c r="I115" s="4" t="str">
        <f t="shared" si="13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ANALOG3_AHBEN (__rccgpioen__(ANALOG3_PORT))
#define ANALOG3_GPIO (__gpio__(ANALOG3_PORT))
#define DIO117 117
#define DIO117_PORT ANALOG3_PORT
#define DIO117_BIT ANALOG3_BIT
#define DIO117_AHBEN ANALOG3_AHBEN
#define DIO117_GPIO ANALOG3_GPIO
#endif</v>
      </c>
      <c r="F116" s="9"/>
      <c r="G116" s="9"/>
      <c r="H116" s="12" t="str">
        <f t="shared" si="14"/>
        <v>#ifdef ANALOG3
#ifndef ANALOG3_CHANNEL
#define ANALOG3_CHANNEL -1
#endif
#define DIO117_CHANNEL ANALOG3_CHANNEL
#endif</v>
      </c>
      <c r="I116" s="4" t="str">
        <f t="shared" si="13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ANALOG4_AHBEN (__rccgpioen__(ANALOG4_PORT))
#define ANALOG4_GPIO (__gpio__(ANALOG4_PORT))
#define DIO118 118
#define DIO118_PORT ANALOG4_PORT
#define DIO118_BIT ANALOG4_BIT
#define DIO118_AHBEN ANALOG4_AHBEN
#define DIO118_GPIO ANALOG4_GPIO
#endif</v>
      </c>
      <c r="F117" s="9"/>
      <c r="G117" s="9"/>
      <c r="H117" s="12" t="str">
        <f t="shared" si="14"/>
        <v>#ifdef ANALOG4
#ifndef ANALOG4_CHANNEL
#define ANALOG4_CHANNEL -1
#endif
#define DIO118_CHANNEL ANALOG4_CHANNEL
#endif</v>
      </c>
      <c r="I117" s="4" t="str">
        <f t="shared" si="13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ANALOG5_AHBEN (__rccgpioen__(ANALOG5_PORT))
#define ANALOG5_GPIO (__gpio__(ANALOG5_PORT))
#define DIO119 119
#define DIO119_PORT ANALOG5_PORT
#define DIO119_BIT ANALOG5_BIT
#define DIO119_AHBEN ANALOG5_AHBEN
#define DIO119_GPIO ANALOG5_GPIO
#endif</v>
      </c>
      <c r="F118" s="9"/>
      <c r="G118" s="9"/>
      <c r="H118" s="12" t="str">
        <f t="shared" si="14"/>
        <v>#ifdef ANALOG5
#ifndef ANALOG5_CHANNEL
#define ANALOG5_CHANNEL -1
#endif
#define DIO119_CHANNEL ANALOG5_CHANNEL
#endif</v>
      </c>
      <c r="I118" s="4" t="str">
        <f t="shared" si="13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ANALOG6_AHBEN (__rccgpioen__(ANALOG6_PORT))
#define ANALOG6_GPIO (__gpio__(ANALOG6_PORT))
#define DIO120 120
#define DIO120_PORT ANALOG6_PORT
#define DIO120_BIT ANALOG6_BIT
#define DIO120_AHBEN ANALOG6_AHBEN
#define DIO120_GPIO ANALOG6_GPIO
#endif</v>
      </c>
      <c r="F119" s="9"/>
      <c r="G119" s="9"/>
      <c r="H119" s="12" t="str">
        <f t="shared" si="14"/>
        <v>#ifdef ANALOG6
#ifndef ANALOG6_CHANNEL
#define ANALOG6_CHANNEL -1
#endif
#define DIO120_CHANNEL ANALOG6_CHANNEL
#endif</v>
      </c>
      <c r="I119" s="4" t="str">
        <f t="shared" si="13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ANALOG7_AHBEN (__rccgpioen__(ANALOG7_PORT))
#define ANALOG7_GPIO (__gpio__(ANALOG7_PORT))
#define DIO121 121
#define DIO121_PORT ANALOG7_PORT
#define DIO121_BIT ANALOG7_BIT
#define DIO121_AHBEN ANALOG7_AHBEN
#define DIO121_GPIO ANALOG7_GPIO
#endif</v>
      </c>
      <c r="F120" s="9"/>
      <c r="G120" s="9"/>
      <c r="H120" s="12" t="str">
        <f t="shared" si="14"/>
        <v>#ifdef ANALOG7
#ifndef ANALOG7_CHANNEL
#define ANALOG7_CHANNEL -1
#endif
#define DIO121_CHANNEL ANALOG7_CHANNEL
#endif</v>
      </c>
      <c r="I120" s="4" t="str">
        <f t="shared" si="13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ANALOG8_AHBEN (__rccgpioen__(ANALOG8_PORT))
#define ANALOG8_GPIO (__gpio__(ANALOG8_PORT))
#define DIO122 122
#define DIO122_PORT ANALOG8_PORT
#define DIO122_BIT ANALOG8_BIT
#define DIO122_AHBEN ANALOG8_AHBEN
#define DIO122_GPIO ANALOG8_GPIO
#endif</v>
      </c>
      <c r="F121" s="9"/>
      <c r="G121" s="9"/>
      <c r="H121" s="12" t="str">
        <f t="shared" si="14"/>
        <v>#ifdef ANALOG8
#ifndef ANALOG8_CHANNEL
#define ANALOG8_CHANNEL -1
#endif
#define DIO122_CHANNEL ANALOG8_CHANNEL
#endif</v>
      </c>
      <c r="I121" s="4" t="str">
        <f t="shared" si="13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ANALOG9_AHBEN (__rccgpioen__(ANALOG9_PORT))
#define ANALOG9_GPIO (__gpio__(ANALOG9_PORT))
#define DIO123 123
#define DIO123_PORT ANALOG9_PORT
#define DIO123_BIT ANALOG9_BIT
#define DIO123_AHBEN ANALOG9_AHBEN
#define DIO123_GPIO ANALOG9_GPIO
#endif</v>
      </c>
      <c r="F122" s="9"/>
      <c r="G122" s="9"/>
      <c r="H122" s="12" t="str">
        <f t="shared" si="14"/>
        <v>#ifdef ANALOG9
#ifndef ANALOG9_CHANNEL
#define ANALOG9_CHANNEL -1
#endif
#define DIO123_CHANNEL ANALOG9_CHANNEL
#endif</v>
      </c>
      <c r="I122" s="4" t="str">
        <f t="shared" si="13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ANALOG10_AHBEN (__rccgpioen__(ANALOG10_PORT))
#define ANALOG10_GPIO (__gpio__(ANALOG10_PORT))
#define DIO124 124
#define DIO124_PORT ANALOG10_PORT
#define DIO124_BIT ANALOG10_BIT
#define DIO124_AHBEN ANALOG10_AHBEN
#define DIO124_GPIO ANALOG10_GPIO
#endif</v>
      </c>
      <c r="F123" s="9"/>
      <c r="G123" s="9"/>
      <c r="H123" s="12" t="str">
        <f t="shared" si="14"/>
        <v>#ifdef ANALOG10
#ifndef ANALOG10_CHANNEL
#define ANALOG10_CHANNEL -1
#endif
#define DIO124_CHANNEL ANALOG10_CHANNEL
#endif</v>
      </c>
      <c r="I123" s="4" t="str">
        <f t="shared" si="13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ANALOG11_AHBEN (__rccgpioen__(ANALOG11_PORT))
#define ANALOG11_GPIO (__gpio__(ANALOG11_PORT))
#define DIO125 125
#define DIO125_PORT ANALOG11_PORT
#define DIO125_BIT ANALOG11_BIT
#define DIO125_AHBEN ANALOG11_AHBEN
#define DIO125_GPIO ANALOG11_GPIO
#endif</v>
      </c>
      <c r="F124" s="9"/>
      <c r="G124" s="9"/>
      <c r="H124" s="12" t="str">
        <f t="shared" si="14"/>
        <v>#ifdef ANALOG11
#ifndef ANALOG11_CHANNEL
#define ANALOG11_CHANNEL -1
#endif
#define DIO125_CHANNEL ANALOG11_CHANNEL
#endif</v>
      </c>
      <c r="I124" s="4" t="str">
        <f t="shared" si="13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ANALOG12_AHBEN (__rccgpioen__(ANALOG12_PORT))
#define ANALOG12_GPIO (__gpio__(ANALOG12_PORT))
#define DIO126 126
#define DIO126_PORT ANALOG12_PORT
#define DIO126_BIT ANALOG12_BIT
#define DIO126_AHBEN ANALOG12_AHBEN
#define DIO126_GPIO ANALOG12_GPIO
#endif</v>
      </c>
      <c r="F125" s="9"/>
      <c r="G125" s="9"/>
      <c r="H125" s="12" t="str">
        <f t="shared" si="14"/>
        <v>#ifdef ANALOG12
#ifndef ANALOG12_CHANNEL
#define ANALOG12_CHANNEL -1
#endif
#define DIO126_CHANNEL ANALOG12_CHANNEL
#endif</v>
      </c>
      <c r="I125" s="4" t="str">
        <f t="shared" si="13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ANALOG13_AHBEN (__rccgpioen__(ANALOG13_PORT))
#define ANALOG13_GPIO (__gpio__(ANALOG13_PORT))
#define DIO127 127
#define DIO127_PORT ANALOG13_PORT
#define DIO127_BIT ANALOG13_BIT
#define DIO127_AHBEN ANALOG13_AHBEN
#define DIO127_GPIO ANALOG13_GPIO
#endif</v>
      </c>
      <c r="F126" s="9"/>
      <c r="G126" s="9"/>
      <c r="H126" s="12" t="str">
        <f t="shared" si="14"/>
        <v>#ifdef ANALOG13
#ifndef ANALOG13_CHANNEL
#define ANALOG13_CHANNEL -1
#endif
#define DIO127_CHANNEL ANALOG13_CHANNEL
#endif</v>
      </c>
      <c r="I126" s="4" t="str">
        <f t="shared" si="13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ANALOG14_AHBEN (__rccgpioen__(ANALOG14_PORT))
#define ANALOG14_GPIO (__gpio__(ANALOG14_PORT))
#define DIO128 128
#define DIO128_PORT ANALOG14_PORT
#define DIO128_BIT ANALOG14_BIT
#define DIO128_AHBEN ANALOG14_AHBEN
#define DIO128_GPIO ANALOG14_GPIO
#endif</v>
      </c>
      <c r="F127" s="9"/>
      <c r="G127" s="9"/>
      <c r="H127" s="12" t="str">
        <f t="shared" si="14"/>
        <v>#ifdef ANALOG14
#ifndef ANALOG14_CHANNEL
#define ANALOG14_CHANNEL -1
#endif
#define DIO128_CHANNEL ANALOG14_CHANNEL
#endif</v>
      </c>
      <c r="I127" s="4" t="str">
        <f t="shared" si="13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ANALOG15_AHBEN (__rccgpioen__(ANALOG15_PORT))
#define ANALOG15_GPIO (__gpio__(ANALOG15_PORT))
#define DIO129 129
#define DIO129_PORT ANALOG15_PORT
#define DIO129_BIT ANALOG15_BIT
#define DIO129_AHBEN ANALOG15_AHBEN
#define DIO129_GPIO ANALOG15_GPIO
#endif</v>
      </c>
      <c r="F128" s="9"/>
      <c r="G128" s="9"/>
      <c r="H128" s="12" t="str">
        <f t="shared" si="14"/>
        <v>#ifdef ANALOG15
#ifndef ANALOG15_CHANNEL
#define ANALOG15_CHANNEL -1
#endif
#define DIO129_CHANNEL ANALOG15_CHANNEL
#endif</v>
      </c>
      <c r="I128" s="4" t="str">
        <f t="shared" si="13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DIN0_AHBEN (__rccgpioen__(DIN0_PORT))
#define DIN0_GPIO (__gpio__(DIN0_PORT))
#define DIO130 130
#define DIO130_PORT DIN0_PORT
#define DIO130_BIT DIN0_BIT
#define DIO130_AHBEN DIN0_AHBEN
#define DIO130_GPIO DIN0_GPIO
#endif</v>
      </c>
      <c r="F129" s="12" t="str">
        <f t="shared" ref="F129:F130" si="15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6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DIN1_AHBEN (__rccgpioen__(DIN1_PORT))
#define DIN1_GPIO (__gpio__(DIN1_PORT))
#define DIO131 131
#define DIO131_PORT DIN1_PORT
#define DIO131_BIT DIN1_BIT
#define DIO131_AHBEN DIN1_AHBEN
#define DIO131_GPIO DIN1_GPIO
#endif</v>
      </c>
      <c r="F130" s="12" t="str">
        <f t="shared" si="15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6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DIN2_AHBEN (__rccgpioen__(DIN2_PORT))
#define DIN2_GPIO (__gpio__(DIN2_PORT))
#define DIO132 132
#define DIO132_PORT DIN2_PORT
#define DIO132_BIT DIN2_BIT
#define DIO132_AHBEN DIN2_AHBEN
#define DIO132_GPIO DIN2_GPIO
#endif</v>
      </c>
      <c r="F131" s="12" t="str">
        <f t="shared" ref="F131" si="17">"#if (defined("&amp;C131&amp;"_ISR) &amp;&amp; defined("&amp;C131&amp;"))
#define "&amp;C131&amp;"_EXTIREG ("&amp;C131&amp;"_BIT &gt;&gt; 2)
#define "&amp;C131&amp;"_EXTIBITMASK (1&lt;&lt;"&amp;C131&amp;"_BIT)
#define "&amp;C131&amp;"_IRQ EXTIRQ("&amp;C131&amp;"_BIT)
#define "&amp;C131&amp;"_EXTIVAL ((EXTINT("&amp;C131&amp;"_PORT)) &lt;&lt; (("&amp;C131&amp;"_BIT &amp; 0x03)&lt;&lt;2))
#define "&amp;B131&amp;"_EXTIREG "&amp;C131&amp;"_EXTIREG
#define "&amp;B131&amp;"_EXTIVAL "&amp;C131&amp;"_EXTIVAL
#define "&amp;B131&amp;"_IRQ "&amp;C131&amp;"_IRQ
#define "&amp;B131&amp;"_EXTIBITMASK "&amp;C131&amp;"_EXTIBITMASK
#else
#define "&amp;C131&amp;"_EXTIMASK 0
#define "&amp;C131&amp;"_EXTIBITMASK 0
#endif"</f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6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8"/>
        <v>#if (defined(DIN3_PORT) &amp;&amp; defined(DIN3_BIT))
#define DIN3 133
#define DIN3_AHBEN (__rccgpioen__(DIN3_PORT))
#define DIN3_GPIO (__gpio__(DIN3_PORT))
#define DIO133 133
#define DIO133_PORT DIN3_PORT
#define DIO133_BIT DIN3_BIT
#define DIO133_AHBEN DIN3_AHBEN
#define DIO133_GPIO DIN3_GPIO
#endif</v>
      </c>
      <c r="F132" s="12" t="str">
        <f t="shared" ref="F132:F138" si="18">"#if (defined("&amp;C132&amp;"_ISR) &amp;&amp; defined("&amp;C132&amp;"))
#define "&amp;C132&amp;"_EXTIREG ("&amp;C132&amp;"_BIT &gt;&gt; 2)
#define "&amp;C132&amp;"_EXTIBITMASK (1&lt;&lt;"&amp;C132&amp;"_BIT)
#define "&amp;C132&amp;"_IRQ EXTIRQ("&amp;C132&amp;"_BIT)
#define "&amp;C132&amp;"_EXTIVAL ((EXTINT("&amp;C132&amp;"_PORT)) &lt;&lt; (("&amp;C132&amp;"_BIT &amp; 0x03)&lt;&lt;2))
#define "&amp;B132&amp;"_EXTIREG "&amp;C132&amp;"_EXTIREG
#define "&amp;B132&amp;"_EXTIVAL "&amp;C132&amp;"_EXTIVAL
#define "&amp;B132&amp;"_IRQ "&amp;C132&amp;"_IRQ
#define "&amp;B132&amp;"_EXTIBITMASK "&amp;C132&amp;"_EXTIBITMASK
#else
#define "&amp;C132&amp;"_EXTIMASK 0
#define "&amp;C132&amp;"_EXTIBITMASK 0
#endif"</f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6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8"/>
        <v>#if (defined(DIN4_PORT) &amp;&amp; defined(DIN4_BIT))
#define DIN4 134
#define DIN4_AHBEN (__rccgpioen__(DIN4_PORT))
#define DIN4_GPIO (__gpio__(DIN4_PORT))
#define DIO134 134
#define DIO134_PORT DIN4_PORT
#define DIO134_BIT DIN4_BIT
#define DIO134_AHBEN DIN4_AHBEN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6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8"/>
        <v>#if (defined(DIN5_PORT) &amp;&amp; defined(DIN5_BIT))
#define DIN5 135
#define DIN5_AHBEN (__rccgpioen__(DIN5_PORT))
#define DIN5_GPIO (__gpio__(DIN5_PORT))
#define DIO135 135
#define DIO135_PORT DIN5_PORT
#define DIO135_BIT DIN5_BIT
#define DIO135_AHBEN DIN5_AHBEN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6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8"/>
        <v>#if (defined(DIN6_PORT) &amp;&amp; defined(DIN6_BIT))
#define DIN6 136
#define DIN6_AHBEN (__rccgpioen__(DIN6_PORT))
#define DIN6_GPIO (__gpio__(DIN6_PORT))
#define DIO136 136
#define DIO136_PORT DIN6_PORT
#define DIO136_BIT DIN6_BIT
#define DIO136_AHBEN DIN6_AHBEN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6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8"/>
        <v>#if (defined(DIN7_PORT) &amp;&amp; defined(DIN7_BIT))
#define DIN7 137
#define DIN7_AHBEN (__rccgpioen__(DIN7_PORT))
#define DIN7_GPIO (__gpio__(DIN7_PORT))
#define DIO137 137
#define DIO137_PORT DIN7_PORT
#define DIO137_BIT DIN7_BIT
#define DIO137_AHBEN DIN7_AHBEN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6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8"/>
        <v>#if (defined(DIN8_PORT) &amp;&amp; defined(DIN8_BIT))
#define DIN8 138
#define DIN8_AHBEN (__rccgpioen__(DIN8_PORT))
#define DIN8_GPIO (__gpio__(DIN8_PORT))
#define DIO138 138
#define DIO138_PORT DIN8_PORT
#define DIO138_BIT DIN8_BIT
#define DIO138_AHBEN DIN8_AHBEN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6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8"/>
        <v>#if (defined(DIN9_PORT) &amp;&amp; defined(DIN9_BIT))
#define DIN9 139
#define DIN9_AHBEN (__rccgpioen__(DIN9_PORT))
#define DIN9_GPIO (__gpio__(DIN9_PORT))
#define DIO139 139
#define DIO139_PORT DIN9_PORT
#define DIO139_BIT DIN9_BIT
#define DIO139_AHBEN DIN9_AHBEN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6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8"/>
        <v>#if (defined(DIN10_PORT) &amp;&amp; defined(DIN10_BIT))
#define DIN10 140
#define DIN10_AHBEN (__rccgpioen__(DIN10_PORT))
#define DIN10_GPIO (__gpio__(DIN10_PORT))
#define DIO140 140
#define DIO140_PORT DIN10_PORT
#define DIO140_BIT DIN10_BIT
#define DIO140_AHBEN DIN10_AHBEN
#define DIO140_GPIO DIN10_GPIO
#endif</v>
      </c>
      <c r="F139" s="12"/>
      <c r="G139" s="9"/>
      <c r="H139" s="9"/>
      <c r="I139" s="4" t="str">
        <f t="shared" ref="I139:I160" si="19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8"/>
        <v>#if (defined(DIN11_PORT) &amp;&amp; defined(DIN11_BIT))
#define DIN11 141
#define DIN11_AHBEN (__rccgpioen__(DIN11_PORT))
#define DIN11_GPIO (__gpio__(DIN11_PORT))
#define DIO141 141
#define DIO141_PORT DIN11_PORT
#define DIO141_BIT DIN11_BIT
#define DIO141_AHBEN DIN11_AHBEN
#define DIO141_GPIO DIN11_GPIO
#endif</v>
      </c>
      <c r="F140" s="9"/>
      <c r="G140" s="9"/>
      <c r="H140" s="9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8"/>
        <v>#if (defined(DIN12_PORT) &amp;&amp; defined(DIN12_BIT))
#define DIN12 142
#define DIN12_AHBEN (__rccgpioen__(DIN12_PORT))
#define DIN12_GPIO (__gpio__(DIN12_PORT))
#define DIO142 142
#define DIO142_PORT DIN12_PORT
#define DIO142_BIT DIN12_BIT
#define DIO142_AHBEN DIN12_AHBEN
#define DIO142_GPIO DIN12_GPIO
#endif</v>
      </c>
      <c r="F141" s="9"/>
      <c r="G141" s="9"/>
      <c r="H141" s="9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8"/>
        <v>#if (defined(DIN13_PORT) &amp;&amp; defined(DIN13_BIT))
#define DIN13 143
#define DIN13_AHBEN (__rccgpioen__(DIN13_PORT))
#define DIN13_GPIO (__gpio__(DIN13_PORT))
#define DIO143 143
#define DIO143_PORT DIN13_PORT
#define DIO143_BIT DIN13_BIT
#define DIO143_AHBEN DIN13_AHBEN
#define DIO143_GPIO DIN13_GPIO
#endif</v>
      </c>
      <c r="F142" s="9"/>
      <c r="G142" s="9"/>
      <c r="H142" s="9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8"/>
        <v>#if (defined(DIN14_PORT) &amp;&amp; defined(DIN14_BIT))
#define DIN14 144
#define DIN14_AHBEN (__rccgpioen__(DIN14_PORT))
#define DIN14_GPIO (__gpio__(DIN14_PORT))
#define DIO144 144
#define DIO144_PORT DIN14_PORT
#define DIO144_BIT DIN14_BIT
#define DIO144_AHBEN DIN14_AHBEN
#define DIO144_GPIO DIN14_GPIO
#endif</v>
      </c>
      <c r="F143" s="9"/>
      <c r="G143" s="9"/>
      <c r="H143" s="9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8"/>
        <v>#if (defined(DIN15_PORT) &amp;&amp; defined(DIN15_BIT))
#define DIN15 145
#define DIN15_AHBEN (__rccgpioen__(DIN15_PORT))
#define DIN15_GPIO (__gpio__(DIN15_PORT))
#define DIO145 145
#define DIO145_PORT DIN15_PORT
#define DIO145_BIT DIN15_BIT
#define DIO145_AHBEN DIN15_AHBEN
#define DIO145_GPIO DIN15_GPIO
#endif</v>
      </c>
      <c r="F144" s="9"/>
      <c r="G144" s="9"/>
      <c r="H144" s="9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8"/>
        <v>#if (defined(DIN16_PORT) &amp;&amp; defined(DIN16_BIT))
#define DIN16 146
#define DIN16_AHBEN (__rccgpioen__(DIN16_PORT))
#define DIN16_GPIO (__gpio__(DIN16_PORT))
#define DIO146 146
#define DIO146_PORT DIN16_PORT
#define DIO146_BIT DIN16_BIT
#define DIO146_AHBEN DIN16_AHBEN
#define DIO146_GPIO DIN16_GPIO
#endif</v>
      </c>
      <c r="F145" s="9"/>
      <c r="G145" s="9"/>
      <c r="H145" s="9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8"/>
        <v>#if (defined(DIN17_PORT) &amp;&amp; defined(DIN17_BIT))
#define DIN17 147
#define DIN17_AHBEN (__rccgpioen__(DIN17_PORT))
#define DIN17_GPIO (__gpio__(DIN17_PORT))
#define DIO147 147
#define DIO147_PORT DIN17_PORT
#define DIO147_BIT DIN17_BIT
#define DIO147_AHBEN DIN17_AHBEN
#define DIO147_GPIO DIN17_GPIO
#endif</v>
      </c>
      <c r="F146" s="9"/>
      <c r="G146" s="9"/>
      <c r="H146" s="9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8"/>
        <v>#if (defined(DIN18_PORT) &amp;&amp; defined(DIN18_BIT))
#define DIN18 148
#define DIN18_AHBEN (__rccgpioen__(DIN18_PORT))
#define DIN18_GPIO (__gpio__(DIN18_PORT))
#define DIO148 148
#define DIO148_PORT DIN18_PORT
#define DIO148_BIT DIN18_BIT
#define DIO148_AHBEN DIN18_AHBEN
#define DIO148_GPIO DIN18_GPIO
#endif</v>
      </c>
      <c r="F147" s="12"/>
      <c r="G147" s="9"/>
      <c r="H147" s="9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8"/>
        <v>#if (defined(DIN19_PORT) &amp;&amp; defined(DIN19_BIT))
#define DIN19 149
#define DIN19_AHBEN (__rccgpioen__(DIN19_PORT))
#define DIN19_GPIO (__gpio__(DIN19_PORT))
#define DIO149 149
#define DIO149_PORT DIN19_PORT
#define DIO149_BIT DIN19_BIT
#define DIO149_AHBEN DIN19_AHBEN
#define DIO149_GPIO DIN19_GPIO
#endif</v>
      </c>
      <c r="F148" s="12"/>
      <c r="G148" s="9"/>
      <c r="H148" s="9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8"/>
        <v>#if (defined(DIN20_PORT) &amp;&amp; defined(DIN20_BIT))
#define DIN20 150
#define DIN20_AHBEN (__rccgpioen__(DIN20_PORT))
#define DIN20_GPIO (__gpio__(DIN20_PORT))
#define DIO150 150
#define DIO150_PORT DIN20_PORT
#define DIO150_BIT DIN20_BIT
#define DIO150_AHBEN DIN20_AHBEN
#define DIO150_GPIO DIN20_GPIO
#endif</v>
      </c>
      <c r="F149" s="12"/>
      <c r="G149" s="9"/>
      <c r="H149" s="9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ref="E150:E190" si="20">"#if (defined("&amp;C150&amp;"_PORT) &amp;&amp; defined("&amp;C150&amp;"_BIT))
#define "&amp;C150&amp;" "&amp;A150&amp;"
#define "&amp;C150&amp;"_AHBEN (__rccgpioen__("&amp;C150&amp;"_PORT))
#define "&amp;C150&amp;"_GPIO (__gpio__("&amp;C150&amp;"_PORT))
#define "&amp;B150&amp;" "&amp;A150&amp;"
#define "&amp;B150&amp;"_PORT "&amp;C150&amp;"_PORT
#define "&amp;B150&amp;"_BIT "&amp;C150&amp;"_BIT
#define "&amp;B150&amp;"_AHBEN "&amp;C150&amp;"_AHBEN
#define "&amp;B150&amp;"_GPIO "&amp;C150&amp;"_GPIO
#endif"</f>
        <v>#if (defined(DIN21_PORT) &amp;&amp; defined(DIN21_BIT))
#define DIN21 151
#define DIN21_AHBEN (__rccgpioen__(DIN21_PORT))
#define DIN21_GPIO (__gpio__(DIN21_PORT))
#define DIO151 151
#define DIO151_PORT DIN21_PORT
#define DIO151_BIT DIN21_BIT
#define DIO151_AHBEN DIN21_AHBEN
#define DIO151_GPIO DIN21_GPIO
#endif</v>
      </c>
      <c r="F150" s="12"/>
      <c r="G150" s="9"/>
      <c r="H150" s="9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0"/>
        <v>#if (defined(DIN22_PORT) &amp;&amp; defined(DIN22_BIT))
#define DIN22 152
#define DIN22_AHBEN (__rccgpioen__(DIN22_PORT))
#define DIN22_GPIO (__gpio__(DIN22_PORT))
#define DIO152 152
#define DIO152_PORT DIN22_PORT
#define DIO152_BIT DIN22_BIT
#define DIO152_AHBEN DIN22_AHBEN
#define DIO152_GPIO DIN22_GPIO
#endif</v>
      </c>
      <c r="F151" s="12"/>
      <c r="G151" s="9"/>
      <c r="H151" s="9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0"/>
        <v>#if (defined(DIN23_PORT) &amp;&amp; defined(DIN23_BIT))
#define DIN23 153
#define DIN23_AHBEN (__rccgpioen__(DIN23_PORT))
#define DIN23_GPIO (__gpio__(DIN23_PORT))
#define DIO153 153
#define DIO153_PORT DIN23_PORT
#define DIO153_BIT DIN23_BIT
#define DIO153_AHBEN DIN23_AHBEN
#define DIO153_GPIO DIN23_GPIO
#endif</v>
      </c>
      <c r="F152" s="12"/>
      <c r="G152" s="9"/>
      <c r="H152" s="9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0"/>
        <v>#if (defined(DIN24_PORT) &amp;&amp; defined(DIN24_BIT))
#define DIN24 154
#define DIN24_AHBEN (__rccgpioen__(DIN24_PORT))
#define DIN24_GPIO (__gpio__(DIN24_PORT))
#define DIO154 154
#define DIO154_PORT DIN24_PORT
#define DIO154_BIT DIN24_BIT
#define DIO154_AHBEN DIN24_AHBEN
#define DIO154_GPIO DIN24_GPIO
#endif</v>
      </c>
      <c r="F153" s="12"/>
      <c r="G153" s="9"/>
      <c r="H153" s="9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0"/>
        <v>#if (defined(DIN25_PORT) &amp;&amp; defined(DIN25_BIT))
#define DIN25 155
#define DIN25_AHBEN (__rccgpioen__(DIN25_PORT))
#define DIN25_GPIO (__gpio__(DIN25_PORT))
#define DIO155 155
#define DIO155_PORT DIN25_PORT
#define DIO155_BIT DIN25_BIT
#define DIO155_AHBEN DIN25_AHBEN
#define DIO155_GPIO DIN25_GPIO
#endif</v>
      </c>
      <c r="F154" s="12"/>
      <c r="G154" s="9"/>
      <c r="H154" s="9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0"/>
        <v>#if (defined(DIN26_PORT) &amp;&amp; defined(DIN26_BIT))
#define DIN26 156
#define DIN26_AHBEN (__rccgpioen__(DIN26_PORT))
#define DIN26_GPIO (__gpio__(DIN26_PORT))
#define DIO156 156
#define DIO156_PORT DIN26_PORT
#define DIO156_BIT DIN26_BIT
#define DIO156_AHBEN DIN26_AHBEN
#define DIO156_GPIO DIN26_GPIO
#endif</v>
      </c>
      <c r="F155" s="12"/>
      <c r="G155" s="9"/>
      <c r="H155" s="9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0"/>
        <v>#if (defined(DIN27_PORT) &amp;&amp; defined(DIN27_BIT))
#define DIN27 157
#define DIN27_AHBEN (__rccgpioen__(DIN27_PORT))
#define DIN27_GPIO (__gpio__(DIN27_PORT))
#define DIO157 157
#define DIO157_PORT DIN27_PORT
#define DIO157_BIT DIN27_BIT
#define DIO157_AHBEN DIN27_AHBEN
#define DIO157_GPIO DIN27_GPIO
#endif</v>
      </c>
      <c r="F156" s="9"/>
      <c r="G156" s="9"/>
      <c r="H156" s="9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0"/>
        <v>#if (defined(DIN28_PORT) &amp;&amp; defined(DIN28_BIT))
#define DIN28 158
#define DIN28_AHBEN (__rccgpioen__(DIN28_PORT))
#define DIN28_GPIO (__gpio__(DIN28_PORT))
#define DIO158 158
#define DIO158_PORT DIN28_PORT
#define DIO158_BIT DIN28_BIT
#define DIO158_AHBEN DIN28_AHBEN
#define DIO158_GPIO DIN28_GPIO
#endif</v>
      </c>
      <c r="F157" s="9"/>
      <c r="G157" s="9"/>
      <c r="H157" s="9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0"/>
        <v>#if (defined(DIN29_PORT) &amp;&amp; defined(DIN29_BIT))
#define DIN29 159
#define DIN29_AHBEN (__rccgpioen__(DIN29_PORT))
#define DIN29_GPIO (__gpio__(DIN29_PORT))
#define DIO159 159
#define DIO159_PORT DIN29_PORT
#define DIO159_BIT DIN29_BIT
#define DIO159_AHBEN DIN29_AHBEN
#define DIO159_GPIO DIN29_GPIO
#endif</v>
      </c>
      <c r="F158" s="9"/>
      <c r="G158" s="9"/>
      <c r="H158" s="9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0"/>
        <v>#if (defined(DIN30_PORT) &amp;&amp; defined(DIN30_BIT))
#define DIN30 160
#define DIN30_AHBEN (__rccgpioen__(DIN30_PORT))
#define DIN30_GPIO (__gpio__(DIN30_PORT))
#define DIO160 160
#define DIO160_PORT DIN30_PORT
#define DIO160_BIT DIN30_BIT
#define DIO160_AHBEN DIN30_AHBEN
#define DIO160_GPIO DIN30_GPIO
#endif</v>
      </c>
      <c r="F159" s="9"/>
      <c r="G159" s="9"/>
      <c r="H159" s="9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0"/>
        <v>#if (defined(DIN31_PORT) &amp;&amp; defined(DIN31_BIT))
#define DIN31 161
#define DIN31_AHBEN (__rccgpioen__(DIN31_PORT))
#define DIN31_GPIO (__gpio__(DIN31_PORT))
#define DIO161 161
#define DIO161_PORT DIN31_PORT
#define DIO161_BIT DIN31_BIT
#define DIO161_AHBEN DIN31_AHBEN
#define DIO161_GPIO DIN31_GPIO
#endif</v>
      </c>
      <c r="F160" s="9"/>
      <c r="G160" s="9"/>
      <c r="H160" s="9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1">"DIO"&amp;A161</f>
        <v>DIO162</v>
      </c>
      <c r="C161" s="5" t="s">
        <v>545</v>
      </c>
      <c r="D161" s="4">
        <v>32</v>
      </c>
      <c r="E161" s="9" t="str">
        <f t="shared" ref="E161:E178" si="22">"#if (defined("&amp;C161&amp;"_PORT) &amp;&amp; defined("&amp;C161&amp;"_BIT))
#define "&amp;C161&amp;" "&amp;A161&amp;"
#define "&amp;C161&amp;"_AHBEN (__rccgpioen__("&amp;C161&amp;"_PORT))
#define "&amp;C161&amp;"_GPIO (__gpio__("&amp;C161&amp;"_PORT))
#define "&amp;B161&amp;" "&amp;A161&amp;"
#define "&amp;B161&amp;"_PORT "&amp;C161&amp;"_PORT
#define "&amp;B161&amp;"_BIT "&amp;C161&amp;"_BIT
#define "&amp;B161&amp;"_AHBEN "&amp;C161&amp;"_AHBEN
#define "&amp;B161&amp;"_GPIO "&amp;C161&amp;"_GPIO
#endif"</f>
        <v>#if (defined(DIN32_PORT) &amp;&amp; defined(DIN32_BIT))
#define DIN32 162
#define DIN32_AHBEN (__rccgpioen__(DIN32_PORT))
#define DIN32_GPIO (__gpio__(DIN32_PORT))
#define DIO162 162
#define DIO162_PORT DIN32_PORT
#define DIO162_BIT DIN32_BIT
#define DIO162_AHBEN DIN32_AHBEN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1"/>
        <v>DIO163</v>
      </c>
      <c r="C162" s="5" t="s">
        <v>546</v>
      </c>
      <c r="D162" s="4">
        <v>33</v>
      </c>
      <c r="E162" s="9" t="str">
        <f t="shared" si="22"/>
        <v>#if (defined(DIN33_PORT) &amp;&amp; defined(DIN33_BIT))
#define DIN33 163
#define DIN33_AHBEN (__rccgpioen__(DIN33_PORT))
#define DIN33_GPIO (__gpio__(DIN33_PORT))
#define DIO163 163
#define DIO163_PORT DIN33_PORT
#define DIO163_BIT DIN33_BIT
#define DIO163_AHBEN DIN33_AHBEN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1"/>
        <v>DIO164</v>
      </c>
      <c r="C163" s="5" t="s">
        <v>547</v>
      </c>
      <c r="D163" s="4">
        <v>34</v>
      </c>
      <c r="E163" s="9" t="str">
        <f t="shared" si="22"/>
        <v>#if (defined(DIN34_PORT) &amp;&amp; defined(DIN34_BIT))
#define DIN34 164
#define DIN34_AHBEN (__rccgpioen__(DIN34_PORT))
#define DIN34_GPIO (__gpio__(DIN34_PORT))
#define DIO164 164
#define DIO164_PORT DIN34_PORT
#define DIO164_BIT DIN34_BIT
#define DIO164_AHBEN DIN34_AHBEN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1"/>
        <v>DIO165</v>
      </c>
      <c r="C164" s="5" t="s">
        <v>548</v>
      </c>
      <c r="D164" s="4">
        <v>35</v>
      </c>
      <c r="E164" s="9" t="str">
        <f t="shared" si="22"/>
        <v>#if (defined(DIN35_PORT) &amp;&amp; defined(DIN35_BIT))
#define DIN35 165
#define DIN35_AHBEN (__rccgpioen__(DIN35_PORT))
#define DIN35_GPIO (__gpio__(DIN35_PORT))
#define DIO165 165
#define DIO165_PORT DIN35_PORT
#define DIO165_BIT DIN35_BIT
#define DIO165_AHBEN DIN35_AHBEN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1"/>
        <v>DIO166</v>
      </c>
      <c r="C165" s="5" t="s">
        <v>549</v>
      </c>
      <c r="D165" s="4">
        <v>36</v>
      </c>
      <c r="E165" s="9" t="str">
        <f t="shared" si="22"/>
        <v>#if (defined(DIN36_PORT) &amp;&amp; defined(DIN36_BIT))
#define DIN36 166
#define DIN36_AHBEN (__rccgpioen__(DIN36_PORT))
#define DIN36_GPIO (__gpio__(DIN36_PORT))
#define DIO166 166
#define DIO166_PORT DIN36_PORT
#define DIO166_BIT DIN36_BIT
#define DIO166_AHBEN DIN36_AHBEN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1"/>
        <v>DIO167</v>
      </c>
      <c r="C166" s="5" t="s">
        <v>550</v>
      </c>
      <c r="D166" s="4">
        <v>37</v>
      </c>
      <c r="E166" s="9" t="str">
        <f t="shared" si="22"/>
        <v>#if (defined(DIN37_PORT) &amp;&amp; defined(DIN37_BIT))
#define DIN37 167
#define DIN37_AHBEN (__rccgpioen__(DIN37_PORT))
#define DIN37_GPIO (__gpio__(DIN37_PORT))
#define DIO167 167
#define DIO167_PORT DIN37_PORT
#define DIO167_BIT DIN37_BIT
#define DIO167_AHBEN DIN37_AHBEN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1"/>
        <v>DIO168</v>
      </c>
      <c r="C167" s="5" t="s">
        <v>551</v>
      </c>
      <c r="D167" s="4">
        <v>38</v>
      </c>
      <c r="E167" s="9" t="str">
        <f t="shared" si="22"/>
        <v>#if (defined(DIN38_PORT) &amp;&amp; defined(DIN38_BIT))
#define DIN38 168
#define DIN38_AHBEN (__rccgpioen__(DIN38_PORT))
#define DIN38_GPIO (__gpio__(DIN38_PORT))
#define DIO168 168
#define DIO168_PORT DIN38_PORT
#define DIO168_BIT DIN38_BIT
#define DIO168_AHBEN DIN38_AHBEN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1"/>
        <v>DIO169</v>
      </c>
      <c r="C168" s="5" t="s">
        <v>552</v>
      </c>
      <c r="D168" s="4">
        <v>39</v>
      </c>
      <c r="E168" s="9" t="str">
        <f t="shared" si="22"/>
        <v>#if (defined(DIN39_PORT) &amp;&amp; defined(DIN39_BIT))
#define DIN39 169
#define DIN39_AHBEN (__rccgpioen__(DIN39_PORT))
#define DIN39_GPIO (__gpio__(DIN39_PORT))
#define DIO169 169
#define DIO169_PORT DIN39_PORT
#define DIO169_BIT DIN39_BIT
#define DIO169_AHBEN DIN39_AHBEN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1"/>
        <v>DIO170</v>
      </c>
      <c r="C169" s="5" t="s">
        <v>553</v>
      </c>
      <c r="D169" s="4">
        <v>40</v>
      </c>
      <c r="E169" s="9" t="str">
        <f t="shared" si="22"/>
        <v>#if (defined(DIN40_PORT) &amp;&amp; defined(DIN40_BIT))
#define DIN40 170
#define DIN40_AHBEN (__rccgpioen__(DIN40_PORT))
#define DIN40_GPIO (__gpio__(DIN40_PORT))
#define DIO170 170
#define DIO170_PORT DIN40_PORT
#define DIO170_BIT DIN40_BIT
#define DIO170_AHBEN DIN40_AHBEN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1"/>
        <v>DIO171</v>
      </c>
      <c r="C170" s="5" t="s">
        <v>554</v>
      </c>
      <c r="D170" s="4">
        <v>41</v>
      </c>
      <c r="E170" s="9" t="str">
        <f t="shared" si="22"/>
        <v>#if (defined(DIN41_PORT) &amp;&amp; defined(DIN41_BIT))
#define DIN41 171
#define DIN41_AHBEN (__rccgpioen__(DIN41_PORT))
#define DIN41_GPIO (__gpio__(DIN41_PORT))
#define DIO171 171
#define DIO171_PORT DIN41_PORT
#define DIO171_BIT DIN41_BIT
#define DIO171_AHBEN DIN41_AHBEN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1"/>
        <v>DIO172</v>
      </c>
      <c r="C171" s="5" t="s">
        <v>555</v>
      </c>
      <c r="D171" s="4">
        <v>42</v>
      </c>
      <c r="E171" s="9" t="str">
        <f t="shared" si="22"/>
        <v>#if (defined(DIN42_PORT) &amp;&amp; defined(DIN42_BIT))
#define DIN42 172
#define DIN42_AHBEN (__rccgpioen__(DIN42_PORT))
#define DIN42_GPIO (__gpio__(DIN42_PORT))
#define DIO172 172
#define DIO172_PORT DIN42_PORT
#define DIO172_BIT DIN42_BIT
#define DIO172_AHBEN DIN42_AHBEN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1"/>
        <v>DIO173</v>
      </c>
      <c r="C172" s="5" t="s">
        <v>556</v>
      </c>
      <c r="D172" s="4">
        <v>43</v>
      </c>
      <c r="E172" s="9" t="str">
        <f t="shared" si="22"/>
        <v>#if (defined(DIN43_PORT) &amp;&amp; defined(DIN43_BIT))
#define DIN43 173
#define DIN43_AHBEN (__rccgpioen__(DIN43_PORT))
#define DIN43_GPIO (__gpio__(DIN43_PORT))
#define DIO173 173
#define DIO173_PORT DIN43_PORT
#define DIO173_BIT DIN43_BIT
#define DIO173_AHBEN DIN43_AHBEN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1"/>
        <v>DIO174</v>
      </c>
      <c r="C173" s="5" t="s">
        <v>557</v>
      </c>
      <c r="D173" s="4">
        <v>44</v>
      </c>
      <c r="E173" s="9" t="str">
        <f t="shared" si="22"/>
        <v>#if (defined(DIN44_PORT) &amp;&amp; defined(DIN44_BIT))
#define DIN44 174
#define DIN44_AHBEN (__rccgpioen__(DIN44_PORT))
#define DIN44_GPIO (__gpio__(DIN44_PORT))
#define DIO174 174
#define DIO174_PORT DIN44_PORT
#define DIO174_BIT DIN44_BIT
#define DIO174_AHBEN DIN44_AHBEN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1"/>
        <v>DIO175</v>
      </c>
      <c r="C174" s="5" t="s">
        <v>558</v>
      </c>
      <c r="D174" s="4">
        <v>45</v>
      </c>
      <c r="E174" s="9" t="str">
        <f t="shared" si="22"/>
        <v>#if (defined(DIN45_PORT) &amp;&amp; defined(DIN45_BIT))
#define DIN45 175
#define DIN45_AHBEN (__rccgpioen__(DIN45_PORT))
#define DIN45_GPIO (__gpio__(DIN45_PORT))
#define DIO175 175
#define DIO175_PORT DIN45_PORT
#define DIO175_BIT DIN45_BIT
#define DIO175_AHBEN DIN45_AHBEN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1"/>
        <v>DIO176</v>
      </c>
      <c r="C175" s="5" t="s">
        <v>559</v>
      </c>
      <c r="D175" s="4">
        <v>46</v>
      </c>
      <c r="E175" s="9" t="str">
        <f t="shared" si="22"/>
        <v>#if (defined(DIN46_PORT) &amp;&amp; defined(DIN46_BIT))
#define DIN46 176
#define DIN46_AHBEN (__rccgpioen__(DIN46_PORT))
#define DIN46_GPIO (__gpio__(DIN46_PORT))
#define DIO176 176
#define DIO176_PORT DIN46_PORT
#define DIO176_BIT DIN46_BIT
#define DIO176_AHBEN DIN46_AHBEN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1"/>
        <v>DIO177</v>
      </c>
      <c r="C176" s="5" t="s">
        <v>560</v>
      </c>
      <c r="D176" s="4">
        <v>47</v>
      </c>
      <c r="E176" s="9" t="str">
        <f t="shared" si="22"/>
        <v>#if (defined(DIN47_PORT) &amp;&amp; defined(DIN47_BIT))
#define DIN47 177
#define DIN47_AHBEN (__rccgpioen__(DIN47_PORT))
#define DIN47_GPIO (__gpio__(DIN47_PORT))
#define DIO177 177
#define DIO177_PORT DIN47_PORT
#define DIO177_BIT DIN47_BIT
#define DIO177_AHBEN DIN47_AHBEN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1"/>
        <v>DIO178</v>
      </c>
      <c r="C177" s="5" t="s">
        <v>561</v>
      </c>
      <c r="D177" s="4">
        <v>48</v>
      </c>
      <c r="E177" s="9" t="str">
        <f t="shared" si="22"/>
        <v>#if (defined(DIN48_PORT) &amp;&amp; defined(DIN48_BIT))
#define DIN48 178
#define DIN48_AHBEN (__rccgpioen__(DIN48_PORT))
#define DIN48_GPIO (__gpio__(DIN48_PORT))
#define DIO178 178
#define DIO178_PORT DIN48_PORT
#define DIO178_BIT DIN48_BIT
#define DIO178_AHBEN DIN48_AHBEN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1"/>
        <v>DIO179</v>
      </c>
      <c r="C178" s="5" t="s">
        <v>562</v>
      </c>
      <c r="D178" s="4">
        <v>49</v>
      </c>
      <c r="E178" s="9" t="str">
        <f t="shared" si="22"/>
        <v>#if (defined(DIN49_PORT) &amp;&amp; defined(DIN49_BIT))
#define DIN49 179
#define DIN49_AHBEN (__rccgpioen__(DIN49_PORT))
#define DIN49_GPIO (__gpio__(DIN49_PORT))
#define DIO179 179
#define DIO179_PORT DIN49_PORT
#define DIO179_BIT DIN49_BIT
#define DIO179_AHBEN DIN49_AHBEN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0"/>
        <v>#if (defined(TX_PORT) &amp;&amp; defined(TX_BIT))
#define TX 200
#define TX_AHBEN (__rccgpioen__(TX_PORT))
#define TX_GPIO (__gpio__(TX_PORT))
#define DIO200 200
#define DIO200_PORT TX_PORT
#define DIO200_BIT TX_BIT
#define DIO200_AHBEN TX_AHBEN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0"/>
        <v>#if (defined(RX_PORT) &amp;&amp; defined(RX_BIT))
#define RX 201
#define RX_AHBEN (__rccgpioen__(RX_PORT))
#define RX_GPIO (__gpio__(RX_PORT))
#define DIO201 201
#define DIO201_PORT RX_PORT
#define DIO201_BIT RX_BIT
#define DIO201_AHBEN RX_AHBEN
#define DIO201_GPIO RX_GPIO
#endif</v>
      </c>
      <c r="F180" s="9"/>
      <c r="G180" s="9"/>
      <c r="H180" s="9"/>
      <c r="I180" s="4" t="str">
        <f t="shared" ref="I180:I184" si="23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20"/>
        <v>#if (defined(USB_DM_PORT) &amp;&amp; defined(USB_DM_BIT))
#define USB_DM 202
#define USB_DM_AHBEN (__rccgpioen__(USB_DM_PORT))
#define USB_DM_GPIO (__gpio__(USB_DM_PORT))
#define DIO202 202
#define DIO202_PORT USB_DM_PORT
#define DIO202_BIT USB_DM_BIT
#define DIO202_AHBEN USB_DM_AHBEN
#define DIO202_GPIO USB_DM_GPIO
#endif</v>
      </c>
      <c r="F181" s="9"/>
      <c r="G181" s="9"/>
      <c r="H181" s="9"/>
      <c r="I181" s="4" t="str">
        <f t="shared" si="23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20"/>
        <v>#if (defined(USB_DP_PORT) &amp;&amp; defined(USB_DP_BIT))
#define USB_DP 203
#define USB_DP_AHBEN (__rccgpioen__(USB_DP_PORT))
#define USB_DP_GPIO (__gpio__(USB_DP_PORT))
#define DIO203 203
#define DIO203_PORT USB_DP_PORT
#define DIO203_BIT USB_DP_BIT
#define DIO203_AHBEN USB_DP_AHBEN
#define DIO203_GPIO USB_DP_GPIO
#endif</v>
      </c>
      <c r="F182" s="9"/>
      <c r="G182" s="9"/>
      <c r="H182" s="9"/>
      <c r="I182" s="4" t="str">
        <f t="shared" si="23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20"/>
        <v>#if (defined(SPI_CLK_PORT) &amp;&amp; defined(SPI_CLK_BIT))
#define SPI_CLK 204
#define SPI_CLK_AHBEN (__rccgpioen__(SPI_CLK_PORT))
#define SPI_CLK_GPIO (__gpio__(SPI_CLK_PORT))
#define DIO204 204
#define DIO204_PORT SPI_CLK_PORT
#define DIO204_BIT SPI_CLK_BIT
#define DIO204_AHBEN SPI_CLK_AHBEN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4">"DIO"&amp;A184</f>
        <v>DIO205</v>
      </c>
      <c r="C184" s="4" t="s">
        <v>224</v>
      </c>
      <c r="D184" s="4">
        <v>1</v>
      </c>
      <c r="E184" s="9" t="str">
        <f t="shared" si="20"/>
        <v>#if (defined(SPI_SDI_PORT) &amp;&amp; defined(SPI_SDI_BIT))
#define SPI_SDI 205
#define SPI_SDI_AHBEN (__rccgpioen__(SPI_SDI_PORT))
#define SPI_SDI_GPIO (__gpio__(SPI_SDI_PORT))
#define DIO205 205
#define DIO205_PORT SPI_SDI_PORT
#define DIO205_BIT SPI_SDI_BIT
#define DIO205_AHBEN SPI_SDI_AHBEN
#define DIO205_GPIO SPI_SDI_GPIO
#endif</v>
      </c>
      <c r="F184" s="9"/>
      <c r="G184" s="9"/>
      <c r="H184" s="9"/>
      <c r="I184" s="4" t="str">
        <f t="shared" si="23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4"/>
        <v>DIO206</v>
      </c>
      <c r="C185" s="4" t="s">
        <v>225</v>
      </c>
      <c r="D185" s="5">
        <v>2</v>
      </c>
      <c r="E185" s="9" t="str">
        <f t="shared" si="20"/>
        <v>#if (defined(SPI_SDO_PORT) &amp;&amp; defined(SPI_SDO_BIT))
#define SPI_SDO 206
#define SPI_SDO_AHBEN (__rccgpioen__(SPI_SDO_PORT))
#define SPI_SDO_GPIO (__gpio__(SPI_SDO_PORT))
#define DIO206 206
#define DIO206_PORT SPI_SDO_PORT
#define DIO206_BIT SPI_SDO_BIT
#define DIO206_AHBEN SPI_SDO_AHBEN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4"/>
        <v>DIO207</v>
      </c>
      <c r="C186" s="4" t="s">
        <v>459</v>
      </c>
      <c r="D186" s="5">
        <v>3</v>
      </c>
      <c r="E186" s="9" t="str">
        <f t="shared" si="20"/>
        <v>#if (defined(SPI_CS_PORT) &amp;&amp; defined(SPI_CS_BIT))
#define SPI_CS 207
#define SPI_CS_AHBEN (__rccgpioen__(SPI_CS_PORT))
#define SPI_CS_GPIO (__gpio__(SPI_CS_PORT))
#define DIO207 207
#define DIO207_PORT SPI_CS_PORT
#define DIO207_BIT SPI_CS_BIT
#define DIO207_AHBEN SPI_CS_AHBEN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4"/>
        <v>DIO208</v>
      </c>
      <c r="C187" s="4" t="s">
        <v>237</v>
      </c>
      <c r="D187" s="5">
        <v>4</v>
      </c>
      <c r="E187" s="9" t="str">
        <f t="shared" si="20"/>
        <v>#if (defined(I2C_SCL_PORT) &amp;&amp; defined(I2C_SCL_BIT))
#define I2C_SCL 208
#define I2C_SCL_AHBEN (__rccgpioen__(I2C_SCL_PORT))
#define I2C_SCL_GPIO (__gpio__(I2C_SCL_PORT))
#define DIO208 208
#define DIO208_PORT I2C_SCL_PORT
#define DIO208_BIT I2C_SCL_BIT
#define DIO208_AHBEN I2C_SCL_AHBEN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4"/>
        <v>DIO209</v>
      </c>
      <c r="C188" s="4" t="s">
        <v>238</v>
      </c>
      <c r="D188" s="6"/>
      <c r="E188" s="9" t="str">
        <f t="shared" si="20"/>
        <v>#if (defined(I2C_SDA_PORT) &amp;&amp; defined(I2C_SDA_BIT))
#define I2C_SDA 209
#define I2C_SDA_AHBEN (__rccgpioen__(I2C_SDA_PORT))
#define I2C_SDA_GPIO (__gpio__(I2C_SDA_PORT))
#define DIO209 209
#define DIO209_PORT I2C_SDA_PORT
#define DIO209_BIT I2C_SDA_BIT
#define DIO209_AHBEN I2C_SDA_AHBEN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4"/>
        <v>DIO210</v>
      </c>
      <c r="C189" s="4" t="s">
        <v>467</v>
      </c>
      <c r="D189" s="4">
        <v>0</v>
      </c>
      <c r="E189" s="9" t="str">
        <f t="shared" si="20"/>
        <v>#if (defined(TX2_PORT) &amp;&amp; defined(TX2_BIT))
#define TX2 210
#define TX2_AHBEN (__rccgpioen__(TX2_PORT))
#define TX2_GPIO (__gpio__(TX2_PORT))
#define DIO210 210
#define DIO210_PORT TX2_PORT
#define DIO210_BIT TX2_BIT
#define DIO210_AHBEN TX2_AHBEN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4"/>
        <v>DIO211</v>
      </c>
      <c r="C190" s="4" t="s">
        <v>468</v>
      </c>
      <c r="D190" s="4">
        <v>1</v>
      </c>
      <c r="E190" s="9" t="str">
        <f t="shared" si="20"/>
        <v>#if (defined(RX2_PORT) &amp;&amp; defined(RX2_BIT))
#define RX2 211
#define RX2_AHBEN (__rccgpioen__(RX2_PORT))
#define RX2_GPIO (__gpio__(RX2_PORT))
#define DIO211 211
#define DIO211_PORT RX2_PORT
#define DIO211_BIT RX2_BIT
#define DIO211_AHBEN RX2_AHBEN
#define DIO211_GPIO RX2_GPIO
#endif</v>
      </c>
      <c r="F190" s="9"/>
      <c r="G190" s="9"/>
      <c r="H190" s="9"/>
      <c r="I190" s="4" t="str">
        <f t="shared" ref="I190" si="25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ref="E191:E194" si="26">"#if (defined("&amp;C191&amp;"_PORT) &amp;&amp; defined("&amp;C191&amp;"_BIT))
#define "&amp;C191&amp;" "&amp;A191&amp;"
#define "&amp;C191&amp;"_AHBEN (__rccgpioen__("&amp;C191&amp;"_PORT))
#define "&amp;C191&amp;"_GPIO (__gpio__("&amp;C191&amp;"_PORT))
#define "&amp;B191&amp;" "&amp;A191&amp;"
#define "&amp;B191&amp;"_PORT "&amp;C191&amp;"_PORT
#define "&amp;B191&amp;"_BIT "&amp;C191&amp;"_BIT
#define "&amp;B191&amp;"_AHBEN "&amp;C191&amp;"_AHBEN
#define "&amp;B191&amp;"_GPIO "&amp;C191&amp;"_GPIO
#endif"</f>
        <v>#if (defined(SPI2_CLK_PORT) &amp;&amp; defined(SPI2_CLK_BIT))
#define SPI2_CLK 212
#define SPI2_CLK_AHBEN (__rccgpioen__(SPI2_CLK_PORT))
#define SPI2_CLK_GPIO (__gpio__(SPI2_CLK_PORT))
#define DIO212 212
#define DIO212_PORT SPI2_CLK_PORT
#define DIO212_BIT SPI2_CLK_BIT
#define DIO212_AHBEN SPI2_CLK_AHBEN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6"/>
        <v>#if (defined(SPI2_SDI_PORT) &amp;&amp; defined(SPI2_SDI_BIT))
#define SPI2_SDI 213
#define SPI2_SDI_AHBEN (__rccgpioen__(SPI2_SDI_PORT))
#define SPI2_SDI_GPIO (__gpio__(SPI2_SDI_PORT))
#define DIO213 213
#define DIO213_PORT SPI2_SDI_PORT
#define DIO213_BIT SPI2_SDI_BIT
#define DIO213_AHBEN SPI2_SDI_AHBEN
#define DIO213_GPIO SPI2_SDI_GPIO
#endif</v>
      </c>
      <c r="F192" s="9"/>
      <c r="G192" s="9"/>
      <c r="H192" s="9"/>
      <c r="I192" s="4" t="str">
        <f t="shared" ref="I192" si="27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6"/>
        <v>#if (defined(SPI2_SDO_PORT) &amp;&amp; defined(SPI2_SDO_BIT))
#define SPI2_SDO 214
#define SPI2_SDO_AHBEN (__rccgpioen__(SPI2_SDO_PORT))
#define SPI2_SDO_GPIO (__gpio__(SPI2_SDO_PORT))
#define DIO214 214
#define DIO214_PORT SPI2_SDO_PORT
#define DIO214_BIT SPI2_SDO_BIT
#define DIO214_AHBEN SPI2_SDO_AHBEN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26"/>
        <v>#if (defined(SPI2_CS_PORT) &amp;&amp; defined(SPI2_CS_BIT))
#define SPI2_CS 215
#define SPI2_CS_AHBEN (__rccgpioen__(SPI2_CS_PORT))
#define SPI2_CS_GPIO (__gpio__(SPI2_CS_PORT))
#define DIO215 215
#define DIO215_PORT SPI2_CS_PORT
#define DIO215_BIT SPI2_CS_BIT
#define DIO215_AHBEN SPI2_CS_AHBEN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 t="s">
        <v>478</v>
      </c>
      <c r="B196" s="6" t="str">
        <f>"#if ("&amp;A196&amp;"_TIMER == 1)
#define MCU_"&amp;A196&amp;"_ISR TIM1_BRK_UP_TRG_COM_IRQHandler
#define MCU_"&amp;A196&amp;"_IRQ TIM1_BRK_UP_TRG_COM_IRQn
#elif ("&amp;A196&amp;"_TIMER == 6)
#define MCU_"&amp;A196&amp;"_ISR TIM6_DAC_IRQHandler
#define MCU_"&amp;A196&amp;"_IRQ TIM6_DAC_IRQn
#else
#define MCU_"&amp;A196&amp;"_ISR __helper__(TIM, "&amp;A196&amp;"_TIMER, _IRQHandler)
#define MCU_"&amp;A196&amp;"_IRQ __helper__(TIM, "&amp;A196&amp;"_TIMER, _IRQn)
#endif"</f>
        <v>#if (ITP_TIMER == 1)
#define MCU_ITP_ISR TIM1_BRK_UP_TRG_COM_IRQHandler
#define MCU_ITP_IRQ TIM1_BRK_UP_TRG_COM_IRQn
#elif (ITP_TIMER == 6)
#define MCU_ITP_ISR TIM6_DAC_IRQHandler
#define MCU_ITP_IRQ TIM6_DAC_IRQn
#else
#define MCU_ITP_ISR __helper__(TIM, ITP_TIMER, _IRQHandler)
#define MCU_ITP_IRQ __helper__(TIM, ITP_TIMER, _IRQn)
#endif</v>
      </c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 t="s">
        <v>479</v>
      </c>
      <c r="B197" s="6" t="str">
        <f t="shared" ref="B197:B198" si="28">"#if ("&amp;A197&amp;"_TIMER == 1)
#define MCU_"&amp;A197&amp;"_ISR TIM1_BRK_UP_TRG_COM_IRQHandler
#define MCU_"&amp;A197&amp;"_IRQ TIM1_BRK_UP_TRG_COM_IRQn
#elif ("&amp;A197&amp;"_TIMER == 6)
#define MCU_"&amp;A197&amp;"_ISR TIM6_DAC_IRQHandler
#define MCU_"&amp;A197&amp;"_IRQ TIM6_DAC_IRQn
#else
#define MCU_"&amp;A197&amp;"_ISR __helper__(TIM, "&amp;A197&amp;"_TIMER, _IRQHandler)
#define MCU_"&amp;A197&amp;"_IRQ __helper__(TIM, "&amp;A197&amp;"_TIMER, _IRQn)
#endif"</f>
        <v>#if (SERVO_TIMER == 1)
#define MCU_SERVO_ISR TIM1_BRK_UP_TRG_COM_IRQHandler
#define MCU_SERVO_IRQ TIM1_BRK_UP_TRG_COM_IRQn
#elif (SERVO_TIMER == 6)
#define MCU_SERVO_ISR TIM6_DAC_IRQHandler
#define MCU_SERVO_IRQ TIM6_DAC_IRQn
#else
#define MCU_SERVO_ISR __helper__(TIM, SERVO_TIMER, _IRQHandler)
#define MCU_SERVO_IRQ __helper__(TIM, SERVO_TIMER, _IRQn)
#endif</v>
      </c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 t="s">
        <v>480</v>
      </c>
      <c r="B198" s="6" t="str">
        <f t="shared" si="28"/>
        <v>#if (ONESHOT_TIMER == 1)
#define MCU_ONESHOT_ISR TIM1_BRK_UP_TRG_COM_IRQHandler
#define MCU_ONESHOT_IRQ TIM1_BRK_UP_TRG_COM_IRQn
#elif (ONESHOT_TIMER == 6)
#define MCU_ONESHOT_ISR TIM6_DAC_IRQHandler
#define MCU_ONESHOT_IRQ TIM6_DAC_IRQn
#else
#define MCU_ONESHOT_ISR __helper__(TIM, ONESHOT_TIMER, _IRQHandler)
#define MCU_ONESHOT_IRQ __helper__(TIM, ONESHOT_TIMER, _IRQn)
#endif</v>
      </c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 t="s">
        <v>481</v>
      </c>
      <c r="B201" s="6" t="s">
        <v>483</v>
      </c>
      <c r="C201" s="6" t="s">
        <v>484</v>
      </c>
      <c r="D201" s="6" t="s">
        <v>482</v>
      </c>
      <c r="E201" s="6" t="s">
        <v>511</v>
      </c>
      <c r="F201" s="6" t="s">
        <v>632</v>
      </c>
      <c r="G201" s="6"/>
      <c r="H201" s="6"/>
      <c r="I201" s="6"/>
    </row>
    <row r="202" spans="1:9" ht="15" customHeight="1" x14ac:dyDescent="0.25">
      <c r="A202" s="6">
        <v>2</v>
      </c>
      <c r="B202" s="6" t="s">
        <v>105</v>
      </c>
      <c r="C202" s="6" t="s">
        <v>137</v>
      </c>
      <c r="D202" s="6">
        <v>1</v>
      </c>
      <c r="E202" s="6" t="str">
        <f>"#if ("&amp;$E$201&amp;"_PORT == "&amp;A202&amp;") &amp;&amp; ("&amp;B202&amp;"_PIN == STM32IO_"&amp;C202&amp;")
#define "&amp;$E$201&amp;"_"&amp;B202&amp;"_AFIO "&amp;D202&amp;"
#endif"</f>
        <v>#if (UART_PORT == 2) &amp;&amp; (TX_PIN == STM32IO_A2)
#define UART_TX_AFIO 1
#endif</v>
      </c>
      <c r="F202" s="6" t="str">
        <f>"#if ("&amp;$F$201&amp;"_PORT == "&amp;A202&amp;") &amp;&amp; ("&amp;B202&amp;"2_PIN == STM32IO_"&amp;C202&amp;")
#define "&amp;$F$201&amp;"_"&amp;B202&amp;"_AFIO "&amp;D202&amp;"
#endif"</f>
        <v>#if (UART2_PORT == 2) &amp;&amp; (TX2_PIN == STM32IO_A2)
#define UART2_TX_AFIO 1
#endif</v>
      </c>
      <c r="G202" s="6"/>
      <c r="H202" s="6"/>
      <c r="I202" s="6"/>
    </row>
    <row r="203" spans="1:9" ht="15" customHeight="1" x14ac:dyDescent="0.25">
      <c r="A203" s="6">
        <v>2</v>
      </c>
      <c r="B203" s="6" t="s">
        <v>106</v>
      </c>
      <c r="C203" s="6" t="s">
        <v>138</v>
      </c>
      <c r="D203" s="6">
        <v>1</v>
      </c>
      <c r="E203" s="6" t="str">
        <f t="shared" ref="E203:E247" si="29">"#if ("&amp;$E$201&amp;"_PORT == "&amp;A203&amp;") &amp;&amp; ("&amp;B203&amp;"_PIN == STM32IO_"&amp;C203&amp;")
#define "&amp;$E$201&amp;"_"&amp;B203&amp;"_AFIO "&amp;D203&amp;"
#endif"</f>
        <v>#if (UART_PORT == 2) &amp;&amp; (RX_PIN == STM32IO_A3)
#define UART_RX_AFIO 1
#endif</v>
      </c>
      <c r="F203" s="6" t="str">
        <f t="shared" ref="F203:F247" si="30">"#if ("&amp;$F$201&amp;"_PORT == "&amp;A203&amp;") &amp;&amp; ("&amp;B203&amp;"2_PIN == STM32IO_"&amp;C203&amp;")
#define "&amp;$F$201&amp;"_"&amp;B203&amp;"_AFIO "&amp;D203&amp;"
#endif"</f>
        <v>#if (UART2_PORT == 2) &amp;&amp; (RX2_PIN == STM32IO_A3)
#define UART2_RX_AFIO 1
#endif</v>
      </c>
      <c r="G203" s="6"/>
      <c r="H203" s="6"/>
      <c r="I203" s="6"/>
    </row>
    <row r="204" spans="1:9" ht="15" customHeight="1" x14ac:dyDescent="0.25">
      <c r="A204" s="6">
        <v>1</v>
      </c>
      <c r="B204" s="6" t="s">
        <v>105</v>
      </c>
      <c r="C204" s="6" t="s">
        <v>132</v>
      </c>
      <c r="D204" s="6">
        <v>1</v>
      </c>
      <c r="E204" s="6" t="str">
        <f t="shared" si="29"/>
        <v>#if (UART_PORT == 1) &amp;&amp; (TX_PIN == STM32IO_A9)
#define UART_TX_AFIO 1
#endif</v>
      </c>
      <c r="F204" s="6" t="str">
        <f t="shared" si="30"/>
        <v>#if (UART2_PORT == 1) &amp;&amp; (TX2_PIN == STM32IO_A9)
#define UART2_TX_AFIO 1
#endif</v>
      </c>
      <c r="G204" s="6"/>
      <c r="H204" s="6"/>
      <c r="I204" s="6"/>
    </row>
    <row r="205" spans="1:9" ht="15" customHeight="1" x14ac:dyDescent="0.25">
      <c r="A205" s="6">
        <v>1</v>
      </c>
      <c r="B205" s="6" t="s">
        <v>106</v>
      </c>
      <c r="C205" s="6" t="s">
        <v>133</v>
      </c>
      <c r="D205" s="6">
        <v>1</v>
      </c>
      <c r="E205" s="6" t="str">
        <f t="shared" si="29"/>
        <v>#if (UART_PORT == 1) &amp;&amp; (RX_PIN == STM32IO_A10)
#define UART_RX_AFIO 1
#endif</v>
      </c>
      <c r="F205" s="6" t="str">
        <f t="shared" si="30"/>
        <v>#if (UART2_PORT == 1) &amp;&amp; (RX2_PIN == STM32IO_A10)
#define UART2_RX_AFIO 1
#endif</v>
      </c>
      <c r="G205" s="6"/>
      <c r="H205" s="6"/>
      <c r="I205" s="6"/>
    </row>
    <row r="206" spans="1:9" ht="15" customHeight="1" x14ac:dyDescent="0.25">
      <c r="A206" s="6">
        <v>2</v>
      </c>
      <c r="B206" s="6" t="s">
        <v>105</v>
      </c>
      <c r="C206" s="6" t="s">
        <v>485</v>
      </c>
      <c r="D206" s="6">
        <v>1</v>
      </c>
      <c r="E206" s="6" t="str">
        <f t="shared" si="29"/>
        <v>#if (UART_PORT == 2) &amp;&amp; (TX_PIN == STM32IO_A14)
#define UART_TX_AFIO 1
#endif</v>
      </c>
      <c r="F206" s="6" t="str">
        <f t="shared" si="30"/>
        <v>#if (UART2_PORT == 2) &amp;&amp; (TX2_PIN == STM32IO_A14)
#define UART2_TX_AFIO 1
#endif</v>
      </c>
      <c r="G206" s="6"/>
      <c r="H206" s="6"/>
      <c r="I206" s="6"/>
    </row>
    <row r="207" spans="1:9" ht="15" customHeight="1" x14ac:dyDescent="0.25">
      <c r="A207" s="6">
        <v>2</v>
      </c>
      <c r="B207" s="6" t="s">
        <v>106</v>
      </c>
      <c r="C207" s="6" t="s">
        <v>486</v>
      </c>
      <c r="D207" s="6">
        <v>1</v>
      </c>
      <c r="E207" s="6" t="str">
        <f t="shared" si="29"/>
        <v>#if (UART_PORT == 2) &amp;&amp; (RX_PIN == STM32IO_A15)
#define UART_RX_AFIO 1
#endif</v>
      </c>
      <c r="F207" s="6" t="str">
        <f t="shared" si="30"/>
        <v>#if (UART2_PORT == 2) &amp;&amp; (RX2_PIN == STM32IO_A15)
#define UART2_RX_AFIO 1
#endif</v>
      </c>
      <c r="G207" s="6"/>
      <c r="H207" s="6"/>
      <c r="I207" s="6"/>
    </row>
    <row r="208" spans="1:9" ht="15" customHeight="1" x14ac:dyDescent="0.25">
      <c r="A208" s="6">
        <v>4</v>
      </c>
      <c r="B208" s="6" t="s">
        <v>105</v>
      </c>
      <c r="C208" s="6" t="s">
        <v>487</v>
      </c>
      <c r="D208" s="6">
        <v>4</v>
      </c>
      <c r="E208" s="6" t="str">
        <f t="shared" si="29"/>
        <v>#if (UART_PORT == 4) &amp;&amp; (TX_PIN == STM32IO_A0)
#define UART_TX_AFIO 4
#endif</v>
      </c>
      <c r="F208" s="6" t="str">
        <f t="shared" si="30"/>
        <v>#if (UART2_PORT == 4) &amp;&amp; (TX2_PIN == STM32IO_A0)
#define UART2_TX_AFIO 4
#endif</v>
      </c>
      <c r="G208" s="6"/>
      <c r="H208" s="6"/>
      <c r="I208" s="6"/>
    </row>
    <row r="209" spans="1:9" ht="15" customHeight="1" x14ac:dyDescent="0.25">
      <c r="A209" s="6">
        <v>4</v>
      </c>
      <c r="B209" s="6" t="s">
        <v>106</v>
      </c>
      <c r="C209" s="6" t="s">
        <v>488</v>
      </c>
      <c r="D209" s="6">
        <v>4</v>
      </c>
      <c r="E209" s="6" t="str">
        <f t="shared" si="29"/>
        <v>#if (UART_PORT == 4) &amp;&amp; (RX_PIN == STM32IO_A1)
#define UART_RX_AFIO 4
#endif</v>
      </c>
      <c r="F209" s="6" t="str">
        <f t="shared" si="30"/>
        <v>#if (UART2_PORT == 4) &amp;&amp; (RX2_PIN == STM32IO_A1)
#define UART2_RX_AFIO 4
#endif</v>
      </c>
      <c r="G209" s="6"/>
      <c r="H209" s="6"/>
      <c r="I209" s="6"/>
    </row>
    <row r="210" spans="1:9" ht="15" customHeight="1" x14ac:dyDescent="0.25">
      <c r="A210" s="6">
        <v>5</v>
      </c>
      <c r="B210" s="6" t="s">
        <v>105</v>
      </c>
      <c r="C210" s="6" t="s">
        <v>489</v>
      </c>
      <c r="D210" s="6">
        <v>5</v>
      </c>
      <c r="E210" s="6" t="str">
        <f t="shared" si="29"/>
        <v>#if (UART_PORT == 5) &amp;&amp; (TX_PIN == STM32IO_A4)
#define UART_TX_AFIO 5
#endif</v>
      </c>
      <c r="F210" s="6" t="str">
        <f t="shared" si="30"/>
        <v>#if (UART2_PORT == 5) &amp;&amp; (TX2_PIN == STM32IO_A4)
#define UART2_TX_AFIO 5
#endif</v>
      </c>
      <c r="G210" s="6"/>
      <c r="H210" s="6"/>
      <c r="I210" s="6"/>
    </row>
    <row r="211" spans="1:9" ht="15" customHeight="1" x14ac:dyDescent="0.25">
      <c r="A211" s="6">
        <v>5</v>
      </c>
      <c r="B211" s="6" t="s">
        <v>106</v>
      </c>
      <c r="C211" s="6" t="s">
        <v>490</v>
      </c>
      <c r="D211" s="6">
        <v>5</v>
      </c>
      <c r="E211" s="6" t="str">
        <f t="shared" si="29"/>
        <v>#if (UART_PORT == 5) &amp;&amp; (RX_PIN == STM32IO_A5)
#define UART_RX_AFIO 5
#endif</v>
      </c>
      <c r="F211" s="6" t="str">
        <f t="shared" si="30"/>
        <v>#if (UART2_PORT == 5) &amp;&amp; (RX2_PIN == STM32IO_A5)
#define UART2_RX_AFIO 5
#endif</v>
      </c>
      <c r="G211" s="6"/>
      <c r="H211" s="6"/>
      <c r="I211" s="6"/>
    </row>
    <row r="212" spans="1:9" ht="15" customHeight="1" x14ac:dyDescent="0.25">
      <c r="A212" s="6">
        <v>1</v>
      </c>
      <c r="B212" s="6" t="s">
        <v>105</v>
      </c>
      <c r="C212" s="6" t="s">
        <v>135</v>
      </c>
      <c r="D212" s="6">
        <v>0</v>
      </c>
      <c r="E212" s="6" t="str">
        <f t="shared" si="29"/>
        <v>#if (UART_PORT == 1) &amp;&amp; (TX_PIN == STM32IO_B6)
#define UART_TX_AFIO 0
#endif</v>
      </c>
      <c r="F212" s="6" t="str">
        <f t="shared" si="30"/>
        <v>#if (UART2_PORT == 1) &amp;&amp; (TX2_PIN == STM32IO_B6)
#define UART2_TX_AFIO 0
#endif</v>
      </c>
      <c r="G212" s="6"/>
      <c r="H212" s="6"/>
      <c r="I212" s="6"/>
    </row>
    <row r="213" spans="1:9" ht="15" customHeight="1" x14ac:dyDescent="0.25">
      <c r="A213" s="6">
        <v>1</v>
      </c>
      <c r="B213" s="6" t="s">
        <v>106</v>
      </c>
      <c r="C213" s="6" t="s">
        <v>136</v>
      </c>
      <c r="D213" s="6">
        <v>0</v>
      </c>
      <c r="E213" s="6" t="str">
        <f t="shared" si="29"/>
        <v>#if (UART_PORT == 1) &amp;&amp; (RX_PIN == STM32IO_B7)
#define UART_RX_AFIO 0
#endif</v>
      </c>
      <c r="F213" s="6" t="str">
        <f t="shared" si="30"/>
        <v>#if (UART2_PORT == 1) &amp;&amp; (RX2_PIN == STM32IO_B7)
#define UART2_RX_AFIO 0
#endif</v>
      </c>
      <c r="G213" s="6"/>
      <c r="H213" s="6"/>
      <c r="I213" s="6"/>
    </row>
    <row r="214" spans="1:9" ht="15" customHeight="1" x14ac:dyDescent="0.25">
      <c r="A214" s="6">
        <v>5</v>
      </c>
      <c r="B214" s="6" t="s">
        <v>105</v>
      </c>
      <c r="C214" s="6" t="s">
        <v>491</v>
      </c>
      <c r="D214" s="6">
        <v>4</v>
      </c>
      <c r="E214" s="6" t="str">
        <f t="shared" si="29"/>
        <v>#if (UART_PORT == 5) &amp;&amp; (TX_PIN == STM32IO_B3)
#define UART_TX_AFIO 4
#endif</v>
      </c>
      <c r="F214" s="6" t="str">
        <f t="shared" si="30"/>
        <v>#if (UART2_PORT == 5) &amp;&amp; (TX2_PIN == STM32IO_B3)
#define UART2_TX_AFIO 4
#endif</v>
      </c>
      <c r="G214" s="6"/>
      <c r="H214" s="6"/>
      <c r="I214" s="6"/>
    </row>
    <row r="215" spans="1:9" ht="15" customHeight="1" x14ac:dyDescent="0.25">
      <c r="A215" s="6">
        <v>5</v>
      </c>
      <c r="B215" s="6" t="s">
        <v>106</v>
      </c>
      <c r="C215" s="6" t="s">
        <v>492</v>
      </c>
      <c r="D215" s="6">
        <v>4</v>
      </c>
      <c r="E215" s="6" t="str">
        <f t="shared" si="29"/>
        <v>#if (UART_PORT == 5) &amp;&amp; (RX_PIN == STM32IO_B4)
#define UART_RX_AFIO 4
#endif</v>
      </c>
      <c r="F215" s="6" t="str">
        <f t="shared" si="30"/>
        <v>#if (UART2_PORT == 5) &amp;&amp; (RX2_PIN == STM32IO_B4)
#define UART2_RX_AFIO 4
#endif</v>
      </c>
      <c r="G215" s="6"/>
      <c r="H215" s="6"/>
      <c r="I215" s="6"/>
    </row>
    <row r="216" spans="1:9" ht="15" customHeight="1" x14ac:dyDescent="0.25">
      <c r="A216" s="6">
        <v>3</v>
      </c>
      <c r="B216" s="6" t="s">
        <v>105</v>
      </c>
      <c r="C216" s="6" t="s">
        <v>143</v>
      </c>
      <c r="D216" s="6">
        <v>4</v>
      </c>
      <c r="E216" s="6" t="str">
        <f t="shared" si="29"/>
        <v>#if (UART_PORT == 3) &amp;&amp; (TX_PIN == STM32IO_B10)
#define UART_TX_AFIO 4
#endif</v>
      </c>
      <c r="F216" s="6" t="str">
        <f t="shared" si="30"/>
        <v>#if (UART2_PORT == 3) &amp;&amp; (TX2_PIN == STM32IO_B10)
#define UART2_TX_AFIO 4
#endif</v>
      </c>
      <c r="G216" s="6"/>
      <c r="H216" s="6"/>
      <c r="I216" s="6"/>
    </row>
    <row r="217" spans="1:9" ht="15" customHeight="1" x14ac:dyDescent="0.25">
      <c r="A217" s="6">
        <v>3</v>
      </c>
      <c r="B217" s="6" t="s">
        <v>106</v>
      </c>
      <c r="C217" s="6" t="s">
        <v>144</v>
      </c>
      <c r="D217" s="6">
        <v>4</v>
      </c>
      <c r="E217" s="6" t="str">
        <f t="shared" si="29"/>
        <v>#if (UART_PORT == 3) &amp;&amp; (RX_PIN == STM32IO_B11)
#define UART_RX_AFIO 4
#endif</v>
      </c>
      <c r="F217" s="6" t="str">
        <f t="shared" si="30"/>
        <v>#if (UART2_PORT == 3) &amp;&amp; (RX2_PIN == STM32IO_B11)
#define UART2_RX_AFIO 4
#endif</v>
      </c>
      <c r="G217" s="6"/>
      <c r="H217" s="6"/>
      <c r="I217" s="6"/>
    </row>
    <row r="218" spans="1:9" ht="15" customHeight="1" x14ac:dyDescent="0.25">
      <c r="A218" s="6">
        <v>4</v>
      </c>
      <c r="B218" s="6" t="s">
        <v>105</v>
      </c>
      <c r="C218" s="6" t="s">
        <v>146</v>
      </c>
      <c r="D218" s="6">
        <v>0</v>
      </c>
      <c r="E218" s="6" t="str">
        <f t="shared" si="29"/>
        <v>#if (UART_PORT == 4) &amp;&amp; (TX_PIN == STM32IO_C10)
#define UART_TX_AFIO 0
#endif</v>
      </c>
      <c r="F218" s="6" t="str">
        <f t="shared" si="30"/>
        <v>#if (UART2_PORT == 4) &amp;&amp; (TX2_PIN == STM32IO_C10)
#define UART2_TX_AFIO 0
#endif</v>
      </c>
      <c r="G218" s="6"/>
      <c r="H218" s="6"/>
      <c r="I218" s="6"/>
    </row>
    <row r="219" spans="1:9" ht="15" customHeight="1" x14ac:dyDescent="0.25">
      <c r="A219" s="6">
        <v>4</v>
      </c>
      <c r="B219" s="6" t="s">
        <v>106</v>
      </c>
      <c r="C219" s="6" t="s">
        <v>147</v>
      </c>
      <c r="D219" s="6">
        <v>0</v>
      </c>
      <c r="E219" s="6" t="str">
        <f t="shared" si="29"/>
        <v>#if (UART_PORT == 4) &amp;&amp; (RX_PIN == STM32IO_C11)
#define UART_RX_AFIO 0
#endif</v>
      </c>
      <c r="F219" s="6" t="str">
        <f t="shared" si="30"/>
        <v>#if (UART2_PORT == 4) &amp;&amp; (RX2_PIN == STM32IO_C11)
#define UART2_RX_AFIO 0
#endif</v>
      </c>
      <c r="G219" s="6"/>
      <c r="H219" s="6"/>
      <c r="I219" s="6"/>
    </row>
    <row r="220" spans="1:9" ht="15" customHeight="1" x14ac:dyDescent="0.25">
      <c r="A220" s="6">
        <v>7</v>
      </c>
      <c r="B220" s="6" t="s">
        <v>105</v>
      </c>
      <c r="C220" s="6" t="s">
        <v>493</v>
      </c>
      <c r="D220" s="6">
        <v>1</v>
      </c>
      <c r="E220" s="6" t="str">
        <f t="shared" si="29"/>
        <v>#if (UART_PORT == 7) &amp;&amp; (TX_PIN == STM32IO_C0)
#define UART_TX_AFIO 1
#endif</v>
      </c>
      <c r="F220" s="6" t="str">
        <f t="shared" si="30"/>
        <v>#if (UART2_PORT == 7) &amp;&amp; (TX2_PIN == STM32IO_C0)
#define UART2_TX_AFIO 1
#endif</v>
      </c>
      <c r="G220" s="6"/>
      <c r="H220" s="6"/>
      <c r="I220" s="6"/>
    </row>
    <row r="221" spans="1:9" ht="15" customHeight="1" x14ac:dyDescent="0.25">
      <c r="A221" s="6">
        <v>7</v>
      </c>
      <c r="B221" s="6" t="s">
        <v>106</v>
      </c>
      <c r="C221" s="6" t="s">
        <v>494</v>
      </c>
      <c r="D221" s="6">
        <v>1</v>
      </c>
      <c r="E221" s="6" t="str">
        <f t="shared" si="29"/>
        <v>#if (UART_PORT == 7) &amp;&amp; (RX_PIN == STM32IO_C1)
#define UART_RX_AFIO 1
#endif</v>
      </c>
      <c r="F221" s="6" t="str">
        <f t="shared" si="30"/>
        <v>#if (UART2_PORT == 7) &amp;&amp; (RX2_PIN == STM32IO_C1)
#define UART2_RX_AFIO 1
#endif</v>
      </c>
      <c r="G221" s="6"/>
      <c r="H221" s="6"/>
      <c r="I221" s="6"/>
    </row>
    <row r="222" spans="1:9" ht="15" customHeight="1" x14ac:dyDescent="0.25">
      <c r="A222" s="6">
        <v>7</v>
      </c>
      <c r="B222" s="6" t="s">
        <v>105</v>
      </c>
      <c r="C222" s="6" t="s">
        <v>495</v>
      </c>
      <c r="D222" s="6">
        <v>1</v>
      </c>
      <c r="E222" s="6" t="str">
        <f t="shared" si="29"/>
        <v>#if (UART_PORT == 7) &amp;&amp; (TX_PIN == STM32IO_C6)
#define UART_TX_AFIO 1
#endif</v>
      </c>
      <c r="F222" s="6" t="str">
        <f t="shared" si="30"/>
        <v>#if (UART2_PORT == 7) &amp;&amp; (TX2_PIN == STM32IO_C6)
#define UART2_TX_AFIO 1
#endif</v>
      </c>
      <c r="G222" s="6"/>
      <c r="H222" s="6"/>
      <c r="I222" s="6"/>
    </row>
    <row r="223" spans="1:9" ht="15" customHeight="1" x14ac:dyDescent="0.25">
      <c r="A223" s="6">
        <v>7</v>
      </c>
      <c r="B223" s="6" t="s">
        <v>106</v>
      </c>
      <c r="C223" s="6" t="s">
        <v>496</v>
      </c>
      <c r="D223" s="6">
        <v>1</v>
      </c>
      <c r="E223" s="6" t="str">
        <f t="shared" si="29"/>
        <v>#if (UART_PORT == 7) &amp;&amp; (RX_PIN == STM32IO_C7)
#define UART_RX_AFIO 1
#endif</v>
      </c>
      <c r="F223" s="6" t="str">
        <f t="shared" si="30"/>
        <v>#if (UART2_PORT == 7) &amp;&amp; (RX2_PIN == STM32IO_C7)
#define UART2_RX_AFIO 1
#endif</v>
      </c>
      <c r="G223" s="6"/>
      <c r="H223" s="6"/>
      <c r="I223" s="6"/>
    </row>
    <row r="224" spans="1:9" ht="15" customHeight="1" x14ac:dyDescent="0.25">
      <c r="A224" s="6">
        <v>3</v>
      </c>
      <c r="B224" s="6" t="s">
        <v>105</v>
      </c>
      <c r="C224" s="6" t="s">
        <v>497</v>
      </c>
      <c r="D224" s="6">
        <v>1</v>
      </c>
      <c r="E224" s="6" t="str">
        <f t="shared" si="29"/>
        <v>#if (UART_PORT == 3) &amp;&amp; (TX_PIN == STM32IO_C4)
#define UART_TX_AFIO 1
#endif</v>
      </c>
      <c r="F224" s="6" t="str">
        <f t="shared" si="30"/>
        <v>#if (UART2_PORT == 3) &amp;&amp; (TX2_PIN == STM32IO_C4)
#define UART2_TX_AFIO 1
#endif</v>
      </c>
      <c r="G224" s="6"/>
      <c r="H224" s="6"/>
      <c r="I224" s="6"/>
    </row>
    <row r="225" spans="1:9" ht="15" customHeight="1" x14ac:dyDescent="0.25">
      <c r="A225" s="6">
        <v>3</v>
      </c>
      <c r="B225" s="6" t="s">
        <v>106</v>
      </c>
      <c r="C225" s="6" t="s">
        <v>498</v>
      </c>
      <c r="D225" s="6">
        <v>1</v>
      </c>
      <c r="E225" s="6" t="str">
        <f t="shared" si="29"/>
        <v>#if (UART_PORT == 3) &amp;&amp; (RX_PIN == STM32IO_C5)
#define UART_RX_AFIO 1
#endif</v>
      </c>
      <c r="F225" s="6" t="str">
        <f t="shared" si="30"/>
        <v>#if (UART2_PORT == 3) &amp;&amp; (RX2_PIN == STM32IO_C5)
#define UART2_RX_AFIO 1
#endif</v>
      </c>
      <c r="G225" s="6"/>
      <c r="H225" s="6"/>
      <c r="I225" s="6"/>
    </row>
    <row r="226" spans="1:9" ht="15" customHeight="1" x14ac:dyDescent="0.25">
      <c r="A226" s="6">
        <v>3</v>
      </c>
      <c r="B226" s="6" t="s">
        <v>105</v>
      </c>
      <c r="C226" s="6" t="s">
        <v>146</v>
      </c>
      <c r="D226" s="6">
        <v>1</v>
      </c>
      <c r="E226" s="6" t="str">
        <f t="shared" si="29"/>
        <v>#if (UART_PORT == 3) &amp;&amp; (TX_PIN == STM32IO_C10)
#define UART_TX_AFIO 1
#endif</v>
      </c>
      <c r="F226" s="6" t="str">
        <f t="shared" si="30"/>
        <v>#if (UART2_PORT == 3) &amp;&amp; (TX2_PIN == STM32IO_C10)
#define UART2_TX_AFIO 1
#endif</v>
      </c>
      <c r="G226" s="6"/>
      <c r="H226" s="6"/>
      <c r="I226" s="6"/>
    </row>
    <row r="227" spans="1:9" ht="15" customHeight="1" x14ac:dyDescent="0.25">
      <c r="A227" s="6">
        <v>3</v>
      </c>
      <c r="B227" s="6" t="s">
        <v>106</v>
      </c>
      <c r="C227" s="6" t="s">
        <v>147</v>
      </c>
      <c r="D227" s="6">
        <v>1</v>
      </c>
      <c r="E227" s="6" t="str">
        <f t="shared" si="29"/>
        <v>#if (UART_PORT == 3) &amp;&amp; (RX_PIN == STM32IO_C11)
#define UART_RX_AFIO 1
#endif</v>
      </c>
      <c r="F227" s="6" t="str">
        <f t="shared" si="30"/>
        <v>#if (UART2_PORT == 3) &amp;&amp; (RX2_PIN == STM32IO_C11)
#define UART2_RX_AFIO 1
#endif</v>
      </c>
      <c r="G227" s="6"/>
      <c r="H227" s="6"/>
      <c r="I227" s="6"/>
    </row>
    <row r="228" spans="1:9" ht="15" customHeight="1" x14ac:dyDescent="0.25">
      <c r="A228" s="6">
        <v>8</v>
      </c>
      <c r="B228" s="6" t="s">
        <v>105</v>
      </c>
      <c r="C228" s="6" t="s">
        <v>499</v>
      </c>
      <c r="D228" s="6">
        <v>1</v>
      </c>
      <c r="E228" s="6" t="str">
        <f t="shared" si="29"/>
        <v>#if (UART_PORT == 8) &amp;&amp; (TX_PIN == STM32IO_C8)
#define UART_TX_AFIO 1
#endif</v>
      </c>
      <c r="F228" s="6" t="str">
        <f t="shared" si="30"/>
        <v>#if (UART2_PORT == 8) &amp;&amp; (TX2_PIN == STM32IO_C8)
#define UART2_TX_AFIO 1
#endif</v>
      </c>
      <c r="G228" s="6"/>
      <c r="H228" s="6"/>
      <c r="I228" s="6"/>
    </row>
    <row r="229" spans="1:9" ht="15" customHeight="1" x14ac:dyDescent="0.25">
      <c r="A229" s="6">
        <v>8</v>
      </c>
      <c r="B229" s="6" t="s">
        <v>106</v>
      </c>
      <c r="C229" s="6" t="s">
        <v>500</v>
      </c>
      <c r="D229" s="6">
        <v>1</v>
      </c>
      <c r="E229" s="6" t="str">
        <f t="shared" si="29"/>
        <v>#if (UART_PORT == 8) &amp;&amp; (RX_PIN == STM32IO_C9)
#define UART_RX_AFIO 1
#endif</v>
      </c>
      <c r="F229" s="6" t="str">
        <f t="shared" si="30"/>
        <v>#if (UART2_PORT == 8) &amp;&amp; (RX2_PIN == STM32IO_C9)
#define UART2_RX_AFIO 1
#endif</v>
      </c>
      <c r="G229" s="6"/>
      <c r="H229" s="6"/>
      <c r="I229" s="6"/>
    </row>
    <row r="230" spans="1:9" ht="15" customHeight="1" x14ac:dyDescent="0.25">
      <c r="A230" s="6">
        <v>6</v>
      </c>
      <c r="B230" s="6" t="s">
        <v>105</v>
      </c>
      <c r="C230" s="6" t="s">
        <v>493</v>
      </c>
      <c r="D230" s="6">
        <v>2</v>
      </c>
      <c r="E230" s="6" t="str">
        <f t="shared" si="29"/>
        <v>#if (UART_PORT == 6) &amp;&amp; (TX_PIN == STM32IO_C0)
#define UART_TX_AFIO 2
#endif</v>
      </c>
      <c r="F230" s="6" t="str">
        <f t="shared" si="30"/>
        <v>#if (UART2_PORT == 6) &amp;&amp; (TX2_PIN == STM32IO_C0)
#define UART2_TX_AFIO 2
#endif</v>
      </c>
      <c r="G230" s="6"/>
      <c r="H230" s="6"/>
      <c r="I230" s="6"/>
    </row>
    <row r="231" spans="1:9" ht="15" customHeight="1" x14ac:dyDescent="0.25">
      <c r="A231" s="6">
        <v>6</v>
      </c>
      <c r="B231" s="6" t="s">
        <v>106</v>
      </c>
      <c r="C231" s="6" t="s">
        <v>494</v>
      </c>
      <c r="D231" s="6">
        <v>2</v>
      </c>
      <c r="E231" s="6" t="str">
        <f t="shared" si="29"/>
        <v>#if (UART_PORT == 6) &amp;&amp; (RX_PIN == STM32IO_C1)
#define UART_RX_AFIO 2
#endif</v>
      </c>
      <c r="F231" s="6" t="str">
        <f t="shared" si="30"/>
        <v>#if (UART2_PORT == 6) &amp;&amp; (RX2_PIN == STM32IO_C1)
#define UART2_RX_AFIO 2
#endif</v>
      </c>
      <c r="G231" s="6"/>
      <c r="H231" s="6"/>
      <c r="I231" s="6"/>
    </row>
    <row r="232" spans="1:9" ht="15" customHeight="1" x14ac:dyDescent="0.25">
      <c r="A232" s="6">
        <v>8</v>
      </c>
      <c r="B232" s="6" t="s">
        <v>105</v>
      </c>
      <c r="C232" s="6" t="s">
        <v>501</v>
      </c>
      <c r="D232" s="6">
        <v>2</v>
      </c>
      <c r="E232" s="6" t="str">
        <f t="shared" si="29"/>
        <v>#if (UART_PORT == 8) &amp;&amp; (TX_PIN == STM32IO_C2)
#define UART_TX_AFIO 2
#endif</v>
      </c>
      <c r="F232" s="6" t="str">
        <f t="shared" si="30"/>
        <v>#if (UART2_PORT == 8) &amp;&amp; (TX2_PIN == STM32IO_C2)
#define UART2_TX_AFIO 2
#endif</v>
      </c>
      <c r="G232" s="6"/>
      <c r="H232" s="6"/>
      <c r="I232" s="6"/>
    </row>
    <row r="233" spans="1:9" ht="15" customHeight="1" x14ac:dyDescent="0.25">
      <c r="A233" s="6">
        <v>8</v>
      </c>
      <c r="B233" s="6" t="s">
        <v>106</v>
      </c>
      <c r="C233" s="6" t="s">
        <v>502</v>
      </c>
      <c r="D233" s="6">
        <v>2</v>
      </c>
      <c r="E233" s="6" t="str">
        <f t="shared" si="29"/>
        <v>#if (UART_PORT == 8) &amp;&amp; (RX_PIN == STM32IO_C3)
#define UART_RX_AFIO 2
#endif</v>
      </c>
      <c r="F233" s="6" t="str">
        <f t="shared" si="30"/>
        <v>#if (UART2_PORT == 8) &amp;&amp; (RX2_PIN == STM32IO_C3)
#define UART2_RX_AFIO 2
#endif</v>
      </c>
      <c r="G233" s="6"/>
      <c r="H233" s="6"/>
      <c r="I233" s="6"/>
    </row>
    <row r="234" spans="1:9" ht="15" customHeight="1" x14ac:dyDescent="0.25">
      <c r="A234" s="6">
        <v>5</v>
      </c>
      <c r="B234" s="6" t="s">
        <v>105</v>
      </c>
      <c r="C234" s="6" t="s">
        <v>152</v>
      </c>
      <c r="D234" s="6">
        <v>2</v>
      </c>
      <c r="E234" s="6" t="str">
        <f t="shared" si="29"/>
        <v>#if (UART_PORT == 5) &amp;&amp; (TX_PIN == STM32IO_C12)
#define UART_TX_AFIO 2
#endif</v>
      </c>
      <c r="F234" s="6" t="str">
        <f t="shared" si="30"/>
        <v>#if (UART2_PORT == 5) &amp;&amp; (TX2_PIN == STM32IO_C12)
#define UART2_TX_AFIO 2
#endif</v>
      </c>
      <c r="G234" s="6"/>
      <c r="H234" s="6"/>
      <c r="I234" s="6"/>
    </row>
    <row r="235" spans="1:9" ht="15" customHeight="1" x14ac:dyDescent="0.25">
      <c r="A235" s="6">
        <v>5</v>
      </c>
      <c r="B235" s="6" t="s">
        <v>106</v>
      </c>
      <c r="C235" s="6" t="s">
        <v>153</v>
      </c>
      <c r="D235" s="6">
        <v>2</v>
      </c>
      <c r="E235" s="6" t="str">
        <f t="shared" si="29"/>
        <v>#if (UART_PORT == 5) &amp;&amp; (RX_PIN == STM32IO_D2)
#define UART_RX_AFIO 2
#endif</v>
      </c>
      <c r="F235" s="6" t="str">
        <f t="shared" si="30"/>
        <v>#if (UART2_PORT == 5) &amp;&amp; (RX2_PIN == STM32IO_D2)
#define UART2_RX_AFIO 2
#endif</v>
      </c>
      <c r="G235" s="6"/>
      <c r="H235" s="6"/>
      <c r="I235" s="6"/>
    </row>
    <row r="236" spans="1:9" ht="15" customHeight="1" x14ac:dyDescent="0.25">
      <c r="A236" s="6">
        <v>2</v>
      </c>
      <c r="B236" s="6" t="s">
        <v>105</v>
      </c>
      <c r="C236" s="6" t="s">
        <v>141</v>
      </c>
      <c r="D236" s="6">
        <v>0</v>
      </c>
      <c r="E236" s="6" t="str">
        <f t="shared" si="29"/>
        <v>#if (UART_PORT == 2) &amp;&amp; (TX_PIN == STM32IO_D5)
#define UART_TX_AFIO 0
#endif</v>
      </c>
      <c r="F236" s="6" t="str">
        <f t="shared" si="30"/>
        <v>#if (UART2_PORT == 2) &amp;&amp; (TX2_PIN == STM32IO_D5)
#define UART2_TX_AFIO 0
#endif</v>
      </c>
      <c r="G236" s="6"/>
      <c r="H236" s="6"/>
      <c r="I236" s="6"/>
    </row>
    <row r="237" spans="1:9" ht="15" customHeight="1" x14ac:dyDescent="0.25">
      <c r="A237" s="6">
        <v>2</v>
      </c>
      <c r="B237" s="6" t="s">
        <v>105</v>
      </c>
      <c r="C237" s="6" t="s">
        <v>142</v>
      </c>
      <c r="D237" s="6">
        <v>0</v>
      </c>
      <c r="E237" s="6" t="str">
        <f t="shared" si="29"/>
        <v>#if (UART_PORT == 2) &amp;&amp; (TX_PIN == STM32IO_D6)
#define UART_TX_AFIO 0
#endif</v>
      </c>
      <c r="F237" s="6" t="str">
        <f t="shared" si="30"/>
        <v>#if (UART2_PORT == 2) &amp;&amp; (TX2_PIN == STM32IO_D6)
#define UART2_TX_AFIO 0
#endif</v>
      </c>
      <c r="G237" s="6"/>
      <c r="H237" s="6"/>
      <c r="I237" s="6"/>
    </row>
    <row r="238" spans="1:9" ht="15" customHeight="1" x14ac:dyDescent="0.25">
      <c r="A238" s="6">
        <v>3</v>
      </c>
      <c r="B238" s="6" t="s">
        <v>105</v>
      </c>
      <c r="C238" s="6" t="s">
        <v>148</v>
      </c>
      <c r="D238" s="6">
        <v>0</v>
      </c>
      <c r="E238" s="6" t="str">
        <f t="shared" si="29"/>
        <v>#if (UART_PORT == 3) &amp;&amp; (TX_PIN == STM32IO_D8)
#define UART_TX_AFIO 0
#endif</v>
      </c>
      <c r="F238" s="6" t="str">
        <f t="shared" si="30"/>
        <v>#if (UART2_PORT == 3) &amp;&amp; (TX2_PIN == STM32IO_D8)
#define UART2_TX_AFIO 0
#endif</v>
      </c>
      <c r="G238" s="6"/>
      <c r="H238" s="6"/>
      <c r="I238" s="6"/>
    </row>
    <row r="239" spans="1:9" ht="15" customHeight="1" x14ac:dyDescent="0.25">
      <c r="A239" s="6">
        <v>3</v>
      </c>
      <c r="B239" s="6" t="s">
        <v>106</v>
      </c>
      <c r="C239" s="6" t="s">
        <v>149</v>
      </c>
      <c r="D239" s="6">
        <v>0</v>
      </c>
      <c r="E239" s="6" t="str">
        <f t="shared" si="29"/>
        <v>#if (UART_PORT == 3) &amp;&amp; (RX_PIN == STM32IO_D9)
#define UART_RX_AFIO 0
#endif</v>
      </c>
      <c r="F239" s="6" t="str">
        <f t="shared" si="30"/>
        <v>#if (UART2_PORT == 3) &amp;&amp; (RX2_PIN == STM32IO_D9)
#define UART2_RX_AFIO 0
#endif</v>
      </c>
      <c r="G239" s="6"/>
      <c r="H239" s="6"/>
      <c r="I239" s="6"/>
    </row>
    <row r="240" spans="1:9" ht="15" customHeight="1" x14ac:dyDescent="0.25">
      <c r="A240" s="6">
        <v>8</v>
      </c>
      <c r="B240" s="6" t="s">
        <v>105</v>
      </c>
      <c r="C240" s="6" t="s">
        <v>503</v>
      </c>
      <c r="D240" s="6">
        <v>0</v>
      </c>
      <c r="E240" s="6" t="str">
        <f t="shared" si="29"/>
        <v>#if (UART_PORT == 8) &amp;&amp; (TX_PIN == STM32IO_D13)
#define UART_TX_AFIO 0
#endif</v>
      </c>
      <c r="F240" s="6" t="str">
        <f t="shared" si="30"/>
        <v>#if (UART2_PORT == 8) &amp;&amp; (TX2_PIN == STM32IO_D13)
#define UART2_TX_AFIO 0
#endif</v>
      </c>
      <c r="G240" s="6"/>
      <c r="H240" s="6"/>
      <c r="I240" s="6"/>
    </row>
    <row r="241" spans="1:9" ht="15" customHeight="1" x14ac:dyDescent="0.25">
      <c r="A241" s="6">
        <v>8</v>
      </c>
      <c r="B241" s="6" t="s">
        <v>106</v>
      </c>
      <c r="C241" s="6" t="s">
        <v>504</v>
      </c>
      <c r="D241" s="6">
        <v>0</v>
      </c>
      <c r="E241" s="6" t="str">
        <f t="shared" si="29"/>
        <v>#if (UART_PORT == 8) &amp;&amp; (RX_PIN == STM32IO_D14)
#define UART_RX_AFIO 0
#endif</v>
      </c>
      <c r="F241" s="6" t="str">
        <f t="shared" si="30"/>
        <v>#if (UART2_PORT == 8) &amp;&amp; (RX2_PIN == STM32IO_D14)
#define UART2_RX_AFIO 0
#endif</v>
      </c>
      <c r="G241" s="6"/>
      <c r="H241" s="6"/>
      <c r="I241" s="6"/>
    </row>
    <row r="242" spans="1:9" ht="15" customHeight="1" x14ac:dyDescent="0.25">
      <c r="A242" s="6">
        <v>4</v>
      </c>
      <c r="B242" s="6" t="s">
        <v>105</v>
      </c>
      <c r="C242" s="6" t="s">
        <v>505</v>
      </c>
      <c r="D242" s="6">
        <v>2</v>
      </c>
      <c r="E242" s="6" t="str">
        <f t="shared" si="29"/>
        <v>#if (UART_PORT == 4) &amp;&amp; (TX_PIN == STM32IO_E8)
#define UART_TX_AFIO 2
#endif</v>
      </c>
      <c r="F242" s="6" t="str">
        <f t="shared" si="30"/>
        <v>#if (UART2_PORT == 4) &amp;&amp; (TX2_PIN == STM32IO_E8)
#define UART2_TX_AFIO 2
#endif</v>
      </c>
      <c r="G242" s="6"/>
      <c r="H242" s="6"/>
      <c r="I242" s="6"/>
    </row>
    <row r="243" spans="1:9" ht="15" customHeight="1" x14ac:dyDescent="0.25">
      <c r="A243" s="6">
        <v>4</v>
      </c>
      <c r="B243" s="6" t="s">
        <v>106</v>
      </c>
      <c r="C243" s="6" t="s">
        <v>506</v>
      </c>
      <c r="D243" s="6">
        <v>2</v>
      </c>
      <c r="E243" s="6" t="str">
        <f t="shared" si="29"/>
        <v>#if (UART_PORT == 4) &amp;&amp; (RX_PIN == STM32IO_E9)
#define UART_RX_AFIO 2
#endif</v>
      </c>
      <c r="F243" s="6" t="str">
        <f t="shared" si="30"/>
        <v>#if (UART2_PORT == 4) &amp;&amp; (RX2_PIN == STM32IO_E9)
#define UART2_RX_AFIO 2
#endif</v>
      </c>
      <c r="G243" s="6"/>
      <c r="H243" s="6"/>
      <c r="I243" s="6"/>
    </row>
    <row r="244" spans="1:9" ht="15" customHeight="1" x14ac:dyDescent="0.25">
      <c r="A244" s="6">
        <v>5</v>
      </c>
      <c r="B244" s="6" t="s">
        <v>105</v>
      </c>
      <c r="C244" s="6" t="s">
        <v>507</v>
      </c>
      <c r="D244" s="6">
        <v>2</v>
      </c>
      <c r="E244" s="6" t="str">
        <f t="shared" si="29"/>
        <v>#if (UART_PORT == 5) &amp;&amp; (TX_PIN == STM32IO_E10)
#define UART_TX_AFIO 2
#endif</v>
      </c>
      <c r="F244" s="6" t="str">
        <f t="shared" si="30"/>
        <v>#if (UART2_PORT == 5) &amp;&amp; (TX2_PIN == STM32IO_E10)
#define UART2_TX_AFIO 2
#endif</v>
      </c>
      <c r="G244" s="6"/>
      <c r="H244" s="6"/>
      <c r="I244" s="6"/>
    </row>
    <row r="245" spans="1:9" ht="15" customHeight="1" x14ac:dyDescent="0.25">
      <c r="A245" s="6">
        <v>5</v>
      </c>
      <c r="B245" s="6" t="s">
        <v>106</v>
      </c>
      <c r="C245" s="6" t="s">
        <v>508</v>
      </c>
      <c r="D245" s="6">
        <v>2</v>
      </c>
      <c r="E245" s="6" t="str">
        <f t="shared" si="29"/>
        <v>#if (UART_PORT == 5) &amp;&amp; (RX_PIN == STM32IO_E11)
#define UART_RX_AFIO 2
#endif</v>
      </c>
      <c r="F245" s="6" t="str">
        <f t="shared" si="30"/>
        <v>#if (UART2_PORT == 5) &amp;&amp; (RX2_PIN == STM32IO_E11)
#define UART2_RX_AFIO 2
#endif</v>
      </c>
      <c r="G245" s="6"/>
      <c r="H245" s="6"/>
      <c r="I245" s="6"/>
    </row>
    <row r="246" spans="1:9" ht="15" customHeight="1" x14ac:dyDescent="0.25">
      <c r="A246" s="6">
        <v>7</v>
      </c>
      <c r="B246" s="6" t="s">
        <v>105</v>
      </c>
      <c r="C246" s="6" t="s">
        <v>509</v>
      </c>
      <c r="D246" s="6">
        <v>1</v>
      </c>
      <c r="E246" s="6" t="str">
        <f t="shared" si="29"/>
        <v>#if (UART_PORT == 7) &amp;&amp; (TX_PIN == STM32IO_F2)
#define UART_TX_AFIO 1
#endif</v>
      </c>
      <c r="F246" s="6" t="str">
        <f t="shared" si="30"/>
        <v>#if (UART2_PORT == 7) &amp;&amp; (TX2_PIN == STM32IO_F2)
#define UART2_TX_AFIO 1
#endif</v>
      </c>
      <c r="G246" s="6"/>
      <c r="H246" s="6"/>
      <c r="I246" s="6"/>
    </row>
    <row r="247" spans="1:9" ht="15" customHeight="1" x14ac:dyDescent="0.25">
      <c r="A247" s="6">
        <v>7</v>
      </c>
      <c r="B247" s="6" t="s">
        <v>106</v>
      </c>
      <c r="C247" s="6" t="s">
        <v>510</v>
      </c>
      <c r="D247" s="6">
        <v>1</v>
      </c>
      <c r="E247" s="6" t="str">
        <f t="shared" si="29"/>
        <v>#if (UART_PORT == 7) &amp;&amp; (RX_PIN == STM32IO_F3)
#define UART_RX_AFIO 1
#endif</v>
      </c>
      <c r="F247" s="6" t="str">
        <f t="shared" si="30"/>
        <v>#if (UART2_PORT == 7) &amp;&amp; (RX2_PIN == STM32IO_F3)
#define UART2_RX_AFIO 1
#endif</v>
      </c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 t="s">
        <v>513</v>
      </c>
      <c r="F248" s="6"/>
      <c r="G248" s="6"/>
      <c r="H248" s="6"/>
      <c r="I248" s="6"/>
    </row>
    <row r="249" spans="1:9" ht="15" customHeight="1" x14ac:dyDescent="0.25">
      <c r="A249" s="6">
        <v>1</v>
      </c>
      <c r="B249" s="6" t="s">
        <v>514</v>
      </c>
      <c r="C249" s="6" t="s">
        <v>135</v>
      </c>
      <c r="D249" s="6">
        <v>1</v>
      </c>
      <c r="E249" s="6" t="str">
        <f>"#if ("&amp;$E$248&amp;"_PORT == "&amp;A249&amp;") &amp;&amp; ("&amp;B249&amp;"_PIN == STM32IO_"&amp;C249&amp;")
#define "&amp;$E$248&amp;"_"&amp;B249&amp;"_AFIO "&amp;D249&amp;"
#endif"</f>
        <v>#if (I2C_PORT == 1) &amp;&amp; (I2C_CLK_PIN == STM32IO_B6)
#define I2C_I2C_CLK_AFIO 1
#endif</v>
      </c>
      <c r="F249" s="6"/>
      <c r="G249" s="6"/>
      <c r="H249" s="6"/>
      <c r="I249" s="6"/>
    </row>
    <row r="250" spans="1:9" ht="15" customHeight="1" x14ac:dyDescent="0.25">
      <c r="A250" s="6">
        <v>1</v>
      </c>
      <c r="B250" s="6" t="s">
        <v>512</v>
      </c>
      <c r="C250" s="6" t="s">
        <v>136</v>
      </c>
      <c r="D250" s="6">
        <v>1</v>
      </c>
      <c r="E250" s="6" t="str">
        <f t="shared" ref="E250:E256" si="31">"#if ("&amp;$E$248&amp;"_PORT == "&amp;A250&amp;") &amp;&amp; ("&amp;B250&amp;"_PIN == STM32IO_"&amp;C250&amp;")
#define "&amp;$E$248&amp;"_"&amp;B250&amp;"_AFIO "&amp;D250&amp;"
#endif"</f>
        <v>#if (I2C_PORT == 1) &amp;&amp; (I2C_DATA_PIN == STM32IO_B7)
#define I2C_I2C_DATA_AFIO 1
#endif</v>
      </c>
      <c r="F250" s="6"/>
      <c r="G250" s="6"/>
      <c r="H250" s="6"/>
      <c r="I250" s="6"/>
    </row>
    <row r="251" spans="1:9" ht="15" customHeight="1" x14ac:dyDescent="0.25">
      <c r="A251" s="6">
        <v>1</v>
      </c>
      <c r="B251" s="6" t="s">
        <v>514</v>
      </c>
      <c r="C251" s="6" t="s">
        <v>515</v>
      </c>
      <c r="D251" s="6">
        <v>1</v>
      </c>
      <c r="E251" s="6" t="str">
        <f t="shared" si="31"/>
        <v>#if (I2C_PORT == 1) &amp;&amp; (I2C_CLK_PIN == STM32IO_B8)
#define I2C_I2C_CLK_AFIO 1
#endif</v>
      </c>
      <c r="F251" s="6"/>
      <c r="G251" s="6"/>
      <c r="H251" s="6"/>
      <c r="I251" s="6"/>
    </row>
    <row r="252" spans="1:9" ht="15" customHeight="1" x14ac:dyDescent="0.25">
      <c r="A252" s="6">
        <v>1</v>
      </c>
      <c r="B252" s="6" t="s">
        <v>512</v>
      </c>
      <c r="C252" s="6" t="s">
        <v>516</v>
      </c>
      <c r="D252" s="6">
        <v>1</v>
      </c>
      <c r="E252" s="6" t="str">
        <f t="shared" si="31"/>
        <v>#if (I2C_PORT == 1) &amp;&amp; (I2C_DATA_PIN == STM32IO_B9)
#define I2C_I2C_DATA_AFIO 1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514</v>
      </c>
      <c r="C253" s="6" t="s">
        <v>143</v>
      </c>
      <c r="D253" s="6">
        <v>1</v>
      </c>
      <c r="E253" s="6" t="str">
        <f t="shared" si="31"/>
        <v>#if (I2C_PORT == 2) &amp;&amp; (I2C_CLK_PIN == STM32IO_B10)
#define I2C_I2C_CLK_AFIO 1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512</v>
      </c>
      <c r="C254" s="6" t="s">
        <v>144</v>
      </c>
      <c r="D254" s="6">
        <v>1</v>
      </c>
      <c r="E254" s="6" t="str">
        <f t="shared" si="31"/>
        <v>#if (I2C_PORT == 2) &amp;&amp; (I2C_DATA_PIN == STM32IO_B11)
#define I2C_I2C_DATA_AFIO 1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514</v>
      </c>
      <c r="C255" s="6" t="s">
        <v>517</v>
      </c>
      <c r="D255" s="6">
        <v>5</v>
      </c>
      <c r="E255" s="6" t="str">
        <f t="shared" si="31"/>
        <v>#if (I2C_PORT == 2) &amp;&amp; (I2C_CLK_PIN == STM32IO_B13)
#define I2C_I2C_CLK_AFIO 5
#endif</v>
      </c>
      <c r="F255" s="6"/>
      <c r="G255" s="6"/>
      <c r="H255" s="6"/>
      <c r="I255" s="6"/>
    </row>
    <row r="256" spans="1:9" ht="15" customHeight="1" x14ac:dyDescent="0.25">
      <c r="A256" s="6">
        <v>2</v>
      </c>
      <c r="B256" s="6" t="s">
        <v>512</v>
      </c>
      <c r="C256" s="6" t="s">
        <v>518</v>
      </c>
      <c r="D256" s="6">
        <v>5</v>
      </c>
      <c r="E256" s="6" t="str">
        <f t="shared" si="31"/>
        <v>#if (I2C_PORT == 2) &amp;&amp; (I2C_DATA_PIN == STM32IO_B14)
#define I2C_I2C_DATA_AFIO 5
#endif</v>
      </c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</sheetData>
  <autoFilter ref="A201:E256" xr:uid="{2EB5B4E0-D60C-405E-A00A-D4DA80B15B4D}"/>
  <mergeCells count="2">
    <mergeCell ref="A1:C1"/>
    <mergeCell ref="F2:H2"/>
  </mergeCells>
  <phoneticPr fontId="10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088"/>
  <sheetViews>
    <sheetView topLeftCell="A86" workbookViewId="0">
      <selection activeCell="E81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54.710937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3" si="1">"#if (defined("&amp;C3&amp;"_PORT) &amp;&amp; defined("&amp;C3&amp;"_BIT))
#define "&amp;C3&amp;" "&amp;A3&amp;"
#define "&amp;C3&amp;"_APB2EN (__rccapb2gpioen__("&amp;C3&amp;"_PORT))
#define "&amp;C3&amp;"_GPIO (__gpio__("&amp;C3&amp;"_PORT))
#if ("&amp;C3&amp;"_BIT &lt; 8)
#define "&amp;C3&amp;"_CROFF "&amp;C3&amp;"_BIT
#define "&amp;C3&amp;"_CR CRL
#else
#define "&amp;C3&amp;"_CROFF ("&amp;C3&amp;"_BIT&amp;0x07)
#define "&amp;C3&amp;"_CR CRH
#endif
#define "&amp;B3&amp;" "&amp;A3&amp;"
#define "&amp;B3&amp;"_PORT "&amp;C3&amp;"_PORT
#define "&amp;B3&amp;"_BIT "&amp;C3&amp;"_BIT
#define "&amp;B3&amp;"_APB2EN "&amp;C3&amp;"_APB2EN
#define "&amp;B3&amp;"_GPIO "&amp;C3&amp;"_GPIO
#define "&amp;B3&amp;"_CR "&amp;C3&amp;"_CR
#define "&amp;B3&amp;"_CROFF "&amp;C3&amp;"_CROFF
#endif"</f>
        <v>#if (defined(STEP0_PORT) &amp;&amp; defined(STEP0_BIT))
#define STEP0 1
#define STEP0_APB2EN (__rccapb2gpioen__(STEP0_PORT))
#define STEP0_GPIO (__gpio__(STEP0_PORT))
#if (STEP0_BIT &lt; 8)
#define STEP0_CROFF STEP0_BIT
#define STEP0_CR CRL
#else
#define STEP0_CROFF (STEP0_BIT&amp;0x07)
#define STEP0_CR CRH
#endif
#define DIO1 1
#define DIO1_PORT STEP0_PORT
#define DIO1_BIT STEP0_BIT
#define DIO1_APB2EN STEP0_APB2EN
#define DIO1_GPIO STEP0_GPIO
#define DIO1_CR STEP0_CR
#define DIO1_CROFF STEP0_CROFF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STEP1_APB2EN (__rccapb2gpioen__(STEP1_PORT))
#define STEP1_GPIO (__gpio__(STEP1_PORT))
#if (STEP1_BIT &lt; 8)
#define STEP1_CROFF STEP1_BIT
#define STEP1_CR CRL
#else
#define STEP1_CROFF (STEP1_BIT&amp;0x07)
#define STEP1_CR CRH
#endif
#define DIO2 2
#define DIO2_PORT STEP1_PORT
#define DIO2_BIT STEP1_BIT
#define DIO2_APB2EN STEP1_APB2EN
#define DIO2_GPIO STEP1_GPIO
#define DIO2_CR STEP1_CR
#define DIO2_CROFF STEP1_CROFF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STEP2_APB2EN (__rccapb2gpioen__(STEP2_PORT))
#define STEP2_GPIO (__gpio__(STEP2_PORT))
#if (STEP2_BIT &lt; 8)
#define STEP2_CROFF STEP2_BIT
#define STEP2_CR CRL
#else
#define STEP2_CROFF (STEP2_BIT&amp;0x07)
#define STEP2_CR CRH
#endif
#define DIO3 3
#define DIO3_PORT STEP2_PORT
#define DIO3_BIT STEP2_BIT
#define DIO3_APB2EN STEP2_APB2EN
#define DIO3_GPIO STEP2_GPIO
#define DIO3_CR STEP2_CR
#define DIO3_CROFF STEP2_CROFF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STEP3_APB2EN (__rccapb2gpioen__(STEP3_PORT))
#define STEP3_GPIO (__gpio__(STEP3_PORT))
#if (STEP3_BIT &lt; 8)
#define STEP3_CROFF STEP3_BIT
#define STEP3_CR CRL
#else
#define STEP3_CROFF (STEP3_BIT&amp;0x07)
#define STEP3_CR CRH
#endif
#define DIO4 4
#define DIO4_PORT STEP3_PORT
#define DIO4_BIT STEP3_BIT
#define DIO4_APB2EN STEP3_APB2EN
#define DIO4_GPIO STEP3_GPIO
#define DIO4_CR STEP3_CR
#define DIO4_CROFF STEP3_CROFF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STEP4_APB2EN (__rccapb2gpioen__(STEP4_PORT))
#define STEP4_GPIO (__gpio__(STEP4_PORT))
#if (STEP4_BIT &lt; 8)
#define STEP4_CROFF STEP4_BIT
#define STEP4_CR CRL
#else
#define STEP4_CROFF (STEP4_BIT&amp;0x07)
#define STEP4_CR CRH
#endif
#define DIO5 5
#define DIO5_PORT STEP4_PORT
#define DIO5_BIT STEP4_BIT
#define DIO5_APB2EN STEP4_APB2EN
#define DIO5_GPIO STEP4_GPIO
#define DIO5_CR STEP4_CR
#define DIO5_CROFF STEP4_CROFF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STEP5_APB2EN (__rccapb2gpioen__(STEP5_PORT))
#define STEP5_GPIO (__gpio__(STEP5_PORT))
#if (STEP5_BIT &lt; 8)
#define STEP5_CROFF STEP5_BIT
#define STEP5_CR CRL
#else
#define STEP5_CROFF (STEP5_BIT&amp;0x07)
#define STEP5_CR CRH
#endif
#define DIO6 6
#define DIO6_PORT STEP5_PORT
#define DIO6_BIT STEP5_BIT
#define DIO6_APB2EN STEP5_APB2EN
#define DIO6_GPIO STEP5_GPIO
#define DIO6_CR STEP5_CR
#define DIO6_CROFF STEP5_CROFF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STEP6_APB2EN (__rccapb2gpioen__(STEP6_PORT))
#define STEP6_GPIO (__gpio__(STEP6_PORT))
#if (STEP6_BIT &lt; 8)
#define STEP6_CROFF STEP6_BIT
#define STEP6_CR CRL
#else
#define STEP6_CROFF (STEP6_BIT&amp;0x07)
#define STEP6_CR CRH
#endif
#define DIO7 7
#define DIO7_PORT STEP6_PORT
#define DIO7_BIT STEP6_BIT
#define DIO7_APB2EN STEP6_APB2EN
#define DIO7_GPIO STEP6_GPIO
#define DIO7_CR STEP6_CR
#define DIO7_CROFF STEP6_CROFF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STEP7_APB2EN (__rccapb2gpioen__(STEP7_PORT))
#define STEP7_GPIO (__gpio__(STEP7_PORT))
#if (STEP7_BIT &lt; 8)
#define STEP7_CROFF STEP7_BIT
#define STEP7_CR CRL
#else
#define STEP7_CROFF (STEP7_BIT&amp;0x07)
#define STEP7_CR CRH
#endif
#define DIO8 8
#define DIO8_PORT STEP7_PORT
#define DIO8_BIT STEP7_BIT
#define DIO8_APB2EN STEP7_APB2EN
#define DIO8_GPIO STEP7_GPIO
#define DIO8_CR STEP7_CR
#define DIO8_CROFF STEP7_CROFF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DIR0_APB2EN (__rccapb2gpioen__(DIR0_PORT))
#define DIR0_GPIO (__gpio__(DIR0_PORT))
#if (DIR0_BIT &lt; 8)
#define DIR0_CROFF DIR0_BIT
#define DIR0_CR CRL
#else
#define DIR0_CROFF (DIR0_BIT&amp;0x07)
#define DIR0_CR CRH
#endif
#define DIO9 9
#define DIO9_PORT DIR0_PORT
#define DIO9_BIT DIR0_BIT
#define DIO9_APB2EN DIR0_APB2EN
#define DIO9_GPIO DIR0_GPIO
#define DIO9_CR DIR0_CR
#define DIO9_CROFF DIR0_CROFF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DIR1_APB2EN (__rccapb2gpioen__(DIR1_PORT))
#define DIR1_GPIO (__gpio__(DIR1_PORT))
#if (DIR1_BIT &lt; 8)
#define DIR1_CROFF DIR1_BIT
#define DIR1_CR CRL
#else
#define DIR1_CROFF (DIR1_BIT&amp;0x07)
#define DIR1_CR CRH
#endif
#define DIO10 10
#define DIO10_PORT DIR1_PORT
#define DIO10_BIT DIR1_BIT
#define DIO10_APB2EN DIR1_APB2EN
#define DIO10_GPIO DIR1_GPIO
#define DIO10_CR DIR1_CR
#define DIO10_CROFF DIR1_CROFF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DIR2_APB2EN (__rccapb2gpioen__(DIR2_PORT))
#define DIR2_GPIO (__gpio__(DIR2_PORT))
#if (DIR2_BIT &lt; 8)
#define DIR2_CROFF DIR2_BIT
#define DIR2_CR CRL
#else
#define DIR2_CROFF (DIR2_BIT&amp;0x07)
#define DIR2_CR CRH
#endif
#define DIO11 11
#define DIO11_PORT DIR2_PORT
#define DIO11_BIT DIR2_BIT
#define DIO11_APB2EN DIR2_APB2EN
#define DIO11_GPIO DIR2_GPIO
#define DIO11_CR DIR2_CR
#define DIO11_CROFF DIR2_CROFF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DIR3_APB2EN (__rccapb2gpioen__(DIR3_PORT))
#define DIR3_GPIO (__gpio__(DIR3_PORT))
#if (DIR3_BIT &lt; 8)
#define DIR3_CROFF DIR3_BIT
#define DIR3_CR CRL
#else
#define DIR3_CROFF (DIR3_BIT&amp;0x07)
#define DIR3_CR CRH
#endif
#define DIO12 12
#define DIO12_PORT DIR3_PORT
#define DIO12_BIT DIR3_BIT
#define DIO12_APB2EN DIR3_APB2EN
#define DIO12_GPIO DIR3_GPIO
#define DIO12_CR DIR3_CR
#define DIO12_CROFF DIR3_CROFF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DIR4_APB2EN (__rccapb2gpioen__(DIR4_PORT))
#define DIR4_GPIO (__gpio__(DIR4_PORT))
#if (DIR4_BIT &lt; 8)
#define DIR4_CROFF DIR4_BIT
#define DIR4_CR CRL
#else
#define DIR4_CROFF (DIR4_BIT&amp;0x07)
#define DIR4_CR CRH
#endif
#define DIO13 13
#define DIO13_PORT DIR4_PORT
#define DIO13_BIT DIR4_BIT
#define DIO13_APB2EN DIR4_APB2EN
#define DIO13_GPIO DIR4_GPIO
#define DIO13_CR DIR4_CR
#define DIO13_CROFF DIR4_CROFF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DIR5_APB2EN (__rccapb2gpioen__(DIR5_PORT))
#define DIR5_GPIO (__gpio__(DIR5_PORT))
#if (DIR5_BIT &lt; 8)
#define DIR5_CROFF DIR5_BIT
#define DIR5_CR CRL
#else
#define DIR5_CROFF (DIR5_BIT&amp;0x07)
#define DIR5_CR CRH
#endif
#define DIO14 14
#define DIO14_PORT DIR5_PORT
#define DIO14_BIT DIR5_BIT
#define DIO14_APB2EN DIR5_APB2EN
#define DIO14_GPIO DIR5_GPIO
#define DIO14_CR DIR5_CR
#define DIO14_CROFF DIR5_CROFF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DIR6_APB2EN (__rccapb2gpioen__(DIR6_PORT))
#define DIR6_GPIO (__gpio__(DIR6_PORT))
#if (DIR6_BIT &lt; 8)
#define DIR6_CROFF DIR6_BIT
#define DIR6_CR CRL
#else
#define DIR6_CROFF (DIR6_BIT&amp;0x07)
#define DIR6_CR CRH
#endif
#define DIO15 15
#define DIO15_PORT DIR6_PORT
#define DIO15_BIT DIR6_BIT
#define DIO15_APB2EN DIR6_APB2EN
#define DIO15_GPIO DIR6_GPIO
#define DIO15_CR DIR6_CR
#define DIO15_CROFF DIR6_CROFF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DIR7_APB2EN (__rccapb2gpioen__(DIR7_PORT))
#define DIR7_GPIO (__gpio__(DIR7_PORT))
#if (DIR7_BIT &lt; 8)
#define DIR7_CROFF DIR7_BIT
#define DIR7_CR CRL
#else
#define DIR7_CROFF (DIR7_BIT&amp;0x07)
#define DIR7_CR CRH
#endif
#define DIO16 16
#define DIO16_PORT DIR7_PORT
#define DIO16_BIT DIR7_BIT
#define DIO16_APB2EN DIR7_APB2EN
#define DIO16_GPIO DIR7_GPIO
#define DIO16_CR DIR7_CR
#define DIO16_CROFF DIR7_CROFF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STEP0_EN_APB2EN (__rccapb2gpioen__(STEP0_EN_PORT))
#define STEP0_EN_GPIO (__gpio__(STEP0_EN_PORT))
#if (STEP0_EN_BIT &lt; 8)
#define STEP0_EN_CROFF STEP0_EN_BIT
#define STEP0_EN_CR CRL
#else
#define STEP0_EN_CROFF (STEP0_EN_BIT&amp;0x07)
#define STEP0_EN_CR CRH
#endif
#define DIO17 17
#define DIO17_PORT STEP0_EN_PORT
#define DIO17_BIT STEP0_EN_BIT
#define DIO17_APB2EN STEP0_EN_APB2EN
#define DIO17_GPIO STEP0_EN_GPIO
#define DIO17_CR STEP0_EN_CR
#define DIO17_CROFF STEP0_EN_CROFF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STEP1_EN_APB2EN (__rccapb2gpioen__(STEP1_EN_PORT))
#define STEP1_EN_GPIO (__gpio__(STEP1_EN_PORT))
#if (STEP1_EN_BIT &lt; 8)
#define STEP1_EN_CROFF STEP1_EN_BIT
#define STEP1_EN_CR CRL
#else
#define STEP1_EN_CROFF (STEP1_EN_BIT&amp;0x07)
#define STEP1_EN_CR CRH
#endif
#define DIO18 18
#define DIO18_PORT STEP1_EN_PORT
#define DIO18_BIT STEP1_EN_BIT
#define DIO18_APB2EN STEP1_EN_APB2EN
#define DIO18_GPIO STEP1_EN_GPIO
#define DIO18_CR STEP1_EN_CR
#define DIO18_CROFF STEP1_EN_CROFF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STEP2_EN_APB2EN (__rccapb2gpioen__(STEP2_EN_PORT))
#define STEP2_EN_GPIO (__gpio__(STEP2_EN_PORT))
#if (STEP2_EN_BIT &lt; 8)
#define STEP2_EN_CROFF STEP2_EN_BIT
#define STEP2_EN_CR CRL
#else
#define STEP2_EN_CROFF (STEP2_EN_BIT&amp;0x07)
#define STEP2_EN_CR CRH
#endif
#define DIO19 19
#define DIO19_PORT STEP2_EN_PORT
#define DIO19_BIT STEP2_EN_BIT
#define DIO19_APB2EN STEP2_EN_APB2EN
#define DIO19_GPIO STEP2_EN_GPIO
#define DIO19_CR STEP2_EN_CR
#define DIO19_CROFF STEP2_EN_CROFF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STEP3_EN_APB2EN (__rccapb2gpioen__(STEP3_EN_PORT))
#define STEP3_EN_GPIO (__gpio__(STEP3_EN_PORT))
#if (STEP3_EN_BIT &lt; 8)
#define STEP3_EN_CROFF STEP3_EN_BIT
#define STEP3_EN_CR CRL
#else
#define STEP3_EN_CROFF (STEP3_EN_BIT&amp;0x07)
#define STEP3_EN_CR CRH
#endif
#define DIO20 20
#define DIO20_PORT STEP3_EN_PORT
#define DIO20_BIT STEP3_EN_BIT
#define DIO20_APB2EN STEP3_EN_APB2EN
#define DIO20_GPIO STEP3_EN_GPIO
#define DIO20_CR STEP3_EN_CR
#define DIO20_CROFF STEP3_EN_CROFF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STEP4_EN_APB2EN (__rccapb2gpioen__(STEP4_EN_PORT))
#define STEP4_EN_GPIO (__gpio__(STEP4_EN_PORT))
#if (STEP4_EN_BIT &lt; 8)
#define STEP4_EN_CROFF STEP4_EN_BIT
#define STEP4_EN_CR CRL
#else
#define STEP4_EN_CROFF (STEP4_EN_BIT&amp;0x07)
#define STEP4_EN_CR CRH
#endif
#define DIO21 21
#define DIO21_PORT STEP4_EN_PORT
#define DIO21_BIT STEP4_EN_BIT
#define DIO21_APB2EN STEP4_EN_APB2EN
#define DIO21_GPIO STEP4_EN_GPIO
#define DIO21_CR STEP4_EN_CR
#define DIO21_CROFF STEP4_EN_CROFF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STEP5_EN_APB2EN (__rccapb2gpioen__(STEP5_EN_PORT))
#define STEP5_EN_GPIO (__gpio__(STEP5_EN_PORT))
#if (STEP5_EN_BIT &lt; 8)
#define STEP5_EN_CROFF STEP5_EN_BIT
#define STEP5_EN_CR CRL
#else
#define STEP5_EN_CROFF (STEP5_EN_BIT&amp;0x07)
#define STEP5_EN_CR CRH
#endif
#define DIO22 22
#define DIO22_PORT STEP5_EN_PORT
#define DIO22_BIT STEP5_EN_BIT
#define DIO22_APB2EN STEP5_EN_APB2EN
#define DIO22_GPIO STEP5_EN_GPIO
#define DIO22_CR STEP5_EN_CR
#define DIO22_CROFF STEP5_EN_CROFF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STEP6_EN_APB2EN (__rccapb2gpioen__(STEP6_EN_PORT))
#define STEP6_EN_GPIO (__gpio__(STEP6_EN_PORT))
#if (STEP6_EN_BIT &lt; 8)
#define STEP6_EN_CROFF STEP6_EN_BIT
#define STEP6_EN_CR CRL
#else
#define STEP6_EN_CROFF (STEP6_EN_BIT&amp;0x07)
#define STEP6_EN_CR CRH
#endif
#define DIO23 23
#define DIO23_PORT STEP6_EN_PORT
#define DIO23_BIT STEP6_EN_BIT
#define DIO23_APB2EN STEP6_EN_APB2EN
#define DIO23_GPIO STEP6_EN_GPIO
#define DIO23_CR STEP6_EN_CR
#define DIO23_CROFF STEP6_EN_CROFF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STEP7_EN_APB2EN (__rccapb2gpioen__(STEP7_EN_PORT))
#define STEP7_EN_GPIO (__gpio__(STEP7_EN_PORT))
#if (STEP7_EN_BIT &lt; 8)
#define STEP7_EN_CROFF STEP7_EN_BIT
#define STEP7_EN_CR CRL
#else
#define STEP7_EN_CROFF (STEP7_EN_BIT&amp;0x07)
#define STEP7_EN_CR CRH
#endif
#define DIO24 24
#define DIO24_PORT STEP7_EN_PORT
#define DIO24_BIT STEP7_EN_BIT
#define DIO24_APB2EN STEP7_EN_APB2EN
#define DIO24_GPIO STEP7_EN_GPIO
#define DIO24_CR STEP7_EN_CR
#define DIO24_CROFF STEP7_EN_CROFF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PWM0_APB2EN (__rccapb2gpioen__(PWM0_PORT))
#define PWM0_GPIO (__gpio__(PWM0_PORT))
#if (PWM0_BIT &lt; 8)
#define PWM0_CROFF PWM0_BIT
#define PWM0_CR CRL
#else
#define PWM0_CROFF (PWM0_BIT&amp;0x07)
#define PWM0_CR CRH
#endif
#define DIO25 25
#define DIO25_PORT PWM0_PORT
#define DIO25_BIT PWM0_BIT
#define DIO25_APB2EN PWM0_APB2EN
#define DIO25_GPIO PWM0_GPIO
#define DIO25_CR PWM0_CR
#define DIO25_CROFF PWM0_CROFF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"&amp;C27&amp;"_CLOCK HAL_RCC_GetPCLK2Freq()
#define "&amp;C27&amp;"_APBEN __helper__(RCC_APB2ENR_TIM,"&amp;C27&amp;"_TIMER, EN)
#else
#define "&amp;C27&amp;"_ENREG RCC-&gt;APB1ENR
#define "&amp;C27&amp;"_CLOCK HAL_RCC_GetPCLK1Freq()
#define "&amp;C27&amp;"_APBEN __helper__(RCC_APB1ENR_TIM,"&amp;C27&amp;"_TIMER, EN)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"&amp;B27&amp;"_CLOCK "&amp;C27&amp;"_CLOCK
#endif"</f>
        <v>#if (defined(PWM0_CHANNEL) &amp;&amp; defined(PWM0_TIMER) &amp;&amp; defined(PWM0))
#if (PWM0_TIMER==1 || (PWM0_TIMER&gt;=8 &amp; PWM0_TIMER&lt;=11))
#define PWM0_ENREG RCC-&gt;APB2ENR
#define PWM0_CLOCK HAL_RCC_GetPCLK2Freq()
#define PWM0_APBEN __helper__(RCC_APB2ENR_TIM,PWM0_TIMER, EN)
#else
#define PWM0_ENREG RCC-&gt;APB1ENR
#define PWM0_CLOCK HAL_RCC_GetPCLK1Freq()
#define PWM0_APBEN __helper__(RCC_APB1ENR_TIM,PWM0_TIMER, EN)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PWM1_APB2EN (__rccapb2gpioen__(PWM1_PORT))
#define PWM1_GPIO (__gpio__(PWM1_PORT))
#if (PWM1_BIT &lt; 8)
#define PWM1_CROFF PWM1_BIT
#define PWM1_CR CRL
#else
#define PWM1_CROFF (PWM1_BIT&amp;0x07)
#define PWM1_CR CRH
#endif
#define DIO26 26
#define DIO26_PORT PWM1_PORT
#define DIO26_BIT PWM1_BIT
#define DIO26_APB2EN PWM1_APB2EN
#define DIO26_GPIO PWM1_GPIO
#define DIO26_CR PWM1_CR
#define DIO26_CROFF PWM1_CROFF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"&amp;C28&amp;"_CLOCK HAL_RCC_GetPCLK2Freq()
#define "&amp;C28&amp;"_APBEN __helper__(RCC_APB2ENR_TIM,"&amp;C28&amp;"_TIMER, EN)
#else
#define "&amp;C28&amp;"_ENREG RCC-&gt;APB1ENR
#define "&amp;C28&amp;"_CLOCK HAL_RCC_GetPCLK1Freq()
#define "&amp;C28&amp;"_APBEN __helper__(RCC_APB1ENR_TIM,"&amp;C28&amp;"_TIMER, EN)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"&amp;B28&amp;"_CLOCK "&amp;C28&amp;"_CLOCK
#endif"</f>
        <v>#if (defined(PWM1_CHANNEL) &amp;&amp; defined(PWM1_TIMER) &amp;&amp; defined(PWM1))
#if (PWM1_TIMER==1 || (PWM1_TIMER&gt;=8 &amp; PWM1_TIMER&lt;=11))
#define PWM1_ENREG RCC-&gt;APB2ENR
#define PWM1_CLOCK HAL_RCC_GetPCLK2Freq()
#define PWM1_APBEN __helper__(RCC_APB2ENR_TIM,PWM1_TIMER, EN)
#else
#define PWM1_ENREG RCC-&gt;APB1ENR
#define PWM1_CLOCK HAL_RCC_GetPCLK1Freq()
#define PWM1_APBEN __helper__(RCC_APB1ENR_TIM,PWM1_TIMER, EN)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PWM2_APB2EN (__rccapb2gpioen__(PWM2_PORT))
#define PWM2_GPIO (__gpio__(PWM2_PORT))
#if (PWM2_BIT &lt; 8)
#define PWM2_CROFF PWM2_BIT
#define PWM2_CR CRL
#else
#define PWM2_CROFF (PWM2_BIT&amp;0x07)
#define PWM2_CR CRH
#endif
#define DIO27 27
#define DIO27_PORT PWM2_PORT
#define DIO27_BIT PWM2_BIT
#define DIO27_APB2EN PWM2_APB2EN
#define DIO27_GPIO PWM2_GPIO
#define DIO27_CR PWM2_CR
#define DIO27_CROFF PWM2_CROFF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PWM2_CLOCK HAL_RCC_GetPCLK2Freq()
#define PWM2_APBEN __helper__(RCC_APB2ENR_TIM,PWM2_TIMER, EN)
#else
#define PWM2_ENREG RCC-&gt;APB1ENR
#define PWM2_CLOCK HAL_RCC_GetPCLK1Freq()
#define PWM2_APBEN __helper__(RCC_APB1ENR_TIM,PWM2_TIMER, EN)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PWM3_APB2EN (__rccapb2gpioen__(PWM3_PORT))
#define PWM3_GPIO (__gpio__(PWM3_PORT))
#if (PWM3_BIT &lt; 8)
#define PWM3_CROFF PWM3_BIT
#define PWM3_CR CRL
#else
#define PWM3_CROFF (PWM3_BIT&amp;0x07)
#define PWM3_CR CRH
#endif
#define DIO28 28
#define DIO28_PORT PWM3_PORT
#define DIO28_BIT PWM3_BIT
#define DIO28_APB2EN PWM3_APB2EN
#define DIO28_GPIO PWM3_GPIO
#define DIO28_CR PWM3_CR
#define DIO28_CROFF PWM3_CROFF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PWM3_CLOCK HAL_RCC_GetPCLK2Freq()
#define PWM3_APBEN __helper__(RCC_APB2ENR_TIM,PWM3_TIMER, EN)
#else
#define PWM3_ENREG RCC-&gt;APB1ENR
#define PWM3_CLOCK HAL_RCC_GetPCLK1Freq()
#define PWM3_APBEN __helper__(RCC_APB1ENR_TIM,PWM3_TIMER, EN)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PWM4_APB2EN (__rccapb2gpioen__(PWM4_PORT))
#define PWM4_GPIO (__gpio__(PWM4_PORT))
#if (PWM4_BIT &lt; 8)
#define PWM4_CROFF PWM4_BIT
#define PWM4_CR CRL
#else
#define PWM4_CROFF (PWM4_BIT&amp;0x07)
#define PWM4_CR CRH
#endif
#define DIO29 29
#define DIO29_PORT PWM4_PORT
#define DIO29_BIT PWM4_BIT
#define DIO29_APB2EN PWM4_APB2EN
#define DIO29_GPIO PWM4_GPIO
#define DIO29_CR PWM4_CR
#define DIO29_CROFF PWM4_CROFF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PWM4_CLOCK HAL_RCC_GetPCLK2Freq()
#define PWM4_APBEN __helper__(RCC_APB2ENR_TIM,PWM4_TIMER, EN)
#else
#define PWM4_ENREG RCC-&gt;APB1ENR
#define PWM4_CLOCK HAL_RCC_GetPCLK1Freq()
#define PWM4_APBEN __helper__(RCC_APB1ENR_TIM,PWM4_TIMER, EN)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PWM5_APB2EN (__rccapb2gpioen__(PWM5_PORT))
#define PWM5_GPIO (__gpio__(PWM5_PORT))
#if (PWM5_BIT &lt; 8)
#define PWM5_CROFF PWM5_BIT
#define PWM5_CR CRL
#else
#define PWM5_CROFF (PWM5_BIT&amp;0x07)
#define PWM5_CR CRH
#endif
#define DIO30 30
#define DIO30_PORT PWM5_PORT
#define DIO30_BIT PWM5_BIT
#define DIO30_APB2EN PWM5_APB2EN
#define DIO30_GPIO PWM5_GPIO
#define DIO30_CR PWM5_CR
#define DIO30_CROFF PWM5_CROFF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PWM5_CLOCK HAL_RCC_GetPCLK2Freq()
#define PWM5_APBEN __helper__(RCC_APB2ENR_TIM,PWM5_TIMER, EN)
#else
#define PWM5_ENREG RCC-&gt;APB1ENR
#define PWM5_CLOCK HAL_RCC_GetPCLK1Freq()
#define PWM5_APBEN __helper__(RCC_APB1ENR_TIM,PWM5_TIMER, EN)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DIO30_CLOCK PWM5_CLOCK
#endif</v>
      </c>
      <c r="I32" s="4" t="str">
        <f t="shared" si="3"/>
        <v>#if PWM5&gt;=0
mcu_config_pwm(PWM5);
#endif</v>
      </c>
    </row>
    <row r="33" spans="1:11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PWM6_APB2EN (__rccapb2gpioen__(PWM6_PORT))
#define PWM6_GPIO (__gpio__(PWM6_PORT))
#if (PWM6_BIT &lt; 8)
#define PWM6_CROFF PWM6_BIT
#define PWM6_CR CRL
#else
#define PWM6_CROFF (PWM6_BIT&amp;0x07)
#define PWM6_CR CRH
#endif
#define DIO31 31
#define DIO31_PORT PWM6_PORT
#define DIO31_BIT PWM6_BIT
#define DIO31_APB2EN PWM6_APB2EN
#define DIO31_GPIO PWM6_GPIO
#define DIO31_CR PWM6_CR
#define DIO31_CROFF PWM6_CROFF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PWM6_CLOCK HAL_RCC_GetPCLK2Freq()
#define PWM6_APBEN __helper__(RCC_APB2ENR_TIM,PWM6_TIMER, EN)
#else
#define PWM6_ENREG RCC-&gt;APB1ENR
#define PWM6_CLOCK HAL_RCC_GetPCLK1Freq()
#define PWM6_APBEN __helper__(RCC_APB1ENR_TIM,PWM6_TIMER, EN)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DIO31_CLOCK PWM6_CLOCK
#endif</v>
      </c>
      <c r="I33" s="4" t="str">
        <f t="shared" si="3"/>
        <v>#if PWM6&gt;=0
mcu_config_pwm(PWM6);
#endif</v>
      </c>
    </row>
    <row r="34" spans="1:11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PWM7_APB2EN (__rccapb2gpioen__(PWM7_PORT))
#define PWM7_GPIO (__gpio__(PWM7_PORT))
#if (PWM7_BIT &lt; 8)
#define PWM7_CROFF PWM7_BIT
#define PWM7_CR CRL
#else
#define PWM7_CROFF (PWM7_BIT&amp;0x07)
#define PWM7_CR CRH
#endif
#define DIO32 32
#define DIO32_PORT PWM7_PORT
#define DIO32_BIT PWM7_BIT
#define DIO32_APB2EN PWM7_APB2EN
#define DIO32_GPIO PWM7_GPIO
#define DIO32_CR PWM7_CR
#define DIO32_CROFF PWM7_CROFF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PWM7_CLOCK HAL_RCC_GetPCLK2Freq()
#define PWM7_APBEN __helper__(RCC_APB2ENR_TIM,PWM7_TIMER, EN)
#else
#define PWM7_ENREG RCC-&gt;APB1ENR
#define PWM7_CLOCK HAL_RCC_GetPCLK1Freq()
#define PWM7_APBEN __helper__(RCC_APB1ENR_TIM,PWM7_TIMER, EN)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DIO32_CLOCK PWM7_CLOCK
#endif</v>
      </c>
      <c r="I34" s="4" t="str">
        <f t="shared" si="3"/>
        <v>#if PWM7&gt;=0
mcu_config_pwm(PWM7);
#endif</v>
      </c>
    </row>
    <row r="35" spans="1:11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PWM8_APB2EN (__rccapb2gpioen__(PWM8_PORT))
#define PWM8_GPIO (__gpio__(PWM8_PORT))
#if (PWM8_BIT &lt; 8)
#define PWM8_CROFF PWM8_BIT
#define PWM8_CR CRL
#else
#define PWM8_CROFF (PWM8_BIT&amp;0x07)
#define PWM8_CR CRH
#endif
#define DIO33 33
#define DIO33_PORT PWM8_PORT
#define DIO33_BIT PWM8_BIT
#define DIO33_APB2EN PWM8_APB2EN
#define DIO33_GPIO PWM8_GPIO
#define DIO33_CR PWM8_CR
#define DIO33_CROFF PWM8_CROFF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PWM8_CLOCK HAL_RCC_GetPCLK2Freq()
#define PWM8_APBEN __helper__(RCC_APB2ENR_TIM,PWM8_TIMER, EN)
#else
#define PWM8_ENREG RCC-&gt;APB1ENR
#define PWM8_CLOCK HAL_RCC_GetPCLK1Freq()
#define PWM8_APBEN __helper__(RCC_APB1ENR_TIM,PWM8_TIMER, EN)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DIO33_CLOCK PWM8_CLOCK
#endif</v>
      </c>
      <c r="I35" s="4" t="str">
        <f t="shared" si="3"/>
        <v>#if PWM8&gt;=0
mcu_config_pwm(PWM8);
#endif</v>
      </c>
    </row>
    <row r="36" spans="1:11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PWM9_APB2EN (__rccapb2gpioen__(PWM9_PORT))
#define PWM9_GPIO (__gpio__(PWM9_PORT))
#if (PWM9_BIT &lt; 8)
#define PWM9_CROFF PWM9_BIT
#define PWM9_CR CRL
#else
#define PWM9_CROFF (PWM9_BIT&amp;0x07)
#define PWM9_CR CRH
#endif
#define DIO34 34
#define DIO34_PORT PWM9_PORT
#define DIO34_BIT PWM9_BIT
#define DIO34_APB2EN PWM9_APB2EN
#define DIO34_GPIO PWM9_GPIO
#define DIO34_CR PWM9_CR
#define DIO34_CROFF PWM9_CROFF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PWM9_CLOCK HAL_RCC_GetPCLK2Freq()
#define PWM9_APBEN __helper__(RCC_APB2ENR_TIM,PWM9_TIMER, EN)
#else
#define PWM9_ENREG RCC-&gt;APB1ENR
#define PWM9_CLOCK HAL_RCC_GetPCLK1Freq()
#define PWM9_APBEN __helper__(RCC_APB1ENR_TIM,PWM9_TIMER, EN)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DIO34_CLOCK PWM9_CLOCK
#endif</v>
      </c>
      <c r="I36" s="4" t="str">
        <f t="shared" si="3"/>
        <v>#if PWM9&gt;=0
mcu_config_pwm(PWM9);
#endif</v>
      </c>
    </row>
    <row r="37" spans="1:11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PWM10_APB2EN (__rccapb2gpioen__(PWM10_PORT))
#define PWM10_GPIO (__gpio__(PWM10_PORT))
#if (PWM10_BIT &lt; 8)
#define PWM10_CROFF PWM10_BIT
#define PWM10_CR CRL
#else
#define PWM10_CROFF (PWM10_BIT&amp;0x07)
#define PWM10_CR CRH
#endif
#define DIO35 35
#define DIO35_PORT PWM10_PORT
#define DIO35_BIT PWM10_BIT
#define DIO35_APB2EN PWM10_APB2EN
#define DIO35_GPIO PWM10_GPIO
#define DIO35_CR PWM10_CR
#define DIO35_CROFF PWM10_CROFF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PWM10_CLOCK HAL_RCC_GetPCLK2Freq()
#define PWM10_APBEN __helper__(RCC_APB2ENR_TIM,PWM10_TIMER, EN)
#else
#define PWM10_ENREG RCC-&gt;APB1ENR
#define PWM10_CLOCK HAL_RCC_GetPCLK1Freq()
#define PWM10_APBEN __helper__(RCC_APB1ENR_TIM,PWM10_TIMER, EN)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DIO35_CLOCK PWM10_CLOCK
#endif</v>
      </c>
      <c r="I37" s="4" t="str">
        <f t="shared" si="3"/>
        <v>#if PWM10&gt;=0
mcu_config_pwm(PWM10);
#endif</v>
      </c>
    </row>
    <row r="38" spans="1:11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PWM11_APB2EN (__rccapb2gpioen__(PWM11_PORT))
#define PWM11_GPIO (__gpio__(PWM11_PORT))
#if (PWM11_BIT &lt; 8)
#define PWM11_CROFF PWM11_BIT
#define PWM11_CR CRL
#else
#define PWM11_CROFF (PWM11_BIT&amp;0x07)
#define PWM11_CR CRH
#endif
#define DIO36 36
#define DIO36_PORT PWM11_PORT
#define DIO36_BIT PWM11_BIT
#define DIO36_APB2EN PWM11_APB2EN
#define DIO36_GPIO PWM11_GPIO
#define DIO36_CR PWM11_CR
#define DIO36_CROFF PWM11_CROFF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PWM11_CLOCK HAL_RCC_GetPCLK2Freq()
#define PWM11_APBEN __helper__(RCC_APB2ENR_TIM,PWM11_TIMER, EN)
#else
#define PWM11_ENREG RCC-&gt;APB1ENR
#define PWM11_CLOCK HAL_RCC_GetPCLK1Freq()
#define PWM11_APBEN __helper__(RCC_APB1ENR_TIM,PWM11_TIMER, EN)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DIO36_CLOCK PWM11_CLOCK
#endif</v>
      </c>
      <c r="I38" s="4" t="str">
        <f t="shared" si="3"/>
        <v>#if PWM11&gt;=0
mcu_config_pwm(PWM11);
#endif</v>
      </c>
    </row>
    <row r="39" spans="1:11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PWM12_APB2EN (__rccapb2gpioen__(PWM12_PORT))
#define PWM12_GPIO (__gpio__(PWM12_PORT))
#if (PWM12_BIT &lt; 8)
#define PWM12_CROFF PWM12_BIT
#define PWM12_CR CRL
#else
#define PWM12_CROFF (PWM12_BIT&amp;0x07)
#define PWM12_CR CRH
#endif
#define DIO37 37
#define DIO37_PORT PWM12_PORT
#define DIO37_BIT PWM12_BIT
#define DIO37_APB2EN PWM12_APB2EN
#define DIO37_GPIO PWM12_GPIO
#define DIO37_CR PWM12_CR
#define DIO37_CROFF PWM12_CROFF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PWM12_CLOCK HAL_RCC_GetPCLK2Freq()
#define PWM12_APBEN __helper__(RCC_APB2ENR_TIM,PWM12_TIMER, EN)
#else
#define PWM12_ENREG RCC-&gt;APB1ENR
#define PWM12_CLOCK HAL_RCC_GetPCLK1Freq()
#define PWM12_APBEN __helper__(RCC_APB1ENR_TIM,PWM12_TIMER, EN)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DIO37_CLOCK PWM12_CLOCK
#endif</v>
      </c>
      <c r="I39" s="4" t="str">
        <f t="shared" si="3"/>
        <v>#if PWM12&gt;=0
mcu_config_pwm(PWM12);
#endif</v>
      </c>
    </row>
    <row r="40" spans="1:11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PWM13_APB2EN (__rccapb2gpioen__(PWM13_PORT))
#define PWM13_GPIO (__gpio__(PWM13_PORT))
#if (PWM13_BIT &lt; 8)
#define PWM13_CROFF PWM13_BIT
#define PWM13_CR CRL
#else
#define PWM13_CROFF (PWM13_BIT&amp;0x07)
#define PWM13_CR CRH
#endif
#define DIO38 38
#define DIO38_PORT PWM13_PORT
#define DIO38_BIT PWM13_BIT
#define DIO38_APB2EN PWM13_APB2EN
#define DIO38_GPIO PWM13_GPIO
#define DIO38_CR PWM13_CR
#define DIO38_CROFF PWM13_CROFF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PWM13_CLOCK HAL_RCC_GetPCLK2Freq()
#define PWM13_APBEN __helper__(RCC_APB2ENR_TIM,PWM13_TIMER, EN)
#else
#define PWM13_ENREG RCC-&gt;APB1ENR
#define PWM13_CLOCK HAL_RCC_GetPCLK1Freq()
#define PWM13_APBEN __helper__(RCC_APB1ENR_TIM,PWM13_TIMER, EN)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DIO38_CLOCK PWM13_CLOCK
#endif</v>
      </c>
      <c r="I40" s="4" t="str">
        <f t="shared" si="3"/>
        <v>#if PWM13&gt;=0
mcu_config_pwm(PWM13);
#endif</v>
      </c>
    </row>
    <row r="41" spans="1:11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PWM14_APB2EN (__rccapb2gpioen__(PWM14_PORT))
#define PWM14_GPIO (__gpio__(PWM14_PORT))
#if (PWM14_BIT &lt; 8)
#define PWM14_CROFF PWM14_BIT
#define PWM14_CR CRL
#else
#define PWM14_CROFF (PWM14_BIT&amp;0x07)
#define PWM14_CR CRH
#endif
#define DIO39 39
#define DIO39_PORT PWM14_PORT
#define DIO39_BIT PWM14_BIT
#define DIO39_APB2EN PWM14_APB2EN
#define DIO39_GPIO PWM14_GPIO
#define DIO39_CR PWM14_CR
#define DIO39_CROFF PWM14_CROFF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PWM14_CLOCK HAL_RCC_GetPCLK2Freq()
#define PWM14_APBEN __helper__(RCC_APB2ENR_TIM,PWM14_TIMER, EN)
#else
#define PWM14_ENREG RCC-&gt;APB1ENR
#define PWM14_CLOCK HAL_RCC_GetPCLK1Freq()
#define PWM14_APBEN __helper__(RCC_APB1ENR_TIM,PWM14_TIMER, EN)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DIO39_CLOCK PWM14_CLOCK
#endif</v>
      </c>
      <c r="I41" s="4" t="str">
        <f t="shared" si="3"/>
        <v>#if PWM14&gt;=0
mcu_config_pwm(PWM14);
#endif</v>
      </c>
    </row>
    <row r="42" spans="1:11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PWM15_APB2EN (__rccapb2gpioen__(PWM15_PORT))
#define PWM15_GPIO (__gpio__(PWM15_PORT))
#if (PWM15_BIT &lt; 8)
#define PWM15_CROFF PWM15_BIT
#define PWM15_CR CRL
#else
#define PWM15_CROFF (PWM15_BIT&amp;0x07)
#define PWM15_CR CRH
#endif
#define DIO40 40
#define DIO40_PORT PWM15_PORT
#define DIO40_BIT PWM15_BIT
#define DIO40_APB2EN PWM15_APB2EN
#define DIO40_GPIO PWM15_GPIO
#define DIO40_CR PWM15_CR
#define DIO40_CROFF PWM15_CROFF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PWM15_CLOCK HAL_RCC_GetPCLK2Freq()
#define PWM15_APBEN __helper__(RCC_APB2ENR_TIM,PWM15_TIMER, EN)
#else
#define PWM15_ENREG RCC-&gt;APB1ENR
#define PWM15_CLOCK HAL_RCC_GetPCLK1Freq()
#define PWM15_APBEN __helper__(RCC_APB1ENR_TIM,PWM15_TIMER, EN)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DIO40_CLOCK PWM15_CLOCK
#endif</v>
      </c>
      <c r="I42" s="4" t="str">
        <f t="shared" si="3"/>
        <v>#if PWM15&gt;=0
mcu_config_pwm(PWM15);
#endif</v>
      </c>
    </row>
    <row r="43" spans="1:11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48" si="5">"#if (defined("&amp;C43&amp;"_PORT) &amp;&amp; defined("&amp;C43&amp;"_BIT))
#define "&amp;C43&amp;" "&amp;A43&amp;"
#define "&amp;C43&amp;"_APB2EN (__rccapb2gpioen__("&amp;C43&amp;"_PORT))
#define "&amp;C43&amp;"_GPIO (__gpio__("&amp;C43&amp;"_PORT))
#if ("&amp;C43&amp;"_BIT &lt; 8)
#define "&amp;C43&amp;"_CROFF "&amp;C43&amp;"_BIT
#define "&amp;C43&amp;"_CR CRL
#else
#define "&amp;C43&amp;"_CROFF ("&amp;C43&amp;"_BIT&amp;0x07)
#define "&amp;C43&amp;"_CR CRH
#endif
#define "&amp;B43&amp;" "&amp;A43&amp;"
#define "&amp;B43&amp;"_PORT "&amp;C43&amp;"_PORT
#define "&amp;B43&amp;"_BIT "&amp;C43&amp;"_BIT
#define "&amp;B43&amp;"_APB2EN "&amp;C43&amp;"_APB2EN
#define "&amp;B43&amp;"_GPIO "&amp;C43&amp;"_GPIO
#define "&amp;B43&amp;"_CR "&amp;C43&amp;"_CR
#define "&amp;B43&amp;"_CROFF "&amp;C43&amp;"_CROFF
#endif"</f>
        <v>#if (defined(SERVO0_PORT) &amp;&amp; defined(SERVO0_BIT))
#define SERVO0 41
#define SERVO0_APB2EN (__rccapb2gpioen__(SERVO0_PORT))
#define SERVO0_GPIO (__gpio__(SERVO0_PORT))
#if (SERVO0_BIT &lt; 8)
#define SERVO0_CROFF SERVO0_BIT
#define SERVO0_CR CRL
#else
#define SERVO0_CROFF (SERVO0_BIT&amp;0x07)
#define SERVO0_CR CRH
#endif
#define DIO41 41
#define DIO41_PORT SERVO0_PORT
#define DIO41_BIT SERVO0_BIT
#define DIO41_APB2EN SERVO0_APB2EN
#define DIO41_GPIO SERVO0_GPIO
#define DIO41_CR SERVO0_CR
#define DIO41_CROFF SERVO0_CROFF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48" si="8">"#if "&amp;C43&amp;"&gt;=0
mcu_config_output("&amp;C43&amp;");
#endif"</f>
        <v>#if SERVO0&gt;=0
mcu_config_output(SERVO0);
#endif</v>
      </c>
      <c r="J43" s="9"/>
      <c r="K43" s="9"/>
    </row>
    <row r="44" spans="1:11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SERVO1_APB2EN (__rccapb2gpioen__(SERVO1_PORT))
#define SERVO1_GPIO (__gpio__(SERVO1_PORT))
#if (SERVO1_BIT &lt; 8)
#define SERVO1_CROFF SERVO1_BIT
#define SERVO1_CR CRL
#else
#define SERVO1_CROFF (SERVO1_BIT&amp;0x07)
#define SERVO1_CR CRH
#endif
#define DIO42 42
#define DIO42_PORT SERVO1_PORT
#define DIO42_BIT SERVO1_BIT
#define DIO42_APB2EN SERVO1_APB2EN
#define DIO42_GPIO SERVO1_GPIO
#define DIO42_CR SERVO1_CR
#define DIO42_CROFF SERVO1_CROFF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  <c r="J44" s="9"/>
      <c r="K44" s="9"/>
    </row>
    <row r="45" spans="1:11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SERVO2_APB2EN (__rccapb2gpioen__(SERVO2_PORT))
#define SERVO2_GPIO (__gpio__(SERVO2_PORT))
#if (SERVO2_BIT &lt; 8)
#define SERVO2_CROFF SERVO2_BIT
#define SERVO2_CR CRL
#else
#define SERVO2_CROFF (SERVO2_BIT&amp;0x07)
#define SERVO2_CR CRH
#endif
#define DIO43 43
#define DIO43_PORT SERVO2_PORT
#define DIO43_BIT SERVO2_BIT
#define DIO43_APB2EN SERVO2_APB2EN
#define DIO43_GPIO SERVO2_GPIO
#define DIO43_CR SERVO2_CR
#define DIO43_CROFF SERVO2_CROFF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  <c r="J45" s="9"/>
      <c r="K45" s="9"/>
    </row>
    <row r="46" spans="1:11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SERVO3_APB2EN (__rccapb2gpioen__(SERVO3_PORT))
#define SERVO3_GPIO (__gpio__(SERVO3_PORT))
#if (SERVO3_BIT &lt; 8)
#define SERVO3_CROFF SERVO3_BIT
#define SERVO3_CR CRL
#else
#define SERVO3_CROFF (SERVO3_BIT&amp;0x07)
#define SERVO3_CR CRH
#endif
#define DIO44 44
#define DIO44_PORT SERVO3_PORT
#define DIO44_BIT SERVO3_BIT
#define DIO44_APB2EN SERVO3_APB2EN
#define DIO44_GPIO SERVO3_GPIO
#define DIO44_CR SERVO3_CR
#define DIO44_CROFF SERVO3_CROFF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  <c r="J46" s="9"/>
      <c r="K46" s="9"/>
    </row>
    <row r="47" spans="1:11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SERVO4_APB2EN (__rccapb2gpioen__(SERVO4_PORT))
#define SERVO4_GPIO (__gpio__(SERVO4_PORT))
#if (SERVO4_BIT &lt; 8)
#define SERVO4_CROFF SERVO4_BIT
#define SERVO4_CR CRL
#else
#define SERVO4_CROFF (SERVO4_BIT&amp;0x07)
#define SERVO4_CR CRH
#endif
#define DIO45 45
#define DIO45_PORT SERVO4_PORT
#define DIO45_BIT SERVO4_BIT
#define DIO45_APB2EN SERVO4_APB2EN
#define DIO45_GPIO SERVO4_GPIO
#define DIO45_CR SERVO4_CR
#define DIO45_CROFF SERVO4_CROFF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  <c r="J47" s="9"/>
      <c r="K47" s="9"/>
    </row>
    <row r="48" spans="1:11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SERVO5_APB2EN (__rccapb2gpioen__(SERVO5_PORT))
#define SERVO5_GPIO (__gpio__(SERVO5_PORT))
#if (SERVO5_BIT &lt; 8)
#define SERVO5_CROFF SERVO5_BIT
#define SERVO5_CR CRL
#else
#define SERVO5_CROFF (SERVO5_BIT&amp;0x07)
#define SERVO5_CR CRH
#endif
#define DIO46 46
#define DIO46_PORT SERVO5_PORT
#define DIO46_BIT SERVO5_BIT
#define DIO46_APB2EN SERVO5_APB2EN
#define DIO46_GPIO SERVO5_GPIO
#define DIO46_CR SERVO5_CR
#define DIO46_CROFF SERVO5_CROFF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  <c r="J48" s="9"/>
      <c r="K48" s="9"/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1"/>
        <v>#if (defined(DOUT0_PORT) &amp;&amp; defined(DOUT0_BIT))
#define DOUT0 47
#define DOUT0_APB2EN (__rccapb2gpioen__(DOUT0_PORT))
#define DOUT0_GPIO (__gpio__(DOUT0_PORT))
#if (DOUT0_BIT &lt; 8)
#define DOUT0_CROFF DOUT0_BIT
#define DOUT0_CR CRL
#else
#define DOUT0_CROFF (DOUT0_BIT&amp;0x07)
#define DOUT0_CR CRH
#endif
#define DIO47 47
#define DIO47_PORT DOUT0_PORT
#define DIO47_BIT DOUT0_BIT
#define DIO47_APB2EN DOUT0_APB2EN
#define DIO47_GPIO DOUT0_GPIO
#define DIO47_CR DOUT0_CR
#define DIO47_CROFF DOUT0_CROFF
#endif</v>
      </c>
      <c r="F49" s="9"/>
      <c r="G49" s="9"/>
      <c r="H49" s="9"/>
      <c r="I49" s="4" t="str">
        <f t="shared" ref="I49:I64" si="9">"#if "&amp;C49&amp;"&gt;=0
mcu_config_output("&amp;C49&amp;");
#endif"</f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1"/>
        <v>#if (defined(DOUT1_PORT) &amp;&amp; defined(DOUT1_BIT))
#define DOUT1 48
#define DOUT1_APB2EN (__rccapb2gpioen__(DOUT1_PORT))
#define DOUT1_GPIO (__gpio__(DOUT1_PORT))
#if (DOUT1_BIT &lt; 8)
#define DOUT1_CROFF DOUT1_BIT
#define DOUT1_CR CRL
#else
#define DOUT1_CROFF (DOUT1_BIT&amp;0x07)
#define DOUT1_CR CRH
#endif
#define DIO48 48
#define DIO48_PORT DOUT1_PORT
#define DIO48_BIT DOUT1_BIT
#define DIO48_APB2EN DOUT1_APB2EN
#define DIO48_GPIO DOUT1_GPIO
#define DIO48_CR DOUT1_CR
#define DIO48_CROFF DOUT1_CROFF
#endif</v>
      </c>
      <c r="F50" s="9"/>
      <c r="G50" s="9"/>
      <c r="H50" s="9"/>
      <c r="I50" s="4" t="str">
        <f t="shared" si="9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DOUT2_APB2EN (__rccapb2gpioen__(DOUT2_PORT))
#define DOUT2_GPIO (__gpio__(DOUT2_PORT))
#if (DOUT2_BIT &lt; 8)
#define DOUT2_CROFF DOUT2_BIT
#define DOUT2_CR CRL
#else
#define DOUT2_CROFF (DOUT2_BIT&amp;0x07)
#define DOUT2_CR CRH
#endif
#define DIO49 49
#define DIO49_PORT DOUT2_PORT
#define DIO49_BIT DOUT2_BIT
#define DIO49_APB2EN DOUT2_APB2EN
#define DIO49_GPIO DOUT2_GPIO
#define DIO49_CR DOUT2_CR
#define DIO49_CROFF DOUT2_CROFF
#endif</v>
      </c>
      <c r="F51" s="9"/>
      <c r="G51" s="9"/>
      <c r="H51" s="9"/>
      <c r="I51" s="4" t="str">
        <f t="shared" si="9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DOUT3_APB2EN (__rccapb2gpioen__(DOUT3_PORT))
#define DOUT3_GPIO (__gpio__(DOUT3_PORT))
#if (DOUT3_BIT &lt; 8)
#define DOUT3_CROFF DOUT3_BIT
#define DOUT3_CR CRL
#else
#define DOUT3_CROFF (DOUT3_BIT&amp;0x07)
#define DOUT3_CR CRH
#endif
#define DIO50 50
#define DIO50_PORT DOUT3_PORT
#define DIO50_BIT DOUT3_BIT
#define DIO50_APB2EN DOUT3_APB2EN
#define DIO50_GPIO DOUT3_GPIO
#define DIO50_CR DOUT3_CR
#define DIO50_CROFF DOUT3_CROFF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DOUT4_APB2EN (__rccapb2gpioen__(DOUT4_PORT))
#define DOUT4_GPIO (__gpio__(DOUT4_PORT))
#if (DOUT4_BIT &lt; 8)
#define DOUT4_CROFF DOUT4_BIT
#define DOUT4_CR CRL
#else
#define DOUT4_CROFF (DOUT4_BIT&amp;0x07)
#define DOUT4_CR CRH
#endif
#define DIO51 51
#define DIO51_PORT DOUT4_PORT
#define DIO51_BIT DOUT4_BIT
#define DIO51_APB2EN DOUT4_APB2EN
#define DIO51_GPIO DOUT4_GPIO
#define DIO51_CR DOUT4_CR
#define DIO51_CROFF DOUT4_CROFF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DOUT5_APB2EN (__rccapb2gpioen__(DOUT5_PORT))
#define DOUT5_GPIO (__gpio__(DOUT5_PORT))
#if (DOUT5_BIT &lt; 8)
#define DOUT5_CROFF DOUT5_BIT
#define DOUT5_CR CRL
#else
#define DOUT5_CROFF (DOUT5_BIT&amp;0x07)
#define DOUT5_CR CRH
#endif
#define DIO52 52
#define DIO52_PORT DOUT5_PORT
#define DIO52_BIT DOUT5_BIT
#define DIO52_APB2EN DOUT5_APB2EN
#define DIO52_GPIO DOUT5_GPIO
#define DIO52_CR DOUT5_CR
#define DIO52_CROFF DOUT5_CROFF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DOUT6_APB2EN (__rccapb2gpioen__(DOUT6_PORT))
#define DOUT6_GPIO (__gpio__(DOUT6_PORT))
#if (DOUT6_BIT &lt; 8)
#define DOUT6_CROFF DOUT6_BIT
#define DOUT6_CR CRL
#else
#define DOUT6_CROFF (DOUT6_BIT&amp;0x07)
#define DOUT6_CR CRH
#endif
#define DIO53 53
#define DIO53_PORT DOUT6_PORT
#define DIO53_BIT DOUT6_BIT
#define DIO53_APB2EN DOUT6_APB2EN
#define DIO53_GPIO DOUT6_GPIO
#define DIO53_CR DOUT6_CR
#define DIO53_CROFF DOUT6_CROFF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DOUT7_APB2EN (__rccapb2gpioen__(DOUT7_PORT))
#define DOUT7_GPIO (__gpio__(DOUT7_PORT))
#if (DOUT7_BIT &lt; 8)
#define DOUT7_CROFF DOUT7_BIT
#define DOUT7_CR CRL
#else
#define DOUT7_CROFF (DOUT7_BIT&amp;0x07)
#define DOUT7_CR CRH
#endif
#define DIO54 54
#define DIO54_PORT DOUT7_PORT
#define DIO54_BIT DOUT7_BIT
#define DIO54_APB2EN DOUT7_APB2EN
#define DIO54_GPIO DOUT7_GPIO
#define DIO54_CR DOUT7_CR
#define DIO54_CROFF DOUT7_CROFF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DOUT8_APB2EN (__rccapb2gpioen__(DOUT8_PORT))
#define DOUT8_GPIO (__gpio__(DOUT8_PORT))
#if (DOUT8_BIT &lt; 8)
#define DOUT8_CROFF DOUT8_BIT
#define DOUT8_CR CRL
#else
#define DOUT8_CROFF (DOUT8_BIT&amp;0x07)
#define DOUT8_CR CRH
#endif
#define DIO55 55
#define DIO55_PORT DOUT8_PORT
#define DIO55_BIT DOUT8_BIT
#define DIO55_APB2EN DOUT8_APB2EN
#define DIO55_GPIO DOUT8_GPIO
#define DIO55_CR DOUT8_CR
#define DIO55_CROFF DOUT8_CROFF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DOUT9_APB2EN (__rccapb2gpioen__(DOUT9_PORT))
#define DOUT9_GPIO (__gpio__(DOUT9_PORT))
#if (DOUT9_BIT &lt; 8)
#define DOUT9_CROFF DOUT9_BIT
#define DOUT9_CR CRL
#else
#define DOUT9_CROFF (DOUT9_BIT&amp;0x07)
#define DOUT9_CR CRH
#endif
#define DIO56 56
#define DIO56_PORT DOUT9_PORT
#define DIO56_BIT DOUT9_BIT
#define DIO56_APB2EN DOUT9_APB2EN
#define DIO56_GPIO DOUT9_GPIO
#define DIO56_CR DOUT9_CR
#define DIO56_CROFF DOUT9_CROFF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DOUT10_APB2EN (__rccapb2gpioen__(DOUT10_PORT))
#define DOUT10_GPIO (__gpio__(DOUT10_PORT))
#if (DOUT10_BIT &lt; 8)
#define DOUT10_CROFF DOUT10_BIT
#define DOUT10_CR CRL
#else
#define DOUT10_CROFF (DOUT10_BIT&amp;0x07)
#define DOUT10_CR CRH
#endif
#define DIO57 57
#define DIO57_PORT DOUT10_PORT
#define DIO57_BIT DOUT10_BIT
#define DIO57_APB2EN DOUT10_APB2EN
#define DIO57_GPIO DOUT10_GPIO
#define DIO57_CR DOUT10_CR
#define DIO57_CROFF DOUT10_CROFF
#endif</v>
      </c>
      <c r="F59" s="10"/>
      <c r="G59" s="10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DOUT11_APB2EN (__rccapb2gpioen__(DOUT11_PORT))
#define DOUT11_GPIO (__gpio__(DOUT11_PORT))
#if (DOUT11_BIT &lt; 8)
#define DOUT11_CROFF DOUT11_BIT
#define DOUT11_CR CRL
#else
#define DOUT11_CROFF (DOUT11_BIT&amp;0x07)
#define DOUT11_CR CRH
#endif
#define DIO58 58
#define DIO58_PORT DOUT11_PORT
#define DIO58_BIT DOUT11_BIT
#define DIO58_APB2EN DOUT11_APB2EN
#define DIO58_GPIO DOUT11_GPIO
#define DIO58_CR DOUT11_CR
#define DIO58_CROFF DOUT11_CROFF
#endif</v>
      </c>
      <c r="F60" s="12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DOUT12_APB2EN (__rccapb2gpioen__(DOUT12_PORT))
#define DOUT12_GPIO (__gpio__(DOUT12_PORT))
#if (DOUT12_BIT &lt; 8)
#define DOUT12_CROFF DOUT12_BIT
#define DOUT12_CR CRL
#else
#define DOUT12_CROFF (DOUT12_BIT&amp;0x07)
#define DOUT12_CR CRH
#endif
#define DIO59 59
#define DIO59_PORT DOUT12_PORT
#define DIO59_BIT DOUT12_BIT
#define DIO59_APB2EN DOUT12_APB2EN
#define DIO59_GPIO DOUT12_GPIO
#define DIO59_CR DOUT12_CR
#define DIO59_CROFF DOUT12_CROFF
#endif</v>
      </c>
      <c r="F61" s="10"/>
      <c r="G61" s="9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DOUT13_APB2EN (__rccapb2gpioen__(DOUT13_PORT))
#define DOUT13_GPIO (__gpio__(DOUT13_PORT))
#if (DOUT13_BIT &lt; 8)
#define DOUT13_CROFF DOUT13_BIT
#define DOUT13_CR CRL
#else
#define DOUT13_CROFF (DOUT13_BIT&amp;0x07)
#define DOUT13_CR CRH
#endif
#define DIO60 60
#define DIO60_PORT DOUT13_PORT
#define DIO60_BIT DOUT13_BIT
#define DIO60_APB2EN DOUT13_APB2EN
#define DIO60_GPIO DOUT13_GPIO
#define DIO60_CR DOUT13_CR
#define DIO60_CROFF DOUT13_CROFF
#endif</v>
      </c>
      <c r="F62" s="10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DOUT14_APB2EN (__rccapb2gpioen__(DOUT14_PORT))
#define DOUT14_GPIO (__gpio__(DOUT14_PORT))
#if (DOUT14_BIT &lt; 8)
#define DOUT14_CROFF DOUT14_BIT
#define DOUT14_CR CRL
#else
#define DOUT14_CROFF (DOUT14_BIT&amp;0x07)
#define DOUT14_CR CRH
#endif
#define DIO61 61
#define DIO61_PORT DOUT14_PORT
#define DIO61_BIT DOUT14_BIT
#define DIO61_APB2EN DOUT14_APB2EN
#define DIO61_GPIO DOUT14_GPIO
#define DIO61_CR DOUT14_CR
#define DIO61_CROFF DOUT14_CROFF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DOUT15_APB2EN (__rccapb2gpioen__(DOUT15_PORT))
#define DOUT15_GPIO (__gpio__(DOUT15_PORT))
#if (DOUT15_BIT &lt; 8)
#define DOUT15_CROFF DOUT15_BIT
#define DOUT15_CR CRL
#else
#define DOUT15_CROFF (DOUT15_BIT&amp;0x07)
#define DOUT15_CR CRH
#endif
#define DIO62 62
#define DIO62_PORT DOUT15_PORT
#define DIO62_BIT DOUT15_BIT
#define DIO62_APB2EN DOUT15_APB2EN
#define DIO62_GPIO DOUT15_GPIO
#define DIO62_CR DOUT15_CR
#define DIO62_CROFF DOUT15_CROFF
#endif</v>
      </c>
      <c r="F64" s="9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ref="E65:E80" si="10">"#if (defined("&amp;C65&amp;"_PORT) &amp;&amp; defined("&amp;C65&amp;"_BIT))
#define "&amp;C65&amp;" "&amp;A65&amp;"
#define "&amp;C65&amp;"_APB2EN (__rccapb2gpioen__("&amp;C65&amp;"_PORT))
#define "&amp;C65&amp;"_GPIO (__gpio__("&amp;C65&amp;"_PORT))
#if ("&amp;C65&amp;"_BIT &lt; 8)
#define "&amp;C65&amp;"_CROFF "&amp;C65&amp;"_BIT
#define "&amp;C65&amp;"_CR CRL
#else
#define "&amp;C65&amp;"_CROFF ("&amp;C65&amp;"_BIT&amp;0x07)
#define "&amp;C65&amp;"_CR CRH
#endif
#define "&amp;B65&amp;" "&amp;A65&amp;"
#define "&amp;B65&amp;"_PORT "&amp;C65&amp;"_PORT
#define "&amp;B65&amp;"_BIT "&amp;C65&amp;"_BIT
#define "&amp;B65&amp;"_APB2EN "&amp;C65&amp;"_APB2EN
#define "&amp;B65&amp;"_GPIO "&amp;C65&amp;"_GPIO
#define "&amp;B65&amp;"_CR "&amp;C65&amp;"_CR
#define "&amp;B65&amp;"_CROFF "&amp;C65&amp;"_CROFF
#endif"</f>
        <v>#if (defined(DOUT16_PORT) &amp;&amp; defined(DOUT16_BIT))
#define DOUT16 63
#define DOUT16_APB2EN (__rccapb2gpioen__(DOUT16_PORT))
#define DOUT16_GPIO (__gpio__(DOUT16_PORT))
#if (DOUT16_BIT &lt; 8)
#define DOUT16_CROFF DOUT16_BIT
#define DOUT16_CR CRL
#else
#define DOUT16_CROFF (DOUT16_BIT&amp;0x07)
#define DOUT16_CR CRH
#endif
#define DIO63 63
#define DIO63_PORT DOUT16_PORT
#define DIO63_BIT DOUT16_BIT
#define DIO63_APB2EN DOUT16_APB2EN
#define DIO63_GPIO DOUT16_GPIO
#define DIO63_CR DOUT16_CR
#define DIO63_CROFF DOUT16_CROFF
#endif</v>
      </c>
      <c r="F65" s="9"/>
      <c r="G65" s="9"/>
      <c r="H65" s="9"/>
      <c r="I65" s="4" t="str">
        <f t="shared" ref="I65:I80" si="11">"#if "&amp;C65&amp;"&gt;=0
mcu_config_output("&amp;C65&amp;");
#endif"</f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0"/>
        <v>#if (defined(DOUT17_PORT) &amp;&amp; defined(DOUT17_BIT))
#define DOUT17 64
#define DOUT17_APB2EN (__rccapb2gpioen__(DOUT17_PORT))
#define DOUT17_GPIO (__gpio__(DOUT17_PORT))
#if (DOUT17_BIT &lt; 8)
#define DOUT17_CROFF DOUT17_BIT
#define DOUT17_CR CRL
#else
#define DOUT17_CROFF (DOUT17_BIT&amp;0x07)
#define DOUT17_CR CRH
#endif
#define DIO64 64
#define DIO64_PORT DOUT17_PORT
#define DIO64_BIT DOUT17_BIT
#define DIO64_APB2EN DOUT17_APB2EN
#define DIO64_GPIO DOUT17_GPIO
#define DIO64_CR DOUT17_CR
#define DIO64_CROFF DOUT17_CROFF
#endif</v>
      </c>
      <c r="F66" s="9"/>
      <c r="G66" s="9"/>
      <c r="H66" s="9"/>
      <c r="I66" s="4" t="str">
        <f t="shared" si="11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10"/>
        <v>#if (defined(DOUT18_PORT) &amp;&amp; defined(DOUT18_BIT))
#define DOUT18 65
#define DOUT18_APB2EN (__rccapb2gpioen__(DOUT18_PORT))
#define DOUT18_GPIO (__gpio__(DOUT18_PORT))
#if (DOUT18_BIT &lt; 8)
#define DOUT18_CROFF DOUT18_BIT
#define DOUT18_CR CRL
#else
#define DOUT18_CROFF (DOUT18_BIT&amp;0x07)
#define DOUT18_CR CRH
#endif
#define DIO65 65
#define DIO65_PORT DOUT18_PORT
#define DIO65_BIT DOUT18_BIT
#define DIO65_APB2EN DOUT18_APB2EN
#define DIO65_GPIO DOUT18_GPIO
#define DIO65_CR DOUT18_CR
#define DIO65_CROFF DOUT18_CROFF
#endif</v>
      </c>
      <c r="F67" s="9"/>
      <c r="G67" s="9"/>
      <c r="H67" s="9"/>
      <c r="I67" s="4" t="str">
        <f t="shared" si="11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DOUT19_APB2EN (__rccapb2gpioen__(DOUT19_PORT))
#define DOUT19_GPIO (__gpio__(DOUT19_PORT))
#if (DOUT19_BIT &lt; 8)
#define DOUT19_CROFF DOUT19_BIT
#define DOUT19_CR CRL
#else
#define DOUT19_CROFF (DOUT19_BIT&amp;0x07)
#define DOUT19_CR CRH
#endif
#define DIO66 66
#define DIO66_PORT DOUT19_PORT
#define DIO66_BIT DOUT19_BIT
#define DIO66_APB2EN DOUT19_APB2EN
#define DIO66_GPIO DOUT19_GPIO
#define DIO66_CR DOUT19_CR
#define DIO66_CROFF DOUT19_CROFF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DOUT20_APB2EN (__rccapb2gpioen__(DOUT20_PORT))
#define DOUT20_GPIO (__gpio__(DOUT20_PORT))
#if (DOUT20_BIT &lt; 8)
#define DOUT20_CROFF DOUT20_BIT
#define DOUT20_CR CRL
#else
#define DOUT20_CROFF (DOUT20_BIT&amp;0x07)
#define DOUT20_CR CRH
#endif
#define DIO67 67
#define DIO67_PORT DOUT20_PORT
#define DIO67_BIT DOUT20_BIT
#define DIO67_APB2EN DOUT20_APB2EN
#define DIO67_GPIO DOUT20_GPIO
#define DIO67_CR DOUT20_CR
#define DIO67_CROFF DOUT20_CROFF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DOUT21_APB2EN (__rccapb2gpioen__(DOUT21_PORT))
#define DOUT21_GPIO (__gpio__(DOUT21_PORT))
#if (DOUT21_BIT &lt; 8)
#define DOUT21_CROFF DOUT21_BIT
#define DOUT21_CR CRL
#else
#define DOUT21_CROFF (DOUT21_BIT&amp;0x07)
#define DOUT21_CR CRH
#endif
#define DIO68 68
#define DIO68_PORT DOUT21_PORT
#define DIO68_BIT DOUT21_BIT
#define DIO68_APB2EN DOUT21_APB2EN
#define DIO68_GPIO DOUT21_GPIO
#define DIO68_CR DOUT21_CR
#define DIO68_CROFF DOUT21_CROFF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DOUT22_APB2EN (__rccapb2gpioen__(DOUT22_PORT))
#define DOUT22_GPIO (__gpio__(DOUT22_PORT))
#if (DOUT22_BIT &lt; 8)
#define DOUT22_CROFF DOUT22_BIT
#define DOUT22_CR CRL
#else
#define DOUT22_CROFF (DOUT22_BIT&amp;0x07)
#define DOUT22_CR CRH
#endif
#define DIO69 69
#define DIO69_PORT DOUT22_PORT
#define DIO69_BIT DOUT22_BIT
#define DIO69_APB2EN DOUT22_APB2EN
#define DIO69_GPIO DOUT22_GPIO
#define DIO69_CR DOUT22_CR
#define DIO69_CROFF DOUT22_CROFF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DOUT23_APB2EN (__rccapb2gpioen__(DOUT23_PORT))
#define DOUT23_GPIO (__gpio__(DOUT23_PORT))
#if (DOUT23_BIT &lt; 8)
#define DOUT23_CROFF DOUT23_BIT
#define DOUT23_CR CRL
#else
#define DOUT23_CROFF (DOUT23_BIT&amp;0x07)
#define DOUT23_CR CRH
#endif
#define DIO70 70
#define DIO70_PORT DOUT23_PORT
#define DIO70_BIT DOUT23_BIT
#define DIO70_APB2EN DOUT23_APB2EN
#define DIO70_GPIO DOUT23_GPIO
#define DIO70_CR DOUT23_CR
#define DIO70_CROFF DOUT23_CROFF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DOUT24_APB2EN (__rccapb2gpioen__(DOUT24_PORT))
#define DOUT24_GPIO (__gpio__(DOUT24_PORT))
#if (DOUT24_BIT &lt; 8)
#define DOUT24_CROFF DOUT24_BIT
#define DOUT24_CR CRL
#else
#define DOUT24_CROFF (DOUT24_BIT&amp;0x07)
#define DOUT24_CR CRH
#endif
#define DIO71 71
#define DIO71_PORT DOUT24_PORT
#define DIO71_BIT DOUT24_BIT
#define DIO71_APB2EN DOUT24_APB2EN
#define DIO71_GPIO DOUT24_GPIO
#define DIO71_CR DOUT24_CR
#define DIO71_CROFF DOUT24_CROFF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DOUT25_APB2EN (__rccapb2gpioen__(DOUT25_PORT))
#define DOUT25_GPIO (__gpio__(DOUT25_PORT))
#if (DOUT25_BIT &lt; 8)
#define DOUT25_CROFF DOUT25_BIT
#define DOUT25_CR CRL
#else
#define DOUT25_CROFF (DOUT25_BIT&amp;0x07)
#define DOUT25_CR CRH
#endif
#define DIO72 72
#define DIO72_PORT DOUT25_PORT
#define DIO72_BIT DOUT25_BIT
#define DIO72_APB2EN DOUT25_APB2EN
#define DIO72_GPIO DOUT25_GPIO
#define DIO72_CR DOUT25_CR
#define DIO72_CROFF DOUT25_CROFF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DOUT26_APB2EN (__rccapb2gpioen__(DOUT26_PORT))
#define DOUT26_GPIO (__gpio__(DOUT26_PORT))
#if (DOUT26_BIT &lt; 8)
#define DOUT26_CROFF DOUT26_BIT
#define DOUT26_CR CRL
#else
#define DOUT26_CROFF (DOUT26_BIT&amp;0x07)
#define DOUT26_CR CRH
#endif
#define DIO73 73
#define DIO73_PORT DOUT26_PORT
#define DIO73_BIT DOUT26_BIT
#define DIO73_APB2EN DOUT26_APB2EN
#define DIO73_GPIO DOUT26_GPIO
#define DIO73_CR DOUT26_CR
#define DIO73_CROFF DOUT26_CROFF
#endif</v>
      </c>
      <c r="F75" s="10"/>
      <c r="G75" s="10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DOUT27_APB2EN (__rccapb2gpioen__(DOUT27_PORT))
#define DOUT27_GPIO (__gpio__(DOUT27_PORT))
#if (DOUT27_BIT &lt; 8)
#define DOUT27_CROFF DOUT27_BIT
#define DOUT27_CR CRL
#else
#define DOUT27_CROFF (DOUT27_BIT&amp;0x07)
#define DOUT27_CR CRH
#endif
#define DIO74 74
#define DIO74_PORT DOUT27_PORT
#define DIO74_BIT DOUT27_BIT
#define DIO74_APB2EN DOUT27_APB2EN
#define DIO74_GPIO DOUT27_GPIO
#define DIO74_CR DOUT27_CR
#define DIO74_CROFF DOUT27_CROFF
#endif</v>
      </c>
      <c r="F76" s="12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DOUT28_APB2EN (__rccapb2gpioen__(DOUT28_PORT))
#define DOUT28_GPIO (__gpio__(DOUT28_PORT))
#if (DOUT28_BIT &lt; 8)
#define DOUT28_CROFF DOUT28_BIT
#define DOUT28_CR CRL
#else
#define DOUT28_CROFF (DOUT28_BIT&amp;0x07)
#define DOUT28_CR CRH
#endif
#define DIO75 75
#define DIO75_PORT DOUT28_PORT
#define DIO75_BIT DOUT28_BIT
#define DIO75_APB2EN DOUT28_APB2EN
#define DIO75_GPIO DOUT28_GPIO
#define DIO75_CR DOUT28_CR
#define DIO75_CROFF DOUT28_CROFF
#endif</v>
      </c>
      <c r="F77" s="10"/>
      <c r="G77" s="9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DOUT29_APB2EN (__rccapb2gpioen__(DOUT29_PORT))
#define DOUT29_GPIO (__gpio__(DOUT29_PORT))
#if (DOUT29_BIT &lt; 8)
#define DOUT29_CROFF DOUT29_BIT
#define DOUT29_CR CRL
#else
#define DOUT29_CROFF (DOUT29_BIT&amp;0x07)
#define DOUT29_CR CRH
#endif
#define DIO76 76
#define DIO76_PORT DOUT29_PORT
#define DIO76_BIT DOUT29_BIT
#define DIO76_APB2EN DOUT29_APB2EN
#define DIO76_GPIO DOUT29_GPIO
#define DIO76_CR DOUT29_CR
#define DIO76_CROFF DOUT29_CROFF
#endif</v>
      </c>
      <c r="F78" s="10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DOUT30_APB2EN (__rccapb2gpioen__(DOUT30_PORT))
#define DOUT30_GPIO (__gpio__(DOUT30_PORT))
#if (DOUT30_BIT &lt; 8)
#define DOUT30_CROFF DOUT30_BIT
#define DOUT30_CR CRL
#else
#define DOUT30_CROFF (DOUT30_BIT&amp;0x07)
#define DOUT30_CR CRH
#endif
#define DIO77 77
#define DIO77_PORT DOUT30_PORT
#define DIO77_BIT DOUT30_BIT
#define DIO77_APB2EN DOUT30_APB2EN
#define DIO77_GPIO DOUT30_GPIO
#define DIO77_CR DOUT30_CR
#define DIO77_CROFF DOUT30_CROFF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DOUT31_APB2EN (__rccapb2gpioen__(DOUT31_PORT))
#define DOUT31_GPIO (__gpio__(DOUT31_PORT))
#if (DOUT31_BIT &lt; 8)
#define DOUT31_CROFF DOUT31_BIT
#define DOUT31_CR CRL
#else
#define DOUT31_CROFF (DOUT31_BIT&amp;0x07)
#define DOUT31_CR CRH
#endif
#define DIO78 78
#define DIO78_PORT DOUT31_PORT
#define DIO78_BIT DOUT31_BIT
#define DIO78_APB2EN DOUT31_APB2EN
#define DIO78_GPIO DOUT31_GPIO
#define DIO78_CR DOUT31_CR
#define DIO78_CROFF DOUT31_CROFF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"&amp;C81&amp;"_APB2EN (__rccapb2gpioen__("&amp;C81&amp;"_PORT))
#define "&amp;C81&amp;"_GPIO (__gpio__("&amp;C81&amp;"_PORT))
#if ("&amp;C81&amp;"_BIT &lt; 8)
#define "&amp;C81&amp;"_CROFF "&amp;C81&amp;"_BIT
#define "&amp;C81&amp;"_CR CRL
#else
#define "&amp;C81&amp;"_CROFF ("&amp;C81&amp;"_BIT&amp;0x07)
#define "&amp;C81&amp;"_CR CRH
#endif
#define "&amp;B81&amp;" "&amp;A81&amp;"
#define "&amp;B81&amp;"_PORT "&amp;C81&amp;"_PORT
#define "&amp;B81&amp;"_BIT "&amp;C81&amp;"_BIT
#define "&amp;B81&amp;"_APB2EN "&amp;C81&amp;"_APB2EN
#define "&amp;B81&amp;"_GPIO "&amp;C81&amp;"_GPIO
#define "&amp;B81&amp;"_CR "&amp;C81&amp;"_CR
#define "&amp;B81&amp;"_CROFF "&amp;C81&amp;"_CROFF
#endif"</f>
        <v>#if (defined(DOUT32_PORT) &amp;&amp; defined(DOUT32_BIT))
#define DOUT32 79
#define DOUT32_APB2EN (__rccapb2gpioen__(DOUT32_PORT))
#define DOUT32_GPIO (__gpio__(DOUT32_PORT))
#if (DOUT32_BIT &lt; 8)
#define DOUT32_CROFF DOUT32_BIT
#define DOUT32_CR CRL
#else
#define DOUT32_CROFF (DOUT32_BIT&amp;0x07)
#define DOUT32_CR CRH
#endif
#define DIO79 79
#define DIO79_PORT DOUT32_PORT
#define DIO79_BIT DOUT32_BIT
#define DIO79_APB2EN DOUT32_APB2EN
#define DIO79_GPIO DOUT32_GPIO
#define DIO79_CR DOUT32_CR
#define DIO79_CROFF DOUT32_CROFF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DOUT33_APB2EN (__rccapb2gpioen__(DOUT33_PORT))
#define DOUT33_GPIO (__gpio__(DOUT33_PORT))
#if (DOUT33_BIT &lt; 8)
#define DOUT33_CROFF DOUT33_BIT
#define DOUT33_CR CRL
#else
#define DOUT33_CROFF (DOUT33_BIT&amp;0x07)
#define DOUT33_CR CRH
#endif
#define DIO80 80
#define DIO80_PORT DOUT33_PORT
#define DIO80_BIT DOUT33_BIT
#define DIO80_APB2EN DOUT33_APB2EN
#define DIO80_GPIO DOUT33_GPIO
#define DIO80_CR DOUT33_CR
#define DIO80_CROFF DOUT33_CROFF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DOUT34_APB2EN (__rccapb2gpioen__(DOUT34_PORT))
#define DOUT34_GPIO (__gpio__(DOUT34_PORT))
#if (DOUT34_BIT &lt; 8)
#define DOUT34_CROFF DOUT34_BIT
#define DOUT34_CR CRL
#else
#define DOUT34_CROFF (DOUT34_BIT&amp;0x07)
#define DOUT34_CR CRH
#endif
#define DIO81 81
#define DIO81_PORT DOUT34_PORT
#define DIO81_BIT DOUT34_BIT
#define DIO81_APB2EN DOUT34_APB2EN
#define DIO81_GPIO DOUT34_GPIO
#define DIO81_CR DOUT34_CR
#define DIO81_CROFF DOUT34_CROFF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DOUT35_APB2EN (__rccapb2gpioen__(DOUT35_PORT))
#define DOUT35_GPIO (__gpio__(DOUT35_PORT))
#if (DOUT35_BIT &lt; 8)
#define DOUT35_CROFF DOUT35_BIT
#define DOUT35_CR CRL
#else
#define DOUT35_CROFF (DOUT35_BIT&amp;0x07)
#define DOUT35_CR CRH
#endif
#define DIO82 82
#define DIO82_PORT DOUT35_PORT
#define DIO82_BIT DOUT35_BIT
#define DIO82_APB2EN DOUT35_APB2EN
#define DIO82_GPIO DOUT35_GPIO
#define DIO82_CR DOUT35_CR
#define DIO82_CROFF DOUT35_CROFF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DOUT36_APB2EN (__rccapb2gpioen__(DOUT36_PORT))
#define DOUT36_GPIO (__gpio__(DOUT36_PORT))
#if (DOUT36_BIT &lt; 8)
#define DOUT36_CROFF DOUT36_BIT
#define DOUT36_CR CRL
#else
#define DOUT36_CROFF (DOUT36_BIT&amp;0x07)
#define DOUT36_CR CRH
#endif
#define DIO83 83
#define DIO83_PORT DOUT36_PORT
#define DIO83_BIT DOUT36_BIT
#define DIO83_APB2EN DOUT36_APB2EN
#define DIO83_GPIO DOUT36_GPIO
#define DIO83_CR DOUT36_CR
#define DIO83_CROFF DOUT36_CROFF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DOUT37_APB2EN (__rccapb2gpioen__(DOUT37_PORT))
#define DOUT37_GPIO (__gpio__(DOUT37_PORT))
#if (DOUT37_BIT &lt; 8)
#define DOUT37_CROFF DOUT37_BIT
#define DOUT37_CR CRL
#else
#define DOUT37_CROFF (DOUT37_BIT&amp;0x07)
#define DOUT37_CR CRH
#endif
#define DIO84 84
#define DIO84_PORT DOUT37_PORT
#define DIO84_BIT DOUT37_BIT
#define DIO84_APB2EN DOUT37_APB2EN
#define DIO84_GPIO DOUT37_GPIO
#define DIO84_CR DOUT37_CR
#define DIO84_CROFF DOUT37_CROFF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DOUT38_APB2EN (__rccapb2gpioen__(DOUT38_PORT))
#define DOUT38_GPIO (__gpio__(DOUT38_PORT))
#if (DOUT38_BIT &lt; 8)
#define DOUT38_CROFF DOUT38_BIT
#define DOUT38_CR CRL
#else
#define DOUT38_CROFF (DOUT38_BIT&amp;0x07)
#define DOUT38_CR CRH
#endif
#define DIO85 85
#define DIO85_PORT DOUT38_PORT
#define DIO85_BIT DOUT38_BIT
#define DIO85_APB2EN DOUT38_APB2EN
#define DIO85_GPIO DOUT38_GPIO
#define DIO85_CR DOUT38_CR
#define DIO85_CROFF DOUT38_CROFF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DOUT39_APB2EN (__rccapb2gpioen__(DOUT39_PORT))
#define DOUT39_GPIO (__gpio__(DOUT39_PORT))
#if (DOUT39_BIT &lt; 8)
#define DOUT39_CROFF DOUT39_BIT
#define DOUT39_CR CRL
#else
#define DOUT39_CROFF (DOUT39_BIT&amp;0x07)
#define DOUT39_CR CRH
#endif
#define DIO86 86
#define DIO86_PORT DOUT39_PORT
#define DIO86_BIT DOUT39_BIT
#define DIO86_APB2EN DOUT39_APB2EN
#define DIO86_GPIO DOUT39_GPIO
#define DIO86_CR DOUT39_CR
#define DIO86_CROFF DOUT39_CROFF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DOUT40_APB2EN (__rccapb2gpioen__(DOUT40_PORT))
#define DOUT40_GPIO (__gpio__(DOUT40_PORT))
#if (DOUT40_BIT &lt; 8)
#define DOUT40_CROFF DOUT40_BIT
#define DOUT40_CR CRL
#else
#define DOUT40_CROFF (DOUT40_BIT&amp;0x07)
#define DOUT40_CR CRH
#endif
#define DIO87 87
#define DIO87_PORT DOUT40_PORT
#define DIO87_BIT DOUT40_BIT
#define DIO87_APB2EN DOUT40_APB2EN
#define DIO87_GPIO DOUT40_GPIO
#define DIO87_CR DOUT40_CR
#define DIO87_CROFF DOUT40_CROFF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DOUT41_APB2EN (__rccapb2gpioen__(DOUT41_PORT))
#define DOUT41_GPIO (__gpio__(DOUT41_PORT))
#if (DOUT41_BIT &lt; 8)
#define DOUT41_CROFF DOUT41_BIT
#define DOUT41_CR CRL
#else
#define DOUT41_CROFF (DOUT41_BIT&amp;0x07)
#define DOUT41_CR CRH
#endif
#define DIO88 88
#define DIO88_PORT DOUT41_PORT
#define DIO88_BIT DOUT41_BIT
#define DIO88_APB2EN DOUT41_APB2EN
#define DIO88_GPIO DOUT41_GPIO
#define DIO88_CR DOUT41_CR
#define DIO88_CROFF DOUT41_CROFF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DOUT42_APB2EN (__rccapb2gpioen__(DOUT42_PORT))
#define DOUT42_GPIO (__gpio__(DOUT42_PORT))
#if (DOUT42_BIT &lt; 8)
#define DOUT42_CROFF DOUT42_BIT
#define DOUT42_CR CRL
#else
#define DOUT42_CROFF (DOUT42_BIT&amp;0x07)
#define DOUT42_CR CRH
#endif
#define DIO89 89
#define DIO89_PORT DOUT42_PORT
#define DIO89_BIT DOUT42_BIT
#define DIO89_APB2EN DOUT42_APB2EN
#define DIO89_GPIO DOUT42_GPIO
#define DIO89_CR DOUT42_CR
#define DIO89_CROFF DOUT42_CROFF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DOUT43_APB2EN (__rccapb2gpioen__(DOUT43_PORT))
#define DOUT43_GPIO (__gpio__(DOUT43_PORT))
#if (DOUT43_BIT &lt; 8)
#define DOUT43_CROFF DOUT43_BIT
#define DOUT43_CR CRL
#else
#define DOUT43_CROFF (DOUT43_BIT&amp;0x07)
#define DOUT43_CR CRH
#endif
#define DIO90 90
#define DIO90_PORT DOUT43_PORT
#define DIO90_BIT DOUT43_BIT
#define DIO90_APB2EN DOUT43_APB2EN
#define DIO90_GPIO DOUT43_GPIO
#define DIO90_CR DOUT43_CR
#define DIO90_CROFF DOUT43_CROFF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DOUT44_APB2EN (__rccapb2gpioen__(DOUT44_PORT))
#define DOUT44_GPIO (__gpio__(DOUT44_PORT))
#if (DOUT44_BIT &lt; 8)
#define DOUT44_CROFF DOUT44_BIT
#define DOUT44_CR CRL
#else
#define DOUT44_CROFF (DOUT44_BIT&amp;0x07)
#define DOUT44_CR CRH
#endif
#define DIO91 91
#define DIO91_PORT DOUT44_PORT
#define DIO91_BIT DOUT44_BIT
#define DIO91_APB2EN DOUT44_APB2EN
#define DIO91_GPIO DOUT44_GPIO
#define DIO91_CR DOUT44_CR
#define DIO91_CROFF DOUT44_CROFF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DOUT45_APB2EN (__rccapb2gpioen__(DOUT45_PORT))
#define DOUT45_GPIO (__gpio__(DOUT45_PORT))
#if (DOUT45_BIT &lt; 8)
#define DOUT45_CROFF DOUT45_BIT
#define DOUT45_CR CRL
#else
#define DOUT45_CROFF (DOUT45_BIT&amp;0x07)
#define DOUT45_CR CRH
#endif
#define DIO92 92
#define DIO92_PORT DOUT45_PORT
#define DIO92_BIT DOUT45_BIT
#define DIO92_APB2EN DOUT45_APB2EN
#define DIO92_GPIO DOUT45_GPIO
#define DIO92_CR DOUT45_CR
#define DIO92_CROFF DOUT45_CROFF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DOUT46_APB2EN (__rccapb2gpioen__(DOUT46_PORT))
#define DOUT46_GPIO (__gpio__(DOUT46_PORT))
#if (DOUT46_BIT &lt; 8)
#define DOUT46_CROFF DOUT46_BIT
#define DOUT46_CR CRL
#else
#define DOUT46_CROFF (DOUT46_BIT&amp;0x07)
#define DOUT46_CR CRH
#endif
#define DIO93 93
#define DIO93_PORT DOUT46_PORT
#define DIO93_BIT DOUT46_BIT
#define DIO93_APB2EN DOUT46_APB2EN
#define DIO93_GPIO DOUT46_GPIO
#define DIO93_CR DOUT46_CR
#define DIO93_CROFF DOUT46_CROFF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DOUT47_APB2EN (__rccapb2gpioen__(DOUT47_PORT))
#define DOUT47_GPIO (__gpio__(DOUT47_PORT))
#if (DOUT47_BIT &lt; 8)
#define DOUT47_CROFF DOUT47_BIT
#define DOUT47_CR CRL
#else
#define DOUT47_CROFF (DOUT47_BIT&amp;0x07)
#define DOUT47_CR CRH
#endif
#define DIO94 94
#define DIO94_PORT DOUT47_PORT
#define DIO94_BIT DOUT47_BIT
#define DIO94_APB2EN DOUT47_APB2EN
#define DIO94_GPIO DOUT47_GPIO
#define DIO94_CR DOUT47_CR
#define DIO94_CROFF DOUT47_CROFF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DOUT48_APB2EN (__rccapb2gpioen__(DOUT48_PORT))
#define DOUT48_GPIO (__gpio__(DOUT48_PORT))
#if (DOUT48_BIT &lt; 8)
#define DOUT48_CROFF DOUT48_BIT
#define DOUT48_CR CRL
#else
#define DOUT48_CROFF (DOUT48_BIT&amp;0x07)
#define DOUT48_CR CRH
#endif
#define DIO95 95
#define DIO95_PORT DOUT48_PORT
#define DIO95_BIT DOUT48_BIT
#define DIO95_APB2EN DOUT48_APB2EN
#define DIO95_GPIO DOUT48_GPIO
#define DIO95_CR DOUT48_CR
#define DIO95_CROFF DOUT48_CROFF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DOUT49_APB2EN (__rccapb2gpioen__(DOUT49_PORT))
#define DOUT49_GPIO (__gpio__(DOUT49_PORT))
#if (DOUT49_BIT &lt; 8)
#define DOUT49_CROFF DOUT49_BIT
#define DOUT49_CR CRL
#else
#define DOUT49_CROFF (DOUT49_BIT&amp;0x07)
#define DOUT49_CR CRH
#endif
#define DIO96 96
#define DIO96_PORT DOUT49_PORT
#define DIO96_BIT DOUT49_BIT
#define DIO96_APB2EN DOUT49_APB2EN
#define DIO96_GPIO DOUT49_GPIO
#define DIO96_CR DOUT49_CR
#define DIO96_CROFF DOUT49_CROFF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"/>
        <v>#if (defined(LIMIT_X_PORT) &amp;&amp; defined(LIMIT_X_BIT))
#define LIMIT_X 100
#define LIMIT_X_APB2EN (__rccapb2gpioen__(LIMIT_X_PORT))
#define LIMIT_X_GPIO (__gpio__(LIMIT_X_PORT))
#if (LIMIT_X_BIT &lt; 8)
#define LIMIT_X_CROFF LIMIT_X_BIT
#define LIMIT_X_CR CRL
#else
#define LIMIT_X_CROFF (LIMIT_X_BIT&amp;0x07)
#define LIMIT_X_CR CRH
#endif
#define DIO100 100
#define DIO100_PORT LIMIT_X_PORT
#define DIO100_BIT LIMIT_X_BIT
#define DIO100_APB2EN LIMIT_X_APB2EN
#define DIO100_GPIO LIMIT_X_GPIO
#define DIO100_CR LIMIT_X_CR
#define DIO100_CROFF LIMIT_X_CROFF
#endif</v>
      </c>
      <c r="F99" s="12" t="str">
        <f t="shared" ref="F99:F112" si="14"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5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"/>
        <v>#if (defined(LIMIT_Y_PORT) &amp;&amp; defined(LIMIT_Y_BIT))
#define LIMIT_Y 101
#define LIMIT_Y_APB2EN (__rccapb2gpioen__(LIMIT_Y_PORT))
#define LIMIT_Y_GPIO (__gpio__(LIMIT_Y_PORT))
#if (LIMIT_Y_BIT &lt; 8)
#define LIMIT_Y_CROFF LIMIT_Y_BIT
#define LIMIT_Y_CR CRL
#else
#define LIMIT_Y_CROFF (LIMIT_Y_BIT&amp;0x07)
#define LIMIT_Y_CR CRH
#endif
#define DIO101 101
#define DIO101_PORT LIMIT_Y_PORT
#define DIO101_BIT LIMIT_Y_BIT
#define DIO101_APB2EN LIMIT_Y_APB2EN
#define DIO101_GPIO LIMIT_Y_GPIO
#define DIO101_CR LIMIT_Y_CR
#define DIO101_CROFF LIMIT_Y_CROFF
#endif</v>
      </c>
      <c r="F100" s="12" t="str">
        <f t="shared" si="14"/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5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LIMIT_Z_APB2EN (__rccapb2gpioen__(LIMIT_Z_PORT))
#define LIMIT_Z_GPIO (__gpio__(LIMIT_Z_PORT))
#if (LIMIT_Z_BIT &lt; 8)
#define LIMIT_Z_CROFF LIMIT_Z_BIT
#define LIMIT_Z_CR CRL
#else
#define LIMIT_Z_CROFF (LIMIT_Z_BIT&amp;0x07)
#define LIMIT_Z_CR CRH
#endif
#define DIO102 102
#define DIO102_PORT LIMIT_Z_PORT
#define DIO102_BIT LIMIT_Z_BIT
#define DIO102_APB2EN LIMIT_Z_APB2EN
#define DIO102_GPIO LIMIT_Z_GPIO
#define DIO102_CR LIMIT_Z_CR
#define DIO102_CROFF LIMIT_Z_CROFF
#endif</v>
      </c>
      <c r="F101" s="12" t="str">
        <f t="shared" si="14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5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LIMIT_X2_APB2EN (__rccapb2gpioen__(LIMIT_X2_PORT))
#define LIMIT_X2_GPIO (__gpio__(LIMIT_X2_PORT))
#if (LIMIT_X2_BIT &lt; 8)
#define LIMIT_X2_CROFF LIMIT_X2_BIT
#define LIMIT_X2_CR CRL
#else
#define LIMIT_X2_CROFF (LIMIT_X2_BIT&amp;0x07)
#define LIMIT_X2_CR CRH
#endif
#define DIO103 103
#define DIO103_PORT LIMIT_X2_PORT
#define DIO103_BIT LIMIT_X2_BIT
#define DIO103_APB2EN LIMIT_X2_APB2EN
#define DIO103_GPIO LIMIT_X2_GPIO
#define DIO103_CR LIMIT_X2_CR
#define DIO103_CROFF LIMIT_X2_CROFF
#endif</v>
      </c>
      <c r="F102" s="12" t="str">
        <f t="shared" si="14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5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LIMIT_Y2_APB2EN (__rccapb2gpioen__(LIMIT_Y2_PORT))
#define LIMIT_Y2_GPIO (__gpio__(LIMIT_Y2_PORT))
#if (LIMIT_Y2_BIT &lt; 8)
#define LIMIT_Y2_CROFF LIMIT_Y2_BIT
#define LIMIT_Y2_CR CRL
#else
#define LIMIT_Y2_CROFF (LIMIT_Y2_BIT&amp;0x07)
#define LIMIT_Y2_CR CRH
#endif
#define DIO104 104
#define DIO104_PORT LIMIT_Y2_PORT
#define DIO104_BIT LIMIT_Y2_BIT
#define DIO104_APB2EN LIMIT_Y2_APB2EN
#define DIO104_GPIO LIMIT_Y2_GPIO
#define DIO104_CR LIMIT_Y2_CR
#define DIO104_CROFF LIMIT_Y2_CROFF
#endif</v>
      </c>
      <c r="F103" s="12" t="str">
        <f t="shared" si="14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5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LIMIT_Z2_APB2EN (__rccapb2gpioen__(LIMIT_Z2_PORT))
#define LIMIT_Z2_GPIO (__gpio__(LIMIT_Z2_PORT))
#if (LIMIT_Z2_BIT &lt; 8)
#define LIMIT_Z2_CROFF LIMIT_Z2_BIT
#define LIMIT_Z2_CR CRL
#else
#define LIMIT_Z2_CROFF (LIMIT_Z2_BIT&amp;0x07)
#define LIMIT_Z2_CR CRH
#endif
#define DIO105 105
#define DIO105_PORT LIMIT_Z2_PORT
#define DIO105_BIT LIMIT_Z2_BIT
#define DIO105_APB2EN LIMIT_Z2_APB2EN
#define DIO105_GPIO LIMIT_Z2_GPIO
#define DIO105_CR LIMIT_Z2_CR
#define DIO105_CROFF LIMIT_Z2_CROFF
#endif</v>
      </c>
      <c r="F104" s="12" t="str">
        <f t="shared" si="14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5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LIMIT_A_APB2EN (__rccapb2gpioen__(LIMIT_A_PORT))
#define LIMIT_A_GPIO (__gpio__(LIMIT_A_PORT))
#if (LIMIT_A_BIT &lt; 8)
#define LIMIT_A_CROFF LIMIT_A_BIT
#define LIMIT_A_CR CRL
#else
#define LIMIT_A_CROFF (LIMIT_A_BIT&amp;0x07)
#define LIMIT_A_CR CRH
#endif
#define DIO106 106
#define DIO106_PORT LIMIT_A_PORT
#define DIO106_BIT LIMIT_A_BIT
#define DIO106_APB2EN LIMIT_A_APB2EN
#define DIO106_GPIO LIMIT_A_GPIO
#define DIO106_CR LIMIT_A_CR
#define DIO106_CROFF LIMIT_A_CROFF
#endif</v>
      </c>
      <c r="F105" s="12" t="str">
        <f t="shared" si="14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5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LIMIT_B_APB2EN (__rccapb2gpioen__(LIMIT_B_PORT))
#define LIMIT_B_GPIO (__gpio__(LIMIT_B_PORT))
#if (LIMIT_B_BIT &lt; 8)
#define LIMIT_B_CROFF LIMIT_B_BIT
#define LIMIT_B_CR CRL
#else
#define LIMIT_B_CROFF (LIMIT_B_BIT&amp;0x07)
#define LIMIT_B_CR CRH
#endif
#define DIO107 107
#define DIO107_PORT LIMIT_B_PORT
#define DIO107_BIT LIMIT_B_BIT
#define DIO107_APB2EN LIMIT_B_APB2EN
#define DIO107_GPIO LIMIT_B_GPIO
#define DIO107_CR LIMIT_B_CR
#define DIO107_CROFF LIMIT_B_CROFF
#endif</v>
      </c>
      <c r="F106" s="12" t="str">
        <f t="shared" si="14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5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LIMIT_C_APB2EN (__rccapb2gpioen__(LIMIT_C_PORT))
#define LIMIT_C_GPIO (__gpio__(LIMIT_C_PORT))
#if (LIMIT_C_BIT &lt; 8)
#define LIMIT_C_CROFF LIMIT_C_BIT
#define LIMIT_C_CR CRL
#else
#define LIMIT_C_CROFF (LIMIT_C_BIT&amp;0x07)
#define LIMIT_C_CR CRH
#endif
#define DIO108 108
#define DIO108_PORT LIMIT_C_PORT
#define DIO108_BIT LIMIT_C_BIT
#define DIO108_APB2EN LIMIT_C_APB2EN
#define DIO108_GPIO LIMIT_C_GPIO
#define DIO108_CR LIMIT_C_CR
#define DIO108_CROFF LIMIT_C_CROFF
#endif</v>
      </c>
      <c r="F107" s="12" t="str">
        <f t="shared" si="14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10"/>
      <c r="I107" s="4" t="str">
        <f t="shared" si="15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PROBE_APB2EN (__rccapb2gpioen__(PROBE_PORT))
#define PROBE_GPIO (__gpio__(PROBE_PORT))
#if (PROBE_BIT &lt; 8)
#define PROBE_CROFF PROBE_BIT
#define PROBE_CR CRL
#else
#define PROBE_CROFF (PROBE_BIT&amp;0x07)
#define PROBE_CR CRH
#endif
#define DIO109 109
#define DIO109_PORT PROBE_PORT
#define DIO109_BIT PROBE_BIT
#define DIO109_APB2EN PROBE_APB2EN
#define DIO109_GPIO PROBE_GPIO
#define DIO109_CR PROBE_CR
#define DIO109_CROFF PROBE_CROFF
#endif</v>
      </c>
      <c r="F108" s="12" t="str">
        <f t="shared" si="14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10"/>
      <c r="I108" s="4" t="str">
        <f t="shared" si="15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ESTOP_APB2EN (__rccapb2gpioen__(ESTOP_PORT))
#define ESTOP_GPIO (__gpio__(ESTOP_PORT))
#if (ESTOP_BIT &lt; 8)
#define ESTOP_CROFF ESTOP_BIT
#define ESTOP_CR CRL
#else
#define ESTOP_CROFF (ESTOP_BIT&amp;0x07)
#define ESTOP_CR CRH
#endif
#define DIO110 110
#define DIO110_PORT ESTOP_PORT
#define DIO110_BIT ESTOP_BIT
#define DIO110_APB2EN ESTOP_APB2EN
#define DIO110_GPIO ESTOP_GPIO
#define DIO110_CR ESTOP_CR
#define DIO110_CROFF ESTOP_CROFF
#endif</v>
      </c>
      <c r="F109" s="12" t="str">
        <f t="shared" si="14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5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SAFETY_DOOR_APB2EN (__rccapb2gpioen__(SAFETY_DOOR_PORT))
#define SAFETY_DOOR_GPIO (__gpio__(SAFETY_DOOR_PORT))
#if (SAFETY_DOOR_BIT &lt; 8)
#define SAFETY_DOOR_CROFF SAFETY_DOOR_BIT
#define SAFETY_DOOR_CR CRL
#else
#define SAFETY_DOOR_CROFF (SAFETY_DOOR_BIT&amp;0x07)
#define SAFETY_DOOR_CR CRH
#endif
#define DIO111 111
#define DIO111_PORT SAFETY_DOOR_PORT
#define DIO111_BIT SAFETY_DOOR_BIT
#define DIO111_APB2EN SAFETY_DOOR_APB2EN
#define DIO111_GPIO SAFETY_DOOR_GPIO
#define DIO111_CR SAFETY_DOOR_CR
#define DIO111_CROFF SAFETY_DOOR_CROFF
#endif</v>
      </c>
      <c r="F110" s="12" t="str">
        <f t="shared" si="14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5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FHOLD_APB2EN (__rccapb2gpioen__(FHOLD_PORT))
#define FHOLD_GPIO (__gpio__(FHOLD_PORT))
#if (FHOLD_BIT &lt; 8)
#define FHOLD_CROFF FHOLD_BIT
#define FHOLD_CR CRL
#else
#define FHOLD_CROFF (FHOLD_BIT&amp;0x07)
#define FHOLD_CR CRH
#endif
#define DIO112 112
#define DIO112_PORT FHOLD_PORT
#define DIO112_BIT FHOLD_BIT
#define DIO112_APB2EN FHOLD_APB2EN
#define DIO112_GPIO FHOLD_GPIO
#define DIO112_CR FHOLD_CR
#define DIO112_CROFF FHOLD_CROFF
#endif</v>
      </c>
      <c r="F111" s="12" t="str">
        <f t="shared" si="14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5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CS_RES_APB2EN (__rccapb2gpioen__(CS_RES_PORT))
#define CS_RES_GPIO (__gpio__(CS_RES_PORT))
#if (CS_RES_BIT &lt; 8)
#define CS_RES_CROFF CS_RES_BIT
#define CS_RES_CR CRL
#else
#define CS_RES_CROFF (CS_RES_BIT&amp;0x07)
#define CS_RES_CR CRH
#endif
#define DIO113 113
#define DIO113_PORT CS_RES_PORT
#define DIO113_BIT CS_RES_BIT
#define DIO113_APB2EN CS_RES_APB2EN
#define DIO113_GPIO CS_RES_GPIO
#define DIO113_CR CS_RES_CR
#define DIO113_CROFF CS_RES_CROFF
#endif</v>
      </c>
      <c r="F112" s="12" t="str">
        <f t="shared" si="14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5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ANALOG0_APB2EN (__rccapb2gpioen__(ANALOG0_PORT))
#define ANALOG0_GPIO (__gpio__(ANALOG0_PORT))
#if (ANALOG0_BIT &lt; 8)
#define ANALOG0_CROFF ANALOG0_BIT
#define ANALOG0_CR CRL
#else
#define ANALOG0_CROFF (ANALOG0_BIT&amp;0x07)
#define ANALOG0_CR CRH
#endif
#define DIO114 114
#define DIO114_PORT ANALOG0_PORT
#define DIO114_BIT ANALOG0_BIT
#define DIO114_APB2EN ANALOG0_APB2EN
#define DIO114_GPIO ANALOG0_GPIO
#define DIO114_CR ANALOG0_CR
#define DIO114_CROFF ANALOG0_CROFF
#endif</v>
      </c>
      <c r="F113" s="10"/>
      <c r="G113" s="9"/>
      <c r="H113" s="12" t="str">
        <f t="shared" ref="H113:H128" si="16"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7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ANALOG1_APB2EN (__rccapb2gpioen__(ANALOG1_PORT))
#define ANALOG1_GPIO (__gpio__(ANALOG1_PORT))
#if (ANALOG1_BIT &lt; 8)
#define ANALOG1_CROFF ANALOG1_BIT
#define ANALOG1_CR CRL
#else
#define ANALOG1_CROFF (ANALOG1_BIT&amp;0x07)
#define ANALOG1_CR CRH
#endif
#define DIO115 115
#define DIO115_PORT ANALOG1_PORT
#define DIO115_BIT ANALOG1_BIT
#define DIO115_APB2EN ANALOG1_APB2EN
#define DIO115_GPIO ANALOG1_GPIO
#define DIO115_CR ANALOG1_CR
#define DIO115_CROFF ANALOG1_CROFF
#endif</v>
      </c>
      <c r="F114" s="9"/>
      <c r="G114" s="9"/>
      <c r="H114" s="12" t="str">
        <f t="shared" si="16"/>
        <v>#ifdef ANALOG1
#ifndef ANALOG1_CHANNEL
#define ANALOG1_CHANNEL -1
#endif
#define DIO115_CHANNEL ANALOG1_CHANNEL
#endif</v>
      </c>
      <c r="I114" s="4" t="str">
        <f t="shared" si="17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ANALOG2_APB2EN (__rccapb2gpioen__(ANALOG2_PORT))
#define ANALOG2_GPIO (__gpio__(ANALOG2_PORT))
#if (ANALOG2_BIT &lt; 8)
#define ANALOG2_CROFF ANALOG2_BIT
#define ANALOG2_CR CRL
#else
#define ANALOG2_CROFF (ANALOG2_BIT&amp;0x07)
#define ANALOG2_CR CRH
#endif
#define DIO116 116
#define DIO116_PORT ANALOG2_PORT
#define DIO116_BIT ANALOG2_BIT
#define DIO116_APB2EN ANALOG2_APB2EN
#define DIO116_GPIO ANALOG2_GPIO
#define DIO116_CR ANALOG2_CR
#define DIO116_CROFF ANALOG2_CROFF
#endif</v>
      </c>
      <c r="F115" s="9"/>
      <c r="G115" s="9"/>
      <c r="H115" s="12" t="str">
        <f t="shared" si="16"/>
        <v>#ifdef ANALOG2
#ifndef ANALOG2_CHANNEL
#define ANALOG2_CHANNEL -1
#endif
#define DIO116_CHANNEL ANALOG2_CHANNEL
#endif</v>
      </c>
      <c r="I115" s="4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ANALOG3_APB2EN (__rccapb2gpioen__(ANALOG3_PORT))
#define ANALOG3_GPIO (__gpio__(ANALOG3_PORT))
#if (ANALOG3_BIT &lt; 8)
#define ANALOG3_CROFF ANALOG3_BIT
#define ANALOG3_CR CRL
#else
#define ANALOG3_CROFF (ANALOG3_BIT&amp;0x07)
#define ANALOG3_CR CRH
#endif
#define DIO117 117
#define DIO117_PORT ANALOG3_PORT
#define DIO117_BIT ANALOG3_BIT
#define DIO117_APB2EN ANALOG3_APB2EN
#define DIO117_GPIO ANALOG3_GPIO
#define DIO117_CR ANALOG3_CR
#define DIO117_CROFF ANALOG3_CROFF
#endif</v>
      </c>
      <c r="F116" s="9"/>
      <c r="G116" s="9"/>
      <c r="H116" s="12" t="str">
        <f t="shared" si="16"/>
        <v>#ifdef ANALOG3
#ifndef ANALOG3_CHANNEL
#define ANALOG3_CHANNEL -1
#endif
#define DIO117_CHANNEL ANALOG3_CHANNEL
#endif</v>
      </c>
      <c r="I116" s="4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ANALOG4_APB2EN (__rccapb2gpioen__(ANALOG4_PORT))
#define ANALOG4_GPIO (__gpio__(ANALOG4_PORT))
#if (ANALOG4_BIT &lt; 8)
#define ANALOG4_CROFF ANALOG4_BIT
#define ANALOG4_CR CRL
#else
#define ANALOG4_CROFF (ANALOG4_BIT&amp;0x07)
#define ANALOG4_CR CRH
#endif
#define DIO118 118
#define DIO118_PORT ANALOG4_PORT
#define DIO118_BIT ANALOG4_BIT
#define DIO118_APB2EN ANALOG4_APB2EN
#define DIO118_GPIO ANALOG4_GPIO
#define DIO118_CR ANALOG4_CR
#define DIO118_CROFF ANALOG4_CROFF
#endif</v>
      </c>
      <c r="F117" s="9"/>
      <c r="G117" s="9"/>
      <c r="H117" s="12" t="str">
        <f t="shared" si="16"/>
        <v>#ifdef ANALOG4
#ifndef ANALOG4_CHANNEL
#define ANALOG4_CHANNEL -1
#endif
#define DIO118_CHANNEL ANALOG4_CHANNEL
#endif</v>
      </c>
      <c r="I117" s="4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ANALOG5_APB2EN (__rccapb2gpioen__(ANALOG5_PORT))
#define ANALOG5_GPIO (__gpio__(ANALOG5_PORT))
#if (ANALOG5_BIT &lt; 8)
#define ANALOG5_CROFF ANALOG5_BIT
#define ANALOG5_CR CRL
#else
#define ANALOG5_CROFF (ANALOG5_BIT&amp;0x07)
#define ANALOG5_CR CRH
#endif
#define DIO119 119
#define DIO119_PORT ANALOG5_PORT
#define DIO119_BIT ANALOG5_BIT
#define DIO119_APB2EN ANALOG5_APB2EN
#define DIO119_GPIO ANALOG5_GPIO
#define DIO119_CR ANALOG5_CR
#define DIO119_CROFF ANALOG5_CROFF
#endif</v>
      </c>
      <c r="F118" s="9"/>
      <c r="G118" s="9"/>
      <c r="H118" s="12" t="str">
        <f t="shared" si="16"/>
        <v>#ifdef ANALOG5
#ifndef ANALOG5_CHANNEL
#define ANALOG5_CHANNEL -1
#endif
#define DIO119_CHANNEL ANALOG5_CHANNEL
#endif</v>
      </c>
      <c r="I118" s="4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ANALOG6_APB2EN (__rccapb2gpioen__(ANALOG6_PORT))
#define ANALOG6_GPIO (__gpio__(ANALOG6_PORT))
#if (ANALOG6_BIT &lt; 8)
#define ANALOG6_CROFF ANALOG6_BIT
#define ANALOG6_CR CRL
#else
#define ANALOG6_CROFF (ANALOG6_BIT&amp;0x07)
#define ANALOG6_CR CRH
#endif
#define DIO120 120
#define DIO120_PORT ANALOG6_PORT
#define DIO120_BIT ANALOG6_BIT
#define DIO120_APB2EN ANALOG6_APB2EN
#define DIO120_GPIO ANALOG6_GPIO
#define DIO120_CR ANALOG6_CR
#define DIO120_CROFF ANALOG6_CROFF
#endif</v>
      </c>
      <c r="F119" s="9"/>
      <c r="G119" s="9"/>
      <c r="H119" s="12" t="str">
        <f t="shared" si="16"/>
        <v>#ifdef ANALOG6
#ifndef ANALOG6_CHANNEL
#define ANALOG6_CHANNEL -1
#endif
#define DIO120_CHANNEL ANALOG6_CHANNEL
#endif</v>
      </c>
      <c r="I119" s="4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ANALOG7_APB2EN (__rccapb2gpioen__(ANALOG7_PORT))
#define ANALOG7_GPIO (__gpio__(ANALOG7_PORT))
#if (ANALOG7_BIT &lt; 8)
#define ANALOG7_CROFF ANALOG7_BIT
#define ANALOG7_CR CRL
#else
#define ANALOG7_CROFF (ANALOG7_BIT&amp;0x07)
#define ANALOG7_CR CRH
#endif
#define DIO121 121
#define DIO121_PORT ANALOG7_PORT
#define DIO121_BIT ANALOG7_BIT
#define DIO121_APB2EN ANALOG7_APB2EN
#define DIO121_GPIO ANALOG7_GPIO
#define DIO121_CR ANALOG7_CR
#define DIO121_CROFF ANALOG7_CROFF
#endif</v>
      </c>
      <c r="F120" s="9"/>
      <c r="G120" s="9"/>
      <c r="H120" s="12" t="str">
        <f t="shared" si="16"/>
        <v>#ifdef ANALOG7
#ifndef ANALOG7_CHANNEL
#define ANALOG7_CHANNEL -1
#endif
#define DIO121_CHANNEL ANALOG7_CHANNEL
#endif</v>
      </c>
      <c r="I120" s="4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ANALOG8_APB2EN (__rccapb2gpioen__(ANALOG8_PORT))
#define ANALOG8_GPIO (__gpio__(ANALOG8_PORT))
#if (ANALOG8_BIT &lt; 8)
#define ANALOG8_CROFF ANALOG8_BIT
#define ANALOG8_CR CRL
#else
#define ANALOG8_CROFF (ANALOG8_BIT&amp;0x07)
#define ANALOG8_CR CRH
#endif
#define DIO122 122
#define DIO122_PORT ANALOG8_PORT
#define DIO122_BIT ANALOG8_BIT
#define DIO122_APB2EN ANALOG8_APB2EN
#define DIO122_GPIO ANALOG8_GPIO
#define DIO122_CR ANALOG8_CR
#define DIO122_CROFF ANALOG8_CROFF
#endif</v>
      </c>
      <c r="F121" s="9"/>
      <c r="G121" s="9"/>
      <c r="H121" s="12" t="str">
        <f t="shared" si="16"/>
        <v>#ifdef ANALOG8
#ifndef ANALOG8_CHANNEL
#define ANALOG8_CHANNEL -1
#endif
#define DIO122_CHANNEL ANALOG8_CHANNEL
#endif</v>
      </c>
      <c r="I121" s="4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ANALOG9_APB2EN (__rccapb2gpioen__(ANALOG9_PORT))
#define ANALOG9_GPIO (__gpio__(ANALOG9_PORT))
#if (ANALOG9_BIT &lt; 8)
#define ANALOG9_CROFF ANALOG9_BIT
#define ANALOG9_CR CRL
#else
#define ANALOG9_CROFF (ANALOG9_BIT&amp;0x07)
#define ANALOG9_CR CRH
#endif
#define DIO123 123
#define DIO123_PORT ANALOG9_PORT
#define DIO123_BIT ANALOG9_BIT
#define DIO123_APB2EN ANALOG9_APB2EN
#define DIO123_GPIO ANALOG9_GPIO
#define DIO123_CR ANALOG9_CR
#define DIO123_CROFF ANALOG9_CROFF
#endif</v>
      </c>
      <c r="F122" s="9"/>
      <c r="G122" s="9"/>
      <c r="H122" s="12" t="str">
        <f t="shared" si="16"/>
        <v>#ifdef ANALOG9
#ifndef ANALOG9_CHANNEL
#define ANALOG9_CHANNEL -1
#endif
#define DIO123_CHANNEL ANALOG9_CHANNEL
#endif</v>
      </c>
      <c r="I122" s="4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ANALOG10_APB2EN (__rccapb2gpioen__(ANALOG10_PORT))
#define ANALOG10_GPIO (__gpio__(ANALOG10_PORT))
#if (ANALOG10_BIT &lt; 8)
#define ANALOG10_CROFF ANALOG10_BIT
#define ANALOG10_CR CRL
#else
#define ANALOG10_CROFF (ANALOG10_BIT&amp;0x07)
#define ANALOG10_CR CRH
#endif
#define DIO124 124
#define DIO124_PORT ANALOG10_PORT
#define DIO124_BIT ANALOG10_BIT
#define DIO124_APB2EN ANALOG10_APB2EN
#define DIO124_GPIO ANALOG10_GPIO
#define DIO124_CR ANALOG10_CR
#define DIO124_CROFF ANALOG10_CROFF
#endif</v>
      </c>
      <c r="F123" s="9"/>
      <c r="G123" s="9"/>
      <c r="H123" s="12" t="str">
        <f t="shared" si="16"/>
        <v>#ifdef ANALOG10
#ifndef ANALOG10_CHANNEL
#define ANALOG10_CHANNEL -1
#endif
#define DIO124_CHANNEL ANALOG10_CHANNEL
#endif</v>
      </c>
      <c r="I123" s="4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ANALOG11_APB2EN (__rccapb2gpioen__(ANALOG11_PORT))
#define ANALOG11_GPIO (__gpio__(ANALOG11_PORT))
#if (ANALOG11_BIT &lt; 8)
#define ANALOG11_CROFF ANALOG11_BIT
#define ANALOG11_CR CRL
#else
#define ANALOG11_CROFF (ANALOG11_BIT&amp;0x07)
#define ANALOG11_CR CRH
#endif
#define DIO125 125
#define DIO125_PORT ANALOG11_PORT
#define DIO125_BIT ANALOG11_BIT
#define DIO125_APB2EN ANALOG11_APB2EN
#define DIO125_GPIO ANALOG11_GPIO
#define DIO125_CR ANALOG11_CR
#define DIO125_CROFF ANALOG11_CROFF
#endif</v>
      </c>
      <c r="F124" s="9"/>
      <c r="G124" s="9"/>
      <c r="H124" s="12" t="str">
        <f t="shared" si="16"/>
        <v>#ifdef ANALOG11
#ifndef ANALOG11_CHANNEL
#define ANALOG11_CHANNEL -1
#endif
#define DIO125_CHANNEL ANALOG11_CHANNEL
#endif</v>
      </c>
      <c r="I124" s="4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ANALOG12_APB2EN (__rccapb2gpioen__(ANALOG12_PORT))
#define ANALOG12_GPIO (__gpio__(ANALOG12_PORT))
#if (ANALOG12_BIT &lt; 8)
#define ANALOG12_CROFF ANALOG12_BIT
#define ANALOG12_CR CRL
#else
#define ANALOG12_CROFF (ANALOG12_BIT&amp;0x07)
#define ANALOG12_CR CRH
#endif
#define DIO126 126
#define DIO126_PORT ANALOG12_PORT
#define DIO126_BIT ANALOG12_BIT
#define DIO126_APB2EN ANALOG12_APB2EN
#define DIO126_GPIO ANALOG12_GPIO
#define DIO126_CR ANALOG12_CR
#define DIO126_CROFF ANALOG12_CROFF
#endif</v>
      </c>
      <c r="F125" s="9"/>
      <c r="G125" s="9"/>
      <c r="H125" s="12" t="str">
        <f t="shared" si="16"/>
        <v>#ifdef ANALOG12
#ifndef ANALOG12_CHANNEL
#define ANALOG12_CHANNEL -1
#endif
#define DIO126_CHANNEL ANALOG12_CHANNEL
#endif</v>
      </c>
      <c r="I125" s="4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ANALOG13_APB2EN (__rccapb2gpioen__(ANALOG13_PORT))
#define ANALOG13_GPIO (__gpio__(ANALOG13_PORT))
#if (ANALOG13_BIT &lt; 8)
#define ANALOG13_CROFF ANALOG13_BIT
#define ANALOG13_CR CRL
#else
#define ANALOG13_CROFF (ANALOG13_BIT&amp;0x07)
#define ANALOG13_CR CRH
#endif
#define DIO127 127
#define DIO127_PORT ANALOG13_PORT
#define DIO127_BIT ANALOG13_BIT
#define DIO127_APB2EN ANALOG13_APB2EN
#define DIO127_GPIO ANALOG13_GPIO
#define DIO127_CR ANALOG13_CR
#define DIO127_CROFF ANALOG13_CROFF
#endif</v>
      </c>
      <c r="F126" s="9"/>
      <c r="G126" s="9"/>
      <c r="H126" s="12" t="str">
        <f t="shared" si="16"/>
        <v>#ifdef ANALOG13
#ifndef ANALOG13_CHANNEL
#define ANALOG13_CHANNEL -1
#endif
#define DIO127_CHANNEL ANALOG13_CHANNEL
#endif</v>
      </c>
      <c r="I126" s="4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ANALOG14_APB2EN (__rccapb2gpioen__(ANALOG14_PORT))
#define ANALOG14_GPIO (__gpio__(ANALOG14_PORT))
#if (ANALOG14_BIT &lt; 8)
#define ANALOG14_CROFF ANALOG14_BIT
#define ANALOG14_CR CRL
#else
#define ANALOG14_CROFF (ANALOG14_BIT&amp;0x07)
#define ANALOG14_CR CRH
#endif
#define DIO128 128
#define DIO128_PORT ANALOG14_PORT
#define DIO128_BIT ANALOG14_BIT
#define DIO128_APB2EN ANALOG14_APB2EN
#define DIO128_GPIO ANALOG14_GPIO
#define DIO128_CR ANALOG14_CR
#define DIO128_CROFF ANALOG14_CROFF
#endif</v>
      </c>
      <c r="F127" s="9"/>
      <c r="G127" s="9"/>
      <c r="H127" s="12" t="str">
        <f t="shared" si="16"/>
        <v>#ifdef ANALOG14
#ifndef ANALOG14_CHANNEL
#define ANALOG14_CHANNEL -1
#endif
#define DIO128_CHANNEL ANALOG14_CHANNEL
#endif</v>
      </c>
      <c r="I127" s="4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ANALOG15_APB2EN (__rccapb2gpioen__(ANALOG15_PORT))
#define ANALOG15_GPIO (__gpio__(ANALOG15_PORT))
#if (ANALOG15_BIT &lt; 8)
#define ANALOG15_CROFF ANALOG15_BIT
#define ANALOG15_CR CRL
#else
#define ANALOG15_CROFF (ANALOG15_BIT&amp;0x07)
#define ANALOG15_CR CRH
#endif
#define DIO129 129
#define DIO129_PORT ANALOG15_PORT
#define DIO129_BIT ANALOG15_BIT
#define DIO129_APB2EN ANALOG15_APB2EN
#define DIO129_GPIO ANALOG15_GPIO
#define DIO129_CR ANALOG15_CR
#define DIO129_CROFF ANALOG15_CROFF
#endif</v>
      </c>
      <c r="F128" s="9"/>
      <c r="G128" s="9"/>
      <c r="H128" s="12" t="str">
        <f t="shared" si="16"/>
        <v>#ifdef ANALOG15
#ifndef ANALOG15_CHANNEL
#define ANALOG15_CHANNEL -1
#endif
#define DIO129_CHANNEL ANALOG15_CHANNEL
#endif</v>
      </c>
      <c r="I128" s="4" t="str">
        <f t="shared" si="17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DIN0_APB2EN (__rccapb2gpioen__(DIN0_PORT))
#define DIN0_GPIO (__gpio__(DIN0_PORT))
#if (DIN0_BIT &lt; 8)
#define DIN0_CROFF DIN0_BIT
#define DIN0_CR CRL
#else
#define DIN0_CROFF (DIN0_BIT&amp;0x07)
#define DIN0_CR CRH
#endif
#define DIO130 130
#define DIO130_PORT DIN0_PORT
#define DIO130_BIT DIN0_BIT
#define DIO130_APB2EN DIN0_APB2EN
#define DIO130_GPIO DIN0_GPIO
#define DIO130_CR DIN0_CR
#define DIO130_CROFF DIN0_CROFF
#endif</v>
      </c>
      <c r="F129" s="12" t="str">
        <f t="shared" ref="F129:F136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DIN1_APB2EN (__rccapb2gpioen__(DIN1_PORT))
#define DIN1_GPIO (__gpio__(DIN1_PORT))
#if (DIN1_BIT &lt; 8)
#define DIN1_CROFF DIN1_BIT
#define DIN1_CR CRL
#else
#define DIN1_CROFF (DIN1_BIT&amp;0x07)
#define DIN1_CR CRH
#endif
#define DIO131 131
#define DIO131_PORT DIN1_PORT
#define DIO131_BIT DIN1_BIT
#define DIO131_APB2EN DIN1_APB2EN
#define DIO131_GPIO DIN1_GPIO
#define DIO131_CR DIN1_CR
#define DIO131_CROFF DIN1_CROFF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DIN2_APB2EN (__rccapb2gpioen__(DIN2_PORT))
#define DIN2_GPIO (__gpio__(DIN2_PORT))
#if (DIN2_BIT &lt; 8)
#define DIN2_CROFF DIN2_BIT
#define DIN2_CR CRL
#else
#define DIN2_CROFF (DIN2_BIT&amp;0x07)
#define DIN2_CR CRH
#endif
#define DIO132 132
#define DIO132_PORT DIN2_PORT
#define DIO132_BIT DIN2_BIT
#define DIO132_APB2EN DIN2_APB2EN
#define DIO132_GPIO DIN2_GPIO
#define DIO132_CR DIN2_CR
#define DIO132_CROFF DIN2_CROFF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DIN3_APB2EN (__rccapb2gpioen__(DIN3_PORT))
#define DIN3_GPIO (__gpio__(DIN3_PORT))
#if (DIN3_BIT &lt; 8)
#define DIN3_CROFF DIN3_BIT
#define DIN3_CR CRL
#else
#define DIN3_CROFF (DIN3_BIT&amp;0x07)
#define DIN3_CR CRH
#endif
#define DIO133 133
#define DIO133_PORT DIN3_PORT
#define DIO133_BIT DIN3_BIT
#define DIO133_APB2EN DIN3_APB2EN
#define DIO133_GPIO DIN3_GPIO
#define DIO133_CR DIN3_CR
#define DIO133_CROFF DIN3_CROFF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DIN4_APB2EN (__rccapb2gpioen__(DIN4_PORT))
#define DIN4_GPIO (__gpio__(DIN4_PORT))
#if (DIN4_BIT &lt; 8)
#define DIN4_CROFF DIN4_BIT
#define DIN4_CR CRL
#else
#define DIN4_CROFF (DIN4_BIT&amp;0x07)
#define DIN4_CR CRH
#endif
#define DIO134 134
#define DIO134_PORT DIN4_PORT
#define DIO134_BIT DIN4_BIT
#define DIO134_APB2EN DIN4_APB2EN
#define DIO134_GPIO DIN4_GPIO
#define DIO134_CR DIN4_CR
#define DIO134_CROFF DIN4_CROFF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DIN5_APB2EN (__rccapb2gpioen__(DIN5_PORT))
#define DIN5_GPIO (__gpio__(DIN5_PORT))
#if (DIN5_BIT &lt; 8)
#define DIN5_CROFF DIN5_BIT
#define DIN5_CR CRL
#else
#define DIN5_CROFF (DIN5_BIT&amp;0x07)
#define DIN5_CR CRH
#endif
#define DIO135 135
#define DIO135_PORT DIN5_PORT
#define DIO135_BIT DIN5_BIT
#define DIO135_APB2EN DIN5_APB2EN
#define DIO135_GPIO DIN5_GPIO
#define DIO135_CR DIN5_CR
#define DIO135_CROFF DIN5_CROFF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DIN6_APB2EN (__rccapb2gpioen__(DIN6_PORT))
#define DIN6_GPIO (__gpio__(DIN6_PORT))
#if (DIN6_BIT &lt; 8)
#define DIN6_CROFF DIN6_BIT
#define DIN6_CR CRL
#else
#define DIN6_CROFF (DIN6_BIT&amp;0x07)
#define DIN6_CR CRH
#endif
#define DIO136 136
#define DIO136_PORT DIN6_PORT
#define DIO136_BIT DIN6_BIT
#define DIO136_APB2EN DIN6_APB2EN
#define DIO136_GPIO DIN6_GPIO
#define DIO136_CR DIN6_CR
#define DIO136_CROFF DIN6_CROFF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DIN7_APB2EN (__rccapb2gpioen__(DIN7_PORT))
#define DIN7_GPIO (__gpio__(DIN7_PORT))
#if (DIN7_BIT &lt; 8)
#define DIN7_CROFF DIN7_BIT
#define DIN7_CR CRL
#else
#define DIN7_CROFF (DIN7_BIT&amp;0x07)
#define DIN7_CR CRH
#endif
#define DIO137 137
#define DIO137_PORT DIN7_PORT
#define DIO137_BIT DIN7_BIT
#define DIO137_APB2EN DIN7_APB2EN
#define DIO137_GPIO DIN7_GPIO
#define DIO137_CR DIN7_CR
#define DIO137_CROFF DIN7_CROFF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DIN8_APB2EN (__rccapb2gpioen__(DIN8_PORT))
#define DIN8_GPIO (__gpio__(DIN8_PORT))
#if (DIN8_BIT &lt; 8)
#define DIN8_CROFF DIN8_BIT
#define DIN8_CR CRL
#else
#define DIN8_CROFF (DIN8_BIT&amp;0x07)
#define DIN8_CR CRH
#endif
#define DIO138 138
#define DIO138_PORT DIN8_PORT
#define DIO138_BIT DIN8_BIT
#define DIO138_APB2EN DIN8_APB2EN
#define DIO138_GPIO DIN8_GPIO
#define DIO138_CR DIN8_CR
#define DIO138_CROFF DIN8_CROFF
#endif</v>
      </c>
      <c r="F137" s="12"/>
      <c r="G137" s="9"/>
      <c r="H137" s="9"/>
      <c r="I137" s="4" t="str">
        <f t="shared" ref="I137:I154" si="20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DIN9_APB2EN (__rccapb2gpioen__(DIN9_PORT))
#define DIN9_GPIO (__gpio__(DIN9_PORT))
#if (DIN9_BIT &lt; 8)
#define DIN9_CROFF DIN9_BIT
#define DIN9_CR CRL
#else
#define DIN9_CROFF (DIN9_BIT&amp;0x07)
#define DIN9_CR CRH
#endif
#define DIO139 139
#define DIO139_PORT DIN9_PORT
#define DIO139_BIT DIN9_BIT
#define DIO139_APB2EN DIN9_APB2EN
#define DIO139_GPIO DIN9_GPIO
#define DIO139_CR DIN9_CR
#define DIO139_CROFF DIN9_CROFF
#endif</v>
      </c>
      <c r="F138" s="9"/>
      <c r="G138" s="9"/>
      <c r="H138" s="9"/>
      <c r="I138" s="4" t="str">
        <f t="shared" si="20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DIN10_APB2EN (__rccapb2gpioen__(DIN10_PORT))
#define DIN10_GPIO (__gpio__(DIN10_PORT))
#if (DIN10_BIT &lt; 8)
#define DIN10_CROFF DIN10_BIT
#define DIN10_CR CRL
#else
#define DIN10_CROFF (DIN10_BIT&amp;0x07)
#define DIN10_CR CRH
#endif
#define DIO140 140
#define DIO140_PORT DIN10_PORT
#define DIO140_BIT DIN10_BIT
#define DIO140_APB2EN DIN10_APB2EN
#define DIO140_GPIO DIN10_GPIO
#define DIO140_CR DIN10_CR
#define DIO140_CROFF DIN10_CROFF
#endif</v>
      </c>
      <c r="F139" s="9"/>
      <c r="G139" s="9"/>
      <c r="H139" s="9"/>
      <c r="I139" s="4" t="str">
        <f t="shared" si="20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DIN11_APB2EN (__rccapb2gpioen__(DIN11_PORT))
#define DIN11_GPIO (__gpio__(DIN11_PORT))
#if (DIN11_BIT &lt; 8)
#define DIN11_CROFF DIN11_BIT
#define DIN11_CR CRL
#else
#define DIN11_CROFF (DIN11_BIT&amp;0x07)
#define DIN11_CR CRH
#endif
#define DIO141 141
#define DIO141_PORT DIN11_PORT
#define DIO141_BIT DIN11_BIT
#define DIO141_APB2EN DIN11_APB2EN
#define DIO141_GPIO DIN11_GPIO
#define DIO141_CR DIN11_CR
#define DIO141_CROFF DIN11_CROFF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DIN12_APB2EN (__rccapb2gpioen__(DIN12_PORT))
#define DIN12_GPIO (__gpio__(DIN12_PORT))
#if (DIN12_BIT &lt; 8)
#define DIN12_CROFF DIN12_BIT
#define DIN12_CR CRL
#else
#define DIN12_CROFF (DIN12_BIT&amp;0x07)
#define DIN12_CR CRH
#endif
#define DIO142 142
#define DIO142_PORT DIN12_PORT
#define DIO142_BIT DIN12_BIT
#define DIO142_APB2EN DIN12_APB2EN
#define DIO142_GPIO DIN12_GPIO
#define DIO142_CR DIN12_CR
#define DIO142_CROFF DIN12_CROFF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DIN13_APB2EN (__rccapb2gpioen__(DIN13_PORT))
#define DIN13_GPIO (__gpio__(DIN13_PORT))
#if (DIN13_BIT &lt; 8)
#define DIN13_CROFF DIN13_BIT
#define DIN13_CR CRL
#else
#define DIN13_CROFF (DIN13_BIT&amp;0x07)
#define DIN13_CR CRH
#endif
#define DIO143 143
#define DIO143_PORT DIN13_PORT
#define DIO143_BIT DIN13_BIT
#define DIO143_APB2EN DIN13_APB2EN
#define DIO143_GPIO DIN13_GPIO
#define DIO143_CR DIN13_CR
#define DIO143_CROFF DIN13_CROFF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DIN14_APB2EN (__rccapb2gpioen__(DIN14_PORT))
#define DIN14_GPIO (__gpio__(DIN14_PORT))
#if (DIN14_BIT &lt; 8)
#define DIN14_CROFF DIN14_BIT
#define DIN14_CR CRL
#else
#define DIN14_CROFF (DIN14_BIT&amp;0x07)
#define DIN14_CR CRH
#endif
#define DIO144 144
#define DIO144_PORT DIN14_PORT
#define DIO144_BIT DIN14_BIT
#define DIO144_APB2EN DIN14_APB2EN
#define DIO144_GPIO DIN14_GPIO
#define DIO144_CR DIN14_CR
#define DIO144_CROFF DIN14_CROFF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DIN15_APB2EN (__rccapb2gpioen__(DIN15_PORT))
#define DIN15_GPIO (__gpio__(DIN15_PORT))
#if (DIN15_BIT &lt; 8)
#define DIN15_CROFF DIN15_BIT
#define DIN15_CR CRL
#else
#define DIN15_CROFF (DIN15_BIT&amp;0x07)
#define DIN15_CR CRH
#endif
#define DIO145 145
#define DIO145_PORT DIN15_PORT
#define DIO145_BIT DIN15_BIT
#define DIO145_APB2EN DIN15_APB2EN
#define DIO145_GPIO DIN15_GPIO
#define DIO145_CR DIN15_CR
#define DIO145_CROFF DIN15_CROFF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ref="E145:E160" si="21">"#if (defined("&amp;C145&amp;"_PORT) &amp;&amp; defined("&amp;C145&amp;"_BIT))
#define "&amp;C145&amp;" "&amp;A145&amp;"
#define "&amp;C145&amp;"_APB2EN (__rccapb2gpioen__("&amp;C145&amp;"_PORT))
#define "&amp;C145&amp;"_GPIO (__gpio__("&amp;C145&amp;"_PORT))
#if ("&amp;C145&amp;"_BIT &lt; 8)
#define "&amp;C145&amp;"_CROFF "&amp;C145&amp;"_BIT
#define "&amp;C145&amp;"_CR CRL
#else
#define "&amp;C145&amp;"_CROFF ("&amp;C145&amp;"_BIT&amp;0x07)
#define "&amp;C145&amp;"_CR CRH
#endif
#define "&amp;B145&amp;" "&amp;A145&amp;"
#define "&amp;B145&amp;"_PORT "&amp;C145&amp;"_PORT
#define "&amp;B145&amp;"_BIT "&amp;C145&amp;"_BIT
#define "&amp;B145&amp;"_APB2EN "&amp;C145&amp;"_APB2EN
#define "&amp;B145&amp;"_GPIO "&amp;C145&amp;"_GPIO
#define "&amp;B145&amp;"_CR "&amp;C145&amp;"_CR
#define "&amp;B145&amp;"_CROFF "&amp;C145&amp;"_CROFF
#endif"</f>
        <v>#if (defined(DIN16_PORT) &amp;&amp; defined(DIN16_BIT))
#define DIN16 146
#define DIN16_APB2EN (__rccapb2gpioen__(DIN16_PORT))
#define DIN16_GPIO (__gpio__(DIN16_PORT))
#if (DIN16_BIT &lt; 8)
#define DIN16_CROFF DIN16_BIT
#define DIN16_CR CRL
#else
#define DIN16_CROFF (DIN16_BIT&amp;0x07)
#define DIN16_CR CRH
#endif
#define DIO146 146
#define DIO146_PORT DIN16_PORT
#define DIO146_BIT DIN16_BIT
#define DIO146_APB2EN DIN16_APB2EN
#define DIO146_GPIO DIN16_GPIO
#define DIO146_CR DIN16_CR
#define DIO146_CROFF DIN16_CROFF
#endif</v>
      </c>
      <c r="F145" s="12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21"/>
        <v>#if (defined(DIN17_PORT) &amp;&amp; defined(DIN17_BIT))
#define DIN17 147
#define DIN17_APB2EN (__rccapb2gpioen__(DIN17_PORT))
#define DIN17_GPIO (__gpio__(DIN17_PORT))
#if (DIN17_BIT &lt; 8)
#define DIN17_CROFF DIN17_BIT
#define DIN17_CR CRL
#else
#define DIN17_CROFF (DIN17_BIT&amp;0x07)
#define DIN17_CR CRH
#endif
#define DIO147 147
#define DIO147_PORT DIN17_PORT
#define DIO147_BIT DIN17_BIT
#define DIO147_APB2EN DIN17_APB2EN
#define DIO147_GPIO DIN17_GPIO
#define DIO147_CR DIN17_CR
#define DIO147_CROFF DIN17_CROFF
#endif</v>
      </c>
      <c r="F146" s="12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21"/>
        <v>#if (defined(DIN18_PORT) &amp;&amp; defined(DIN18_BIT))
#define DIN18 148
#define DIN18_APB2EN (__rccapb2gpioen__(DIN18_PORT))
#define DIN18_GPIO (__gpio__(DIN18_PORT))
#if (DIN18_BIT &lt; 8)
#define DIN18_CROFF DIN18_BIT
#define DIN18_CR CRL
#else
#define DIN18_CROFF (DIN18_BIT&amp;0x07)
#define DIN18_CR CRH
#endif
#define DIO148 148
#define DIO148_PORT DIN18_PORT
#define DIO148_BIT DIN18_BIT
#define DIO148_APB2EN DIN18_APB2EN
#define DIO148_GPIO DIN18_GPIO
#define DIO148_CR DIN18_CR
#define DIO148_CROFF DIN18_CROFF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DIN19_APB2EN (__rccapb2gpioen__(DIN19_PORT))
#define DIN19_GPIO (__gpio__(DIN19_PORT))
#if (DIN19_BIT &lt; 8)
#define DIN19_CROFF DIN19_BIT
#define DIN19_CR CRL
#else
#define DIN19_CROFF (DIN19_BIT&amp;0x07)
#define DIN19_CR CRH
#endif
#define DIO149 149
#define DIO149_PORT DIN19_PORT
#define DIO149_BIT DIN19_BIT
#define DIO149_APB2EN DIN19_APB2EN
#define DIO149_GPIO DIN19_GPIO
#define DIO149_CR DIN19_CR
#define DIO149_CROFF DIN19_CROFF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DIN20_APB2EN (__rccapb2gpioen__(DIN20_PORT))
#define DIN20_GPIO (__gpio__(DIN20_PORT))
#if (DIN20_BIT &lt; 8)
#define DIN20_CROFF DIN20_BIT
#define DIN20_CR CRL
#else
#define DIN20_CROFF (DIN20_BIT&amp;0x07)
#define DIN20_CR CRH
#endif
#define DIO150 150
#define DIO150_PORT DIN20_PORT
#define DIO150_BIT DIN20_BIT
#define DIO150_APB2EN DIN20_APB2EN
#define DIO150_GPIO DIN20_GPIO
#define DIO150_CR DIN20_CR
#define DIO150_CROFF DIN20_CROFF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DIN21_APB2EN (__rccapb2gpioen__(DIN21_PORT))
#define DIN21_GPIO (__gpio__(DIN21_PORT))
#if (DIN21_BIT &lt; 8)
#define DIN21_CROFF DIN21_BIT
#define DIN21_CR CRL
#else
#define DIN21_CROFF (DIN21_BIT&amp;0x07)
#define DIN21_CR CRH
#endif
#define DIO151 151
#define DIO151_PORT DIN21_PORT
#define DIO151_BIT DIN21_BIT
#define DIO151_APB2EN DIN21_APB2EN
#define DIO151_GPIO DIN21_GPIO
#define DIO151_CR DIN21_CR
#define DIO151_CROFF DIN21_CROFF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DIN22_APB2EN (__rccapb2gpioen__(DIN22_PORT))
#define DIN22_GPIO (__gpio__(DIN22_PORT))
#if (DIN22_BIT &lt; 8)
#define DIN22_CROFF DIN22_BIT
#define DIN22_CR CRL
#else
#define DIN22_CROFF (DIN22_BIT&amp;0x07)
#define DIN22_CR CRH
#endif
#define DIO152 152
#define DIO152_PORT DIN22_PORT
#define DIO152_BIT DIN22_BIT
#define DIO152_APB2EN DIN22_APB2EN
#define DIO152_GPIO DIN22_GPIO
#define DIO152_CR DIN22_CR
#define DIO152_CROFF DIN22_CROFF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DIN23_APB2EN (__rccapb2gpioen__(DIN23_PORT))
#define DIN23_GPIO (__gpio__(DIN23_PORT))
#if (DIN23_BIT &lt; 8)
#define DIN23_CROFF DIN23_BIT
#define DIN23_CR CRL
#else
#define DIN23_CROFF (DIN23_BIT&amp;0x07)
#define DIN23_CR CRH
#endif
#define DIO153 153
#define DIO153_PORT DIN23_PORT
#define DIO153_BIT DIN23_BIT
#define DIO153_APB2EN DIN23_APB2EN
#define DIO153_GPIO DIN23_GPIO
#define DIO153_CR DIN23_CR
#define DIO153_CROFF DIN23_CROFF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DIN24_APB2EN (__rccapb2gpioen__(DIN24_PORT))
#define DIN24_GPIO (__gpio__(DIN24_PORT))
#if (DIN24_BIT &lt; 8)
#define DIN24_CROFF DIN24_BIT
#define DIN24_CR CRL
#else
#define DIN24_CROFF (DIN24_BIT&amp;0x07)
#define DIN24_CR CRH
#endif
#define DIO154 154
#define DIO154_PORT DIN24_PORT
#define DIO154_BIT DIN24_BIT
#define DIO154_APB2EN DIN24_APB2EN
#define DIO154_GPIO DIN24_GPIO
#define DIO154_CR DIN24_CR
#define DIO154_CROFF DIN24_CROFF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DIN25_APB2EN (__rccapb2gpioen__(DIN25_PORT))
#define DIN25_GPIO (__gpio__(DIN25_PORT))
#if (DIN25_BIT &lt; 8)
#define DIN25_CROFF DIN25_BIT
#define DIN25_CR CRL
#else
#define DIN25_CROFF (DIN25_BIT&amp;0x07)
#define DIN25_CR CRH
#endif
#define DIO155 155
#define DIO155_PORT DIN25_PORT
#define DIO155_BIT DIN25_BIT
#define DIO155_APB2EN DIN25_APB2EN
#define DIO155_GPIO DIN25_GPIO
#define DIO155_CR DIN25_CR
#define DIO155_CROFF DIN25_CROFF
#endif</v>
      </c>
      <c r="F154" s="9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DIN26_APB2EN (__rccapb2gpioen__(DIN26_PORT))
#define DIN26_GPIO (__gpio__(DIN26_PORT))
#if (DIN26_BIT &lt; 8)
#define DIN26_CROFF DIN26_BIT
#define DIN26_CR CRL
#else
#define DIN26_CROFF (DIN26_BIT&amp;0x07)
#define DIN26_CR CRH
#endif
#define DIO156 156
#define DIO156_PORT DIN26_PORT
#define DIO156_BIT DIN26_BIT
#define DIO156_APB2EN DIN26_APB2EN
#define DIO156_GPIO DIN26_GPIO
#define DIO156_CR DIN26_CR
#define DIO156_CROFF DIN26_CROFF
#endif</v>
      </c>
      <c r="F155" s="9"/>
      <c r="G155" s="9"/>
      <c r="H155" s="9"/>
      <c r="I155" s="4" t="str">
        <f t="shared" ref="I155:I184" si="22">"#if "&amp;C155&amp;"&gt;=0
mcu_config_input("&amp;C155&amp;");
#ifdef "&amp;C155&amp;"_PULLUP
mcu_config_pullup("&amp;C155&amp;");
#endif
#endif"</f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DIN27_APB2EN (__rccapb2gpioen__(DIN27_PORT))
#define DIN27_GPIO (__gpio__(DIN27_PORT))
#if (DIN27_BIT &lt; 8)
#define DIN27_CROFF DIN27_BIT
#define DIN27_CR CRL
#else
#define DIN27_CROFF (DIN27_BIT&amp;0x07)
#define DIN27_CR CRH
#endif
#define DIO157 157
#define DIO157_PORT DIN27_PORT
#define DIO157_BIT DIN27_BIT
#define DIO157_APB2EN DIN27_APB2EN
#define DIO157_GPIO DIN27_GPIO
#define DIO157_CR DIN27_CR
#define DIO157_CROFF DIN27_CROFF
#endif</v>
      </c>
      <c r="F156" s="9"/>
      <c r="G156" s="9"/>
      <c r="H156" s="9"/>
      <c r="I156" s="4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DIN28_APB2EN (__rccapb2gpioen__(DIN28_PORT))
#define DIN28_GPIO (__gpio__(DIN28_PORT))
#if (DIN28_BIT &lt; 8)
#define DIN28_CROFF DIN28_BIT
#define DIN28_CR CRL
#else
#define DIN28_CROFF (DIN28_BIT&amp;0x07)
#define DIN28_CR CRH
#endif
#define DIO158 158
#define DIO158_PORT DIN28_PORT
#define DIO158_BIT DIN28_BIT
#define DIO158_APB2EN DIN28_APB2EN
#define DIO158_GPIO DIN28_GPIO
#define DIO158_CR DIN28_CR
#define DIO158_CROFF DIN28_CROFF
#endif</v>
      </c>
      <c r="F157" s="9"/>
      <c r="G157" s="9"/>
      <c r="H157" s="9"/>
      <c r="I157" s="4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DIN29_APB2EN (__rccapb2gpioen__(DIN29_PORT))
#define DIN29_GPIO (__gpio__(DIN29_PORT))
#if (DIN29_BIT &lt; 8)
#define DIN29_CROFF DIN29_BIT
#define DIN29_CR CRL
#else
#define DIN29_CROFF (DIN29_BIT&amp;0x07)
#define DIN29_CR CRH
#endif
#define DIO159 159
#define DIO159_PORT DIN29_PORT
#define DIO159_BIT DIN29_BIT
#define DIO159_APB2EN DIN29_APB2EN
#define DIO159_GPIO DIN29_GPIO
#define DIO159_CR DIN29_CR
#define DIO159_CROFF DIN29_CROFF
#endif</v>
      </c>
      <c r="F158" s="9"/>
      <c r="G158" s="9"/>
      <c r="H158" s="9"/>
      <c r="I158" s="4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DIN30_APB2EN (__rccapb2gpioen__(DIN30_PORT))
#define DIN30_GPIO (__gpio__(DIN30_PORT))
#if (DIN30_BIT &lt; 8)
#define DIN30_CROFF DIN30_BIT
#define DIN30_CR CRL
#else
#define DIN30_CROFF (DIN30_BIT&amp;0x07)
#define DIN30_CR CRH
#endif
#define DIO160 160
#define DIO160_PORT DIN30_PORT
#define DIO160_BIT DIN30_BIT
#define DIO160_APB2EN DIN30_APB2EN
#define DIO160_GPIO DIN30_GPIO
#define DIO160_CR DIN30_CR
#define DIO160_CROFF DIN30_CROFF
#endif</v>
      </c>
      <c r="F159" s="9"/>
      <c r="G159" s="9"/>
      <c r="H159" s="9"/>
      <c r="I159" s="4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DIN31_APB2EN (__rccapb2gpioen__(DIN31_PORT))
#define DIN31_GPIO (__gpio__(DIN31_PORT))
#if (DIN31_BIT &lt; 8)
#define DIN31_CROFF DIN31_BIT
#define DIN31_CR CRL
#else
#define DIN31_CROFF (DIN31_BIT&amp;0x07)
#define DIN31_CR CRH
#endif
#define DIO161 161
#define DIO161_PORT DIN31_PORT
#define DIO161_BIT DIN31_BIT
#define DIO161_APB2EN DIN31_APB2EN
#define DIO161_GPIO DIN31_GPIO
#define DIO161_CR DIN31_CR
#define DIO161_CROFF DIN31_CROFF
#endif</v>
      </c>
      <c r="F160" s="9"/>
      <c r="G160" s="9"/>
      <c r="H160" s="9"/>
      <c r="I160" s="4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3">"DIO"&amp;A161</f>
        <v>DIO162</v>
      </c>
      <c r="C161" s="5" t="s">
        <v>545</v>
      </c>
      <c r="D161" s="4">
        <v>32</v>
      </c>
      <c r="E161" s="9" t="str">
        <f>"#if (defined("&amp;C161&amp;"_PORT) &amp;&amp; defined("&amp;C161&amp;"_BIT))
#define "&amp;C161&amp;" "&amp;A161&amp;"
#define "&amp;C161&amp;"_APB2EN (__rccapb2gpioen__("&amp;C161&amp;"_PORT))
#define "&amp;C161&amp;"_GPIO (__gpio__("&amp;C161&amp;"_PORT))
#if ("&amp;C161&amp;"_BIT &lt; 8)
#define "&amp;C161&amp;"_CROFF "&amp;C161&amp;"_BIT
#define "&amp;C161&amp;"_CR CRL
#else
#define "&amp;C161&amp;"_CROFF ("&amp;C161&amp;"_BIT &amp; 0x07)
#define "&amp;C161&amp;"_CR CRH
#endif
#define DIO"&amp;A161&amp;" "&amp;A161&amp;"
#define DIO"&amp;A161&amp;"_PORT "&amp;C161&amp;"_PORT
#define DIO"&amp;A161&amp;"_BIT "&amp;C161&amp;"_BIT
#define DIO"&amp;A161&amp;"_APB2EN "&amp;C161&amp;"_APB2EN
#define DIO"&amp;A161&amp;"_GPIO "&amp;C161&amp;"_GPIO
#define DIO"&amp;A161&amp;"_CR "&amp;C161&amp;"_CR
#define DIO"&amp;A161&amp;"_CROFF "&amp;C161&amp;"_CROFF
#endif"</f>
        <v>#if (defined(DIN32_PORT) &amp;&amp; defined(DIN32_BIT))
#define DIN32 162
#define DIN32_APB2EN (__rccapb2gpioen__(DIN32_PORT))
#define DIN32_GPIO (__gpio__(DIN32_PORT))
#if (DIN32_BIT &lt; 8)
#define DIN32_CROFF DIN32_BIT
#define DIN32_CR CRL
#else
#define DIN32_CROFF (DIN32_BIT &amp; 0x07)
#define DIN32_CR CRH
#endif
#define DIO162 162
#define DIO162_PORT DIN32_PORT
#define DIO162_BIT DIN32_BIT
#define DIO162_APB2EN DIN32_APB2EN
#define DIO162_GPIO DIN32_GPIO
#define DIO162_CR DIN32_CR
#define DIO162_CROFF DIN32_CROFF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3"/>
        <v>DIO163</v>
      </c>
      <c r="C162" s="5" t="s">
        <v>546</v>
      </c>
      <c r="D162" s="4">
        <v>33</v>
      </c>
      <c r="E162" s="9" t="str">
        <f t="shared" ref="E162:E178" si="24">"#if (defined("&amp;C162&amp;"_PORT) &amp;&amp; defined("&amp;C162&amp;"_BIT))
#define "&amp;C162&amp;" "&amp;A162&amp;"
#define "&amp;C162&amp;"_APB2EN (__rccapb2gpioen__("&amp;C162&amp;"_PORT))
#define "&amp;C162&amp;"_GPIO (__gpio__("&amp;C162&amp;"_PORT))
#if ("&amp;C162&amp;"_BIT &lt; 8)
#define "&amp;C162&amp;"_CROFF "&amp;C162&amp;"_BIT
#define "&amp;C162&amp;"_CR CRL
#else
#define "&amp;C162&amp;"_CROFF ("&amp;C162&amp;"_BIT &amp; 0x07)
#define "&amp;C162&amp;"_CR CRH
#endif
#define DIO"&amp;A162&amp;" "&amp;A162&amp;"
#define DIO"&amp;A162&amp;"_PORT "&amp;C162&amp;"_PORT
#define DIO"&amp;A162&amp;"_BIT "&amp;C162&amp;"_BIT
#define DIO"&amp;A162&amp;"_APB2EN "&amp;C162&amp;"_APB2EN
#define DIO"&amp;A162&amp;"_GPIO "&amp;C162&amp;"_GPIO
#define DIO"&amp;A162&amp;"_CR "&amp;C162&amp;"_CR
#define DIO"&amp;A162&amp;"_CROFF "&amp;C162&amp;"_CROFF
#endif"</f>
        <v>#if (defined(DIN33_PORT) &amp;&amp; defined(DIN33_BIT))
#define DIN33 163
#define DIN33_APB2EN (__rccapb2gpioen__(DIN33_PORT))
#define DIN33_GPIO (__gpio__(DIN33_PORT))
#if (DIN33_BIT &lt; 8)
#define DIN33_CROFF DIN33_BIT
#define DIN33_CR CRL
#else
#define DIN33_CROFF (DIN33_BIT &amp; 0x07)
#define DIN33_CR CRH
#endif
#define DIO163 163
#define DIO163_PORT DIN33_PORT
#define DIO163_BIT DIN33_BIT
#define DIO163_APB2EN DIN33_APB2EN
#define DIO163_GPIO DIN33_GPIO
#define DIO163_CR DIN33_CR
#define DIO163_CROFF DIN33_CROFF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3"/>
        <v>DIO164</v>
      </c>
      <c r="C163" s="5" t="s">
        <v>547</v>
      </c>
      <c r="D163" s="4">
        <v>34</v>
      </c>
      <c r="E163" s="9" t="str">
        <f t="shared" si="24"/>
        <v>#if (defined(DIN34_PORT) &amp;&amp; defined(DIN34_BIT))
#define DIN34 164
#define DIN34_APB2EN (__rccapb2gpioen__(DIN34_PORT))
#define DIN34_GPIO (__gpio__(DIN34_PORT))
#if (DIN34_BIT &lt; 8)
#define DIN34_CROFF DIN34_BIT
#define DIN34_CR CRL
#else
#define DIN34_CROFF (DIN34_BIT &amp; 0x07)
#define DIN34_CR CRH
#endif
#define DIO164 164
#define DIO164_PORT DIN34_PORT
#define DIO164_BIT DIN34_BIT
#define DIO164_APB2EN DIN34_APB2EN
#define DIO164_GPIO DIN34_GPIO
#define DIO164_CR DIN34_CR
#define DIO164_CROFF DIN34_CROFF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3"/>
        <v>DIO165</v>
      </c>
      <c r="C164" s="5" t="s">
        <v>548</v>
      </c>
      <c r="D164" s="4">
        <v>35</v>
      </c>
      <c r="E164" s="9" t="str">
        <f t="shared" si="24"/>
        <v>#if (defined(DIN35_PORT) &amp;&amp; defined(DIN35_BIT))
#define DIN35 165
#define DIN35_APB2EN (__rccapb2gpioen__(DIN35_PORT))
#define DIN35_GPIO (__gpio__(DIN35_PORT))
#if (DIN35_BIT &lt; 8)
#define DIN35_CROFF DIN35_BIT
#define DIN35_CR CRL
#else
#define DIN35_CROFF (DIN35_BIT &amp; 0x07)
#define DIN35_CR CRH
#endif
#define DIO165 165
#define DIO165_PORT DIN35_PORT
#define DIO165_BIT DIN35_BIT
#define DIO165_APB2EN DIN35_APB2EN
#define DIO165_GPIO DIN35_GPIO
#define DIO165_CR DIN35_CR
#define DIO165_CROFF DIN35_CROFF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3"/>
        <v>DIO166</v>
      </c>
      <c r="C165" s="5" t="s">
        <v>549</v>
      </c>
      <c r="D165" s="4">
        <v>36</v>
      </c>
      <c r="E165" s="9" t="str">
        <f t="shared" si="24"/>
        <v>#if (defined(DIN36_PORT) &amp;&amp; defined(DIN36_BIT))
#define DIN36 166
#define DIN36_APB2EN (__rccapb2gpioen__(DIN36_PORT))
#define DIN36_GPIO (__gpio__(DIN36_PORT))
#if (DIN36_BIT &lt; 8)
#define DIN36_CROFF DIN36_BIT
#define DIN36_CR CRL
#else
#define DIN36_CROFF (DIN36_BIT &amp; 0x07)
#define DIN36_CR CRH
#endif
#define DIO166 166
#define DIO166_PORT DIN36_PORT
#define DIO166_BIT DIN36_BIT
#define DIO166_APB2EN DIN36_APB2EN
#define DIO166_GPIO DIN36_GPIO
#define DIO166_CR DIN36_CR
#define DIO166_CROFF DIN36_CROFF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3"/>
        <v>DIO167</v>
      </c>
      <c r="C166" s="5" t="s">
        <v>550</v>
      </c>
      <c r="D166" s="4">
        <v>37</v>
      </c>
      <c r="E166" s="9" t="str">
        <f t="shared" si="24"/>
        <v>#if (defined(DIN37_PORT) &amp;&amp; defined(DIN37_BIT))
#define DIN37 167
#define DIN37_APB2EN (__rccapb2gpioen__(DIN37_PORT))
#define DIN37_GPIO (__gpio__(DIN37_PORT))
#if (DIN37_BIT &lt; 8)
#define DIN37_CROFF DIN37_BIT
#define DIN37_CR CRL
#else
#define DIN37_CROFF (DIN37_BIT &amp; 0x07)
#define DIN37_CR CRH
#endif
#define DIO167 167
#define DIO167_PORT DIN37_PORT
#define DIO167_BIT DIN37_BIT
#define DIO167_APB2EN DIN37_APB2EN
#define DIO167_GPIO DIN37_GPIO
#define DIO167_CR DIN37_CR
#define DIO167_CROFF DIN37_CROFF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3"/>
        <v>DIO168</v>
      </c>
      <c r="C167" s="5" t="s">
        <v>551</v>
      </c>
      <c r="D167" s="4">
        <v>38</v>
      </c>
      <c r="E167" s="9" t="str">
        <f t="shared" si="24"/>
        <v>#if (defined(DIN38_PORT) &amp;&amp; defined(DIN38_BIT))
#define DIN38 168
#define DIN38_APB2EN (__rccapb2gpioen__(DIN38_PORT))
#define DIN38_GPIO (__gpio__(DIN38_PORT))
#if (DIN38_BIT &lt; 8)
#define DIN38_CROFF DIN38_BIT
#define DIN38_CR CRL
#else
#define DIN38_CROFF (DIN38_BIT &amp; 0x07)
#define DIN38_CR CRH
#endif
#define DIO168 168
#define DIO168_PORT DIN38_PORT
#define DIO168_BIT DIN38_BIT
#define DIO168_APB2EN DIN38_APB2EN
#define DIO168_GPIO DIN38_GPIO
#define DIO168_CR DIN38_CR
#define DIO168_CROFF DIN38_CROFF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3"/>
        <v>DIO169</v>
      </c>
      <c r="C168" s="5" t="s">
        <v>552</v>
      </c>
      <c r="D168" s="4">
        <v>39</v>
      </c>
      <c r="E168" s="9" t="str">
        <f t="shared" si="24"/>
        <v>#if (defined(DIN39_PORT) &amp;&amp; defined(DIN39_BIT))
#define DIN39 169
#define DIN39_APB2EN (__rccapb2gpioen__(DIN39_PORT))
#define DIN39_GPIO (__gpio__(DIN39_PORT))
#if (DIN39_BIT &lt; 8)
#define DIN39_CROFF DIN39_BIT
#define DIN39_CR CRL
#else
#define DIN39_CROFF (DIN39_BIT &amp; 0x07)
#define DIN39_CR CRH
#endif
#define DIO169 169
#define DIO169_PORT DIN39_PORT
#define DIO169_BIT DIN39_BIT
#define DIO169_APB2EN DIN39_APB2EN
#define DIO169_GPIO DIN39_GPIO
#define DIO169_CR DIN39_CR
#define DIO169_CROFF DIN39_CROFF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3"/>
        <v>DIO170</v>
      </c>
      <c r="C169" s="5" t="s">
        <v>553</v>
      </c>
      <c r="D169" s="4">
        <v>40</v>
      </c>
      <c r="E169" s="9" t="str">
        <f t="shared" si="24"/>
        <v>#if (defined(DIN40_PORT) &amp;&amp; defined(DIN40_BIT))
#define DIN40 170
#define DIN40_APB2EN (__rccapb2gpioen__(DIN40_PORT))
#define DIN40_GPIO (__gpio__(DIN40_PORT))
#if (DIN40_BIT &lt; 8)
#define DIN40_CROFF DIN40_BIT
#define DIN40_CR CRL
#else
#define DIN40_CROFF (DIN40_BIT &amp; 0x07)
#define DIN40_CR CRH
#endif
#define DIO170 170
#define DIO170_PORT DIN40_PORT
#define DIO170_BIT DIN40_BIT
#define DIO170_APB2EN DIN40_APB2EN
#define DIO170_GPIO DIN40_GPIO
#define DIO170_CR DIN40_CR
#define DIO170_CROFF DIN40_CROFF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3"/>
        <v>DIO171</v>
      </c>
      <c r="C170" s="5" t="s">
        <v>554</v>
      </c>
      <c r="D170" s="4">
        <v>41</v>
      </c>
      <c r="E170" s="9" t="str">
        <f t="shared" si="24"/>
        <v>#if (defined(DIN41_PORT) &amp;&amp; defined(DIN41_BIT))
#define DIN41 171
#define DIN41_APB2EN (__rccapb2gpioen__(DIN41_PORT))
#define DIN41_GPIO (__gpio__(DIN41_PORT))
#if (DIN41_BIT &lt; 8)
#define DIN41_CROFF DIN41_BIT
#define DIN41_CR CRL
#else
#define DIN41_CROFF (DIN41_BIT &amp; 0x07)
#define DIN41_CR CRH
#endif
#define DIO171 171
#define DIO171_PORT DIN41_PORT
#define DIO171_BIT DIN41_BIT
#define DIO171_APB2EN DIN41_APB2EN
#define DIO171_GPIO DIN41_GPIO
#define DIO171_CR DIN41_CR
#define DIO171_CROFF DIN41_CROFF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3"/>
        <v>DIO172</v>
      </c>
      <c r="C171" s="5" t="s">
        <v>555</v>
      </c>
      <c r="D171" s="4">
        <v>42</v>
      </c>
      <c r="E171" s="9" t="str">
        <f t="shared" si="24"/>
        <v>#if (defined(DIN42_PORT) &amp;&amp; defined(DIN42_BIT))
#define DIN42 172
#define DIN42_APB2EN (__rccapb2gpioen__(DIN42_PORT))
#define DIN42_GPIO (__gpio__(DIN42_PORT))
#if (DIN42_BIT &lt; 8)
#define DIN42_CROFF DIN42_BIT
#define DIN42_CR CRL
#else
#define DIN42_CROFF (DIN42_BIT &amp; 0x07)
#define DIN42_CR CRH
#endif
#define DIO172 172
#define DIO172_PORT DIN42_PORT
#define DIO172_BIT DIN42_BIT
#define DIO172_APB2EN DIN42_APB2EN
#define DIO172_GPIO DIN42_GPIO
#define DIO172_CR DIN42_CR
#define DIO172_CROFF DIN42_CROFF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3"/>
        <v>DIO173</v>
      </c>
      <c r="C172" s="5" t="s">
        <v>556</v>
      </c>
      <c r="D172" s="4">
        <v>43</v>
      </c>
      <c r="E172" s="9" t="str">
        <f t="shared" si="24"/>
        <v>#if (defined(DIN43_PORT) &amp;&amp; defined(DIN43_BIT))
#define DIN43 173
#define DIN43_APB2EN (__rccapb2gpioen__(DIN43_PORT))
#define DIN43_GPIO (__gpio__(DIN43_PORT))
#if (DIN43_BIT &lt; 8)
#define DIN43_CROFF DIN43_BIT
#define DIN43_CR CRL
#else
#define DIN43_CROFF (DIN43_BIT &amp; 0x07)
#define DIN43_CR CRH
#endif
#define DIO173 173
#define DIO173_PORT DIN43_PORT
#define DIO173_BIT DIN43_BIT
#define DIO173_APB2EN DIN43_APB2EN
#define DIO173_GPIO DIN43_GPIO
#define DIO173_CR DIN43_CR
#define DIO173_CROFF DIN43_CROFF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3"/>
        <v>DIO174</v>
      </c>
      <c r="C173" s="5" t="s">
        <v>557</v>
      </c>
      <c r="D173" s="4">
        <v>44</v>
      </c>
      <c r="E173" s="9" t="str">
        <f t="shared" si="24"/>
        <v>#if (defined(DIN44_PORT) &amp;&amp; defined(DIN44_BIT))
#define DIN44 174
#define DIN44_APB2EN (__rccapb2gpioen__(DIN44_PORT))
#define DIN44_GPIO (__gpio__(DIN44_PORT))
#if (DIN44_BIT &lt; 8)
#define DIN44_CROFF DIN44_BIT
#define DIN44_CR CRL
#else
#define DIN44_CROFF (DIN44_BIT &amp; 0x07)
#define DIN44_CR CRH
#endif
#define DIO174 174
#define DIO174_PORT DIN44_PORT
#define DIO174_BIT DIN44_BIT
#define DIO174_APB2EN DIN44_APB2EN
#define DIO174_GPIO DIN44_GPIO
#define DIO174_CR DIN44_CR
#define DIO174_CROFF DIN44_CROFF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3"/>
        <v>DIO175</v>
      </c>
      <c r="C174" s="5" t="s">
        <v>558</v>
      </c>
      <c r="D174" s="4">
        <v>45</v>
      </c>
      <c r="E174" s="9" t="str">
        <f t="shared" si="24"/>
        <v>#if (defined(DIN45_PORT) &amp;&amp; defined(DIN45_BIT))
#define DIN45 175
#define DIN45_APB2EN (__rccapb2gpioen__(DIN45_PORT))
#define DIN45_GPIO (__gpio__(DIN45_PORT))
#if (DIN45_BIT &lt; 8)
#define DIN45_CROFF DIN45_BIT
#define DIN45_CR CRL
#else
#define DIN45_CROFF (DIN45_BIT &amp; 0x07)
#define DIN45_CR CRH
#endif
#define DIO175 175
#define DIO175_PORT DIN45_PORT
#define DIO175_BIT DIN45_BIT
#define DIO175_APB2EN DIN45_APB2EN
#define DIO175_GPIO DIN45_GPIO
#define DIO175_CR DIN45_CR
#define DIO175_CROFF DIN45_CROFF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3"/>
        <v>DIO176</v>
      </c>
      <c r="C175" s="5" t="s">
        <v>559</v>
      </c>
      <c r="D175" s="4">
        <v>46</v>
      </c>
      <c r="E175" s="9" t="str">
        <f t="shared" si="24"/>
        <v>#if (defined(DIN46_PORT) &amp;&amp; defined(DIN46_BIT))
#define DIN46 176
#define DIN46_APB2EN (__rccapb2gpioen__(DIN46_PORT))
#define DIN46_GPIO (__gpio__(DIN46_PORT))
#if (DIN46_BIT &lt; 8)
#define DIN46_CROFF DIN46_BIT
#define DIN46_CR CRL
#else
#define DIN46_CROFF (DIN46_BIT &amp; 0x07)
#define DIN46_CR CRH
#endif
#define DIO176 176
#define DIO176_PORT DIN46_PORT
#define DIO176_BIT DIN46_BIT
#define DIO176_APB2EN DIN46_APB2EN
#define DIO176_GPIO DIN46_GPIO
#define DIO176_CR DIN46_CR
#define DIO176_CROFF DIN46_CROFF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3"/>
        <v>DIO177</v>
      </c>
      <c r="C176" s="5" t="s">
        <v>560</v>
      </c>
      <c r="D176" s="4">
        <v>47</v>
      </c>
      <c r="E176" s="9" t="str">
        <f t="shared" si="24"/>
        <v>#if (defined(DIN47_PORT) &amp;&amp; defined(DIN47_BIT))
#define DIN47 177
#define DIN47_APB2EN (__rccapb2gpioen__(DIN47_PORT))
#define DIN47_GPIO (__gpio__(DIN47_PORT))
#if (DIN47_BIT &lt; 8)
#define DIN47_CROFF DIN47_BIT
#define DIN47_CR CRL
#else
#define DIN47_CROFF (DIN47_BIT &amp; 0x07)
#define DIN47_CR CRH
#endif
#define DIO177 177
#define DIO177_PORT DIN47_PORT
#define DIO177_BIT DIN47_BIT
#define DIO177_APB2EN DIN47_APB2EN
#define DIO177_GPIO DIN47_GPIO
#define DIO177_CR DIN47_CR
#define DIO177_CROFF DIN47_CROFF
#endif</v>
      </c>
      <c r="F176" s="9"/>
      <c r="G176" s="9"/>
      <c r="H176" s="9"/>
      <c r="I176" s="4"/>
    </row>
    <row r="177" spans="1:13" ht="15" customHeight="1" x14ac:dyDescent="0.25">
      <c r="A177" s="4">
        <v>178</v>
      </c>
      <c r="B177" s="4" t="str">
        <f t="shared" si="23"/>
        <v>DIO178</v>
      </c>
      <c r="C177" s="5" t="s">
        <v>561</v>
      </c>
      <c r="D177" s="4">
        <v>48</v>
      </c>
      <c r="E177" s="9" t="str">
        <f t="shared" si="24"/>
        <v>#if (defined(DIN48_PORT) &amp;&amp; defined(DIN48_BIT))
#define DIN48 178
#define DIN48_APB2EN (__rccapb2gpioen__(DIN48_PORT))
#define DIN48_GPIO (__gpio__(DIN48_PORT))
#if (DIN48_BIT &lt; 8)
#define DIN48_CROFF DIN48_BIT
#define DIN48_CR CRL
#else
#define DIN48_CROFF (DIN48_BIT &amp; 0x07)
#define DIN48_CR CRH
#endif
#define DIO178 178
#define DIO178_PORT DIN48_PORT
#define DIO178_BIT DIN48_BIT
#define DIO178_APB2EN DIN48_APB2EN
#define DIO178_GPIO DIN48_GPIO
#define DIO178_CR DIN48_CR
#define DIO178_CROFF DIN48_CROFF
#endif</v>
      </c>
      <c r="F177" s="9"/>
      <c r="G177" s="9"/>
      <c r="H177" s="9"/>
      <c r="I177" s="4"/>
    </row>
    <row r="178" spans="1:13" ht="15" customHeight="1" x14ac:dyDescent="0.25">
      <c r="A178" s="4">
        <v>179</v>
      </c>
      <c r="B178" s="4" t="str">
        <f t="shared" si="23"/>
        <v>DIO179</v>
      </c>
      <c r="C178" s="5" t="s">
        <v>562</v>
      </c>
      <c r="D178" s="4">
        <v>49</v>
      </c>
      <c r="E178" s="9" t="str">
        <f t="shared" si="24"/>
        <v>#if (defined(DIN49_PORT) &amp;&amp; defined(DIN49_BIT))
#define DIN49 179
#define DIN49_APB2EN (__rccapb2gpioen__(DIN49_PORT))
#define DIN49_GPIO (__gpio__(DIN49_PORT))
#if (DIN49_BIT &lt; 8)
#define DIN49_CROFF DIN49_BIT
#define DIN49_CR CRL
#else
#define DIN49_CROFF (DIN49_BIT &amp; 0x07)
#define DIN49_CR CRH
#endif
#define DIO179 179
#define DIO179_PORT DIN49_PORT
#define DIO179_BIT DIN49_BIT
#define DIO179_APB2EN DIN49_APB2EN
#define DIO179_GPIO DIN49_GPIO
#define DIO179_CR DIN49_CR
#define DIO179_CROFF DIN49_CROFF
#endif</v>
      </c>
      <c r="F178" s="9"/>
      <c r="G178" s="9"/>
      <c r="H178" s="9"/>
      <c r="I178" s="4"/>
    </row>
    <row r="179" spans="1:13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"/>
        <v>#if (defined(TX_PORT) &amp;&amp; defined(TX_BIT))
#define TX 200
#define TX_APB2EN (__rccapb2gpioen__(TX_PORT))
#define TX_GPIO (__gpio__(TX_PORT))
#if (TX_BIT &lt; 8)
#define TX_CROFF TX_BIT
#define TX_CR CRL
#else
#define TX_CROFF (TX_BIT&amp;0x07)
#define TX_CR CRH
#endif
#define DIO200 200
#define DIO200_PORT TX_PORT
#define DIO200_BIT TX_BIT
#define DIO200_APB2EN TX_APB2EN
#define DIO200_GPIO TX_GPIO
#define DIO200_CR TX_CR
#define DIO200_CROFF TX_CROFF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13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"/>
        <v>#if (defined(RX_PORT) &amp;&amp; defined(RX_BIT))
#define RX 201
#define RX_APB2EN (__rccapb2gpioen__(RX_PORT))
#define RX_GPIO (__gpio__(RX_PORT))
#if (RX_BIT &lt; 8)
#define RX_CROFF RX_BIT
#define RX_CR CRL
#else
#define RX_CROFF (RX_BIT&amp;0x07)
#define RX_CR CRH
#endif
#define DIO201 201
#define DIO201_PORT RX_PORT
#define DIO201_BIT RX_BIT
#define DIO201_APB2EN RX_APB2EN
#define DIO201_GPIO RX_GPIO
#define DIO201_CR RX_CR
#define DIO201_CROFF RX_CROFF
#endif</v>
      </c>
      <c r="F180" s="9"/>
      <c r="G180" s="9"/>
      <c r="H180" s="9"/>
      <c r="I180" s="4" t="str">
        <f t="shared" si="22"/>
        <v>#if RX&gt;=0
mcu_config_input(RX);
#ifdef RX_PULLUP
mcu_config_pullup(RX);
#endif
#endif</v>
      </c>
    </row>
    <row r="181" spans="1:13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USB_DM_APB2EN (__rccapb2gpioen__(USB_DM_PORT))
#define USB_DM_GPIO (__gpio__(USB_DM_PORT))
#if (USB_DM_BIT &lt; 8)
#define USB_DM_CROFF USB_DM_BIT
#define USB_DM_CR CRL
#else
#define USB_DM_CROFF (USB_DM_BIT&amp;0x07)
#define USB_DM_CR CRH
#endif
#define DIO202 202
#define DIO202_PORT USB_DM_PORT
#define DIO202_BIT USB_DM_BIT
#define DIO202_APB2EN USB_DM_APB2EN
#define DIO202_GPIO USB_DM_GPIO
#define DIO202_CR USB_DM_CR
#define DIO202_CROFF USB_DM_CROFF
#endif</v>
      </c>
      <c r="F181" s="9"/>
      <c r="G181" s="9"/>
      <c r="H181" s="9"/>
      <c r="I181" s="4" t="str">
        <f t="shared" si="22"/>
        <v>#if USB_DM&gt;=0
mcu_config_input(USB_DM);
#ifdef USB_DM_PULLUP
mcu_config_pullup(USB_DM);
#endif
#endif</v>
      </c>
    </row>
    <row r="182" spans="1:13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USB_DP_APB2EN (__rccapb2gpioen__(USB_DP_PORT))
#define USB_DP_GPIO (__gpio__(USB_DP_PORT))
#if (USB_DP_BIT &lt; 8)
#define USB_DP_CROFF USB_DP_BIT
#define USB_DP_CR CRL
#else
#define USB_DP_CROFF (USB_DP_BIT&amp;0x07)
#define USB_DP_CR CRH
#endif
#define DIO203 203
#define DIO203_PORT USB_DP_PORT
#define DIO203_BIT USB_DP_BIT
#define DIO203_APB2EN USB_DP_APB2EN
#define DIO203_GPIO USB_DP_GPIO
#define DIO203_CR USB_DP_CR
#define DIO203_CROFF USB_DP_CROFF
#endif</v>
      </c>
      <c r="F182" s="9"/>
      <c r="G182" s="9"/>
      <c r="H182" s="9"/>
      <c r="I182" s="4" t="str">
        <f t="shared" si="22"/>
        <v>#if USB_DP&gt;=0
mcu_config_input(USB_DP);
#ifdef USB_DP_PULLUP
mcu_config_pullup(USB_DP);
#endif
#endif</v>
      </c>
    </row>
    <row r="183" spans="1:13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SPI_CLK_APB2EN (__rccapb2gpioen__(SPI_CLK_PORT))
#define SPI_CLK_GPIO (__gpio__(SPI_CLK_PORT))
#if (SPI_CLK_BIT &lt; 8)
#define SPI_CLK_CROFF SPI_CLK_BIT
#define SPI_CLK_CR CRL
#else
#define SPI_CLK_CROFF (SPI_CLK_BIT&amp;0x07)
#define SPI_CLK_CR CRH
#endif
#define DIO204 204
#define DIO204_PORT SPI_CLK_PORT
#define DIO204_BIT SPI_CLK_BIT
#define DIO204_APB2EN SPI_CLK_APB2EN
#define DIO204_GPIO SPI_CLK_GPIO
#define DIO204_CR SPI_CLK_CR
#define DIO204_CROFF SPI_CLK_CROFF
#endif</v>
      </c>
      <c r="F183" s="9"/>
      <c r="G183" s="9"/>
      <c r="H183" s="9"/>
      <c r="I183" s="13" t="str">
        <f>"#if "&amp;C183&amp;"&gt;=0
mcu_config_output("&amp;C183&amp;");
#endif"</f>
        <v>#if SPI_CLK&gt;=0
mcu_config_output(SPI_CLK);
#endif</v>
      </c>
    </row>
    <row r="184" spans="1:13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ref="E184:E185" si="26">"#if (defined("&amp;C184&amp;"_PORT) &amp;&amp; defined("&amp;C184&amp;"_BIT))
#define "&amp;C184&amp;" "&amp;A184&amp;"
#define "&amp;C184&amp;"_APB2EN (__rccapb2gpioen__("&amp;C184&amp;"_PORT))
#define "&amp;C184&amp;"_GPIO (__gpio__("&amp;C184&amp;"_PORT))
#if ("&amp;C184&amp;"_BIT &lt; 8)
#define "&amp;C184&amp;"_CROFF "&amp;C184&amp;"_BIT
#define "&amp;C184&amp;"_CR CRL
#else
#define "&amp;C184&amp;"_CROFF ("&amp;C184&amp;"_BIT&amp;0x07)
#define "&amp;C184&amp;"_CR CRH
#endif
#define "&amp;B184&amp;" "&amp;A184&amp;"
#define "&amp;B184&amp;"_PORT "&amp;C184&amp;"_PORT
#define "&amp;B184&amp;"_BIT "&amp;C184&amp;"_BIT
#define "&amp;B184&amp;"_APB2EN "&amp;C184&amp;"_APB2EN
#define "&amp;B184&amp;"_GPIO "&amp;C184&amp;"_GPIO
#define "&amp;B184&amp;"_CR "&amp;C184&amp;"_CR
#define "&amp;B184&amp;"_CROFF "&amp;C184&amp;"_CROFF
#endif"</f>
        <v>#if (defined(SPI_SDI_PORT) &amp;&amp; defined(SPI_SDI_BIT))
#define SPI_SDI 205
#define SPI_SDI_APB2EN (__rccapb2gpioen__(SPI_SDI_PORT))
#define SPI_SDI_GPIO (__gpio__(SPI_SDI_PORT))
#if (SPI_SDI_BIT &lt; 8)
#define SPI_SDI_CROFF SPI_SDI_BIT
#define SPI_SDI_CR CRL
#else
#define SPI_SDI_CROFF (SPI_SDI_BIT&amp;0x07)
#define SPI_SDI_CR CRH
#endif
#define DIO205 205
#define DIO205_PORT SPI_SDI_PORT
#define DIO205_BIT SPI_SDI_BIT
#define DIO205_APB2EN SPI_SDI_APB2EN
#define DIO205_GPIO SPI_SDI_GPIO
#define DIO205_CR SPI_SDI_CR
#define DIO205_CROFF SPI_SDI_CROFF
#endif</v>
      </c>
      <c r="F184" s="9"/>
      <c r="G184" s="9"/>
      <c r="H184" s="9"/>
      <c r="I184" s="4" t="str">
        <f t="shared" si="22"/>
        <v>#if SPI_SDI&gt;=0
mcu_config_input(SPI_SDI);
#ifdef SPI_SDI_PULLUP
mcu_config_pullup(SPI_SDI);
#endif
#endif</v>
      </c>
    </row>
    <row r="185" spans="1:13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si="26"/>
        <v>#if (defined(SPI_SDO_PORT) &amp;&amp; defined(SPI_SDO_BIT))
#define SPI_SDO 206
#define SPI_SDO_APB2EN (__rccapb2gpioen__(SPI_SDO_PORT))
#define SPI_SDO_GPIO (__gpio__(SPI_SDO_PORT))
#if (SPI_SDO_BIT &lt; 8)
#define SPI_SDO_CROFF SPI_SDO_BIT
#define SPI_SDO_CR CRL
#else
#define SPI_SDO_CROFF (SPI_SDO_BIT&amp;0x07)
#define SPI_SDO_CR CRH
#endif
#define DIO206 206
#define DIO206_PORT SPI_SDO_PORT
#define DIO206_BIT SPI_SDO_BIT
#define DIO206_APB2EN SPI_SDO_APB2EN
#define DIO206_GPIO SPI_SDO_GPIO
#define DIO206_CR SPI_SDO_CR
#define DIO206_CROFF SPI_SDO_CROFF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13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"&amp;C186&amp;"_APB2EN (__rccapb2gpioen__("&amp;C186&amp;"_PORT))
#define "&amp;C186&amp;"_GPIO (__gpio__("&amp;C186&amp;"_PORT))
#if ("&amp;C186&amp;"_BIT &lt; 8)
#define "&amp;C186&amp;"_CROFF "&amp;C186&amp;"_BIT
#define "&amp;C186&amp;"_CR CRL
#else
#define "&amp;C186&amp;"_CROFF ("&amp;C186&amp;"_BIT&amp;0x07)
#define "&amp;C186&amp;"_CR CRH
#endif
#define "&amp;B186&amp;" "&amp;A186&amp;"
#define "&amp;B186&amp;"_PORT "&amp;C186&amp;"_PORT
#define "&amp;B186&amp;"_BIT "&amp;C186&amp;"_BIT
#define "&amp;B186&amp;"_APB2EN "&amp;C186&amp;"_APB2EN
#define "&amp;B186&amp;"_GPIO "&amp;C186&amp;"_GPIO
#define "&amp;B186&amp;"_CR "&amp;C186&amp;"_CR
#define "&amp;B186&amp;"_CROFF "&amp;C186&amp;"_CROFF
#endif"</f>
        <v>#if (defined(SPI_CS_PORT) &amp;&amp; defined(SPI_CS_BIT))
#define SPI_CS 207
#define SPI_CS_APB2EN (__rccapb2gpioen__(SPI_CS_PORT))
#define SPI_CS_GPIO (__gpio__(SPI_CS_PORT))
#if (SPI_CS_BIT &lt; 8)
#define SPI_CS_CROFF SPI_CS_BIT
#define SPI_CS_CR CRL
#else
#define SPI_CS_CROFF (SPI_CS_BIT&amp;0x07)
#define SPI_CS_CR CRH
#endif
#define DIO207 207
#define DIO207_PORT SPI_CS_PORT
#define DIO207_BIT SPI_CS_BIT
#define DIO207_APB2EN SPI_CS_APB2EN
#define DIO207_GPIO SPI_CS_GPIO
#define DIO207_CR SPI_CS_CR
#define DIO207_CROFF SPI_CS_CROFF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  <c r="J186" s="4"/>
      <c r="K186" s="4"/>
      <c r="L186" s="4"/>
      <c r="M186" s="4"/>
    </row>
    <row r="187" spans="1:13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I2C_SCL_APB2EN (__rccapb2gpioen__(I2C_SCL_PORT))
#define I2C_SCL_GPIO (__gpio__(I2C_SCL_PORT))
#if (I2C_SCL_BIT &lt; 8)
#define I2C_SCL_CROFF I2C_SCL_BIT
#define I2C_SCL_CR CRL
#else
#define I2C_SCL_CROFF (I2C_SCL_BIT&amp;0x07)
#define I2C_SCL_CR CRH
#endif
#define DIO208 208
#define DIO208_PORT I2C_SCL_PORT
#define DIO208_BIT I2C_SCL_BIT
#define DIO208_APB2EN I2C_SCL_APB2EN
#define DIO208_GPIO I2C_SCL_GPIO
#define DIO208_CR I2C_SCL_CR
#define DIO208_CROFF I2C_SCL_CROFF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  <c r="J187" s="4"/>
      <c r="K187" s="4"/>
      <c r="L187" s="4"/>
      <c r="M187" s="4"/>
    </row>
    <row r="188" spans="1:13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15"/>
      <c r="E188" s="9" t="str">
        <f t="shared" si="27"/>
        <v>#if (defined(I2C_SDA_PORT) &amp;&amp; defined(I2C_SDA_BIT))
#define I2C_SDA 209
#define I2C_SDA_APB2EN (__rccapb2gpioen__(I2C_SDA_PORT))
#define I2C_SDA_GPIO (__gpio__(I2C_SDA_PORT))
#if (I2C_SDA_BIT &lt; 8)
#define I2C_SDA_CROFF I2C_SDA_BIT
#define I2C_SDA_CR CRL
#else
#define I2C_SDA_CROFF (I2C_SDA_BIT&amp;0x07)
#define I2C_SDA_CR CRH
#endif
#define DIO209 209
#define DIO209_PORT I2C_SDA_PORT
#define DIO209_BIT I2C_SDA_BIT
#define DIO209_APB2EN I2C_SDA_APB2EN
#define DIO209_GPIO I2C_SDA_GPIO
#define DIO209_CR I2C_SDA_CR
#define DIO209_CROFF I2C_SDA_CROFF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  <c r="J188" s="6"/>
      <c r="K188" s="6"/>
      <c r="L188" s="6"/>
      <c r="M188" s="6"/>
    </row>
    <row r="189" spans="1:13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TX2_APB2EN (__rccapb2gpioen__(TX2_PORT))
#define TX2_GPIO (__gpio__(TX2_PORT))
#if (TX2_BIT &lt; 8)
#define TX2_CROFF TX2_BIT
#define TX2_CR CRL
#else
#define TX2_CROFF (TX2_BIT&amp;0x07)
#define TX2_CR CRH
#endif
#define DIO210 210
#define DIO210_PORT TX2_PORT
#define DIO210_BIT TX2_BIT
#define DIO210_APB2EN TX2_APB2EN
#define DIO210_GPIO TX2_GPIO
#define DIO210_CR TX2_CR
#define DIO210_CROFF TX2_CROFF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  <c r="J189" s="6"/>
      <c r="K189" s="6"/>
      <c r="L189" s="6"/>
      <c r="M189" s="6"/>
    </row>
    <row r="190" spans="1:13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RX2_APB2EN (__rccapb2gpioen__(RX2_PORT))
#define RX2_GPIO (__gpio__(RX2_PORT))
#if (RX2_BIT &lt; 8)
#define RX2_CROFF RX2_BIT
#define RX2_CR CRL
#else
#define RX2_CROFF (RX2_BIT&amp;0x07)
#define RX2_CR CRH
#endif
#define DIO211 211
#define DIO211_PORT RX2_PORT
#define DIO211_BIT RX2_BIT
#define DIO211_APB2EN RX2_APB2EN
#define DIO211_GPIO RX2_GPIO
#define DIO211_CR RX2_CR
#define DIO211_CROFF RX2_CROFF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  <c r="J190" s="6"/>
      <c r="K190" s="6"/>
      <c r="L190" s="6"/>
      <c r="M190" s="6"/>
    </row>
    <row r="191" spans="1:13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SPI2_CLK_APB2EN (__rccapb2gpioen__(SPI2_CLK_PORT))
#define SPI2_CLK_GPIO (__gpio__(SPI2_CLK_PORT))
#if (SPI2_CLK_BIT &lt; 8)
#define SPI2_CLK_CROFF SPI2_CLK_BIT
#define SPI2_CLK_CR CRL
#else
#define SPI2_CLK_CROFF (SPI2_CLK_BIT&amp;0x07)
#define SPI2_CLK_CR CRH
#endif
#define DIO212 212
#define DIO212_PORT SPI2_CLK_PORT
#define DIO212_BIT SPI2_CLK_BIT
#define DIO212_APB2EN SPI2_CLK_APB2EN
#define DIO212_GPIO SPI2_CLK_GPIO
#define DIO212_CR SPI2_CLK_CR
#define DIO212_CROFF SPI2_CLK_CROFF
#endif</v>
      </c>
      <c r="F191" s="9"/>
      <c r="G191" s="9"/>
      <c r="H191" s="9"/>
      <c r="I191" s="13" t="str">
        <f>"#if "&amp;C191&amp;"&gt;=0
mcu_config_output("&amp;C191&amp;");
#endif"</f>
        <v>#if SPI2_CLK&gt;=0
mcu_config_output(SPI2_CLK);
#endif</v>
      </c>
      <c r="J191" s="6"/>
      <c r="K191" s="6"/>
      <c r="L191" s="6"/>
      <c r="M191" s="6"/>
    </row>
    <row r="192" spans="1:13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SPI2_SDI_APB2EN (__rccapb2gpioen__(SPI2_SDI_PORT))
#define SPI2_SDI_GPIO (__gpio__(SPI2_SDI_PORT))
#if (SPI2_SDI_BIT &lt; 8)
#define SPI2_SDI_CROFF SPI2_SDI_BIT
#define SPI2_SDI_CR CRL
#else
#define SPI2_SDI_CROFF (SPI2_SDI_BIT&amp;0x07)
#define SPI2_SDI_CR CRH
#endif
#define DIO213 213
#define DIO213_PORT SPI2_SDI_PORT
#define DIO213_BIT SPI2_SDI_BIT
#define DIO213_APB2EN SPI2_SDI_APB2EN
#define DIO213_GPIO SPI2_SDI_GPIO
#define DIO213_CR SPI2_SDI_CR
#define DIO213_CROFF SPI2_SDI_CROFF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  <c r="J192" s="6"/>
      <c r="K192" s="6"/>
      <c r="L192" s="6"/>
      <c r="M192" s="6"/>
    </row>
    <row r="193" spans="1:13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SPI2_SDO_APB2EN (__rccapb2gpioen__(SPI2_SDO_PORT))
#define SPI2_SDO_GPIO (__gpio__(SPI2_SDO_PORT))
#if (SPI2_SDO_BIT &lt; 8)
#define SPI2_SDO_CROFF SPI2_SDO_BIT
#define SPI2_SDO_CR CRL
#else
#define SPI2_SDO_CROFF (SPI2_SDO_BIT&amp;0x07)
#define SPI2_SDO_CR CRH
#endif
#define DIO214 214
#define DIO214_PORT SPI2_SDO_PORT
#define DIO214_BIT SPI2_SDO_BIT
#define DIO214_APB2EN SPI2_SDO_APB2EN
#define DIO214_GPIO SPI2_SDO_GPIO
#define DIO214_CR SPI2_SDO_CR
#define DIO214_CROFF SPI2_SDO_CROFF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  <c r="J193" s="6"/>
      <c r="K193" s="6"/>
      <c r="L193" s="6"/>
      <c r="M193" s="6"/>
    </row>
    <row r="194" spans="1:13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"&amp;C194&amp;"_APB2EN (__rccapb2gpioen__("&amp;C194&amp;"_PORT))
#define "&amp;C194&amp;"_GPIO (__gpio__("&amp;C194&amp;"_PORT))
#if ("&amp;C194&amp;"_BIT &lt; 8)
#define "&amp;C194&amp;"_CROFF "&amp;C194&amp;"_BIT
#define "&amp;C194&amp;"_CR CRL
#else
#define "&amp;C194&amp;"_CROFF ("&amp;C194&amp;"_BIT&amp;0x07)
#define "&amp;C194&amp;"_CR CRH
#endif
#define "&amp;B194&amp;" "&amp;A194&amp;"
#define "&amp;B194&amp;"_PORT "&amp;C194&amp;"_PORT
#define "&amp;B194&amp;"_BIT "&amp;C194&amp;"_BIT
#define "&amp;B194&amp;"_APB2EN "&amp;C194&amp;"_APB2EN
#define "&amp;B194&amp;"_GPIO "&amp;C194&amp;"_GPIO
#define "&amp;B194&amp;"_CR "&amp;C194&amp;"_CR
#define "&amp;B194&amp;"_CROFF "&amp;C194&amp;"_CROFF
#endif"</f>
        <v>#if (defined(SPI2_CS_PORT) &amp;&amp; defined(SPI2_CS_BIT))
#define SPI2_CS 215
#define SPI2_CS_APB2EN (__rccapb2gpioen__(SPI2_CS_PORT))
#define SPI2_CS_GPIO (__gpio__(SPI2_CS_PORT))
#if (SPI2_CS_BIT &lt; 8)
#define SPI2_CS_CROFF SPI2_CS_BIT
#define SPI2_CS_CR CRL
#else
#define SPI2_CS_CROFF (SPI2_CS_BIT&amp;0x07)
#define SPI2_CS_CR CRH
#endif
#define DIO215 215
#define DIO215_PORT SPI2_CS_PORT
#define DIO215_BIT SPI2_CS_BIT
#define DIO215_APB2EN SPI2_CS_APB2EN
#define DIO215_GPIO SPI2_CS_GPIO
#define DIO215_CR SPI2_CS_CR
#define DIO215_CROFF SPI2_CS_CROFF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  <c r="J194" s="6"/>
      <c r="K194" s="6"/>
      <c r="L194" s="6"/>
      <c r="M194" s="6"/>
    </row>
    <row r="195" spans="1:13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13" ht="15" customHeight="1" x14ac:dyDescent="0.25">
      <c r="A196" s="6" t="s">
        <v>128</v>
      </c>
      <c r="B196" s="6" t="s">
        <v>105</v>
      </c>
      <c r="C196" s="6" t="s">
        <v>106</v>
      </c>
      <c r="D196" s="6" t="s">
        <v>129</v>
      </c>
      <c r="E196" s="6" t="s">
        <v>130</v>
      </c>
      <c r="F196" s="6" t="s">
        <v>131</v>
      </c>
      <c r="G196" s="6"/>
      <c r="H196" s="6"/>
      <c r="I196" s="6"/>
    </row>
    <row r="197" spans="1:13" ht="15" customHeight="1" x14ac:dyDescent="0.25">
      <c r="A197" s="6">
        <v>1</v>
      </c>
      <c r="B197" s="6" t="s">
        <v>132</v>
      </c>
      <c r="C197" s="6" t="s">
        <v>133</v>
      </c>
      <c r="D197" s="6" t="s">
        <v>130</v>
      </c>
      <c r="E197" s="6" t="s">
        <v>134</v>
      </c>
      <c r="F197" s="6">
        <v>0</v>
      </c>
      <c r="G197" s="6"/>
      <c r="H197" s="6"/>
      <c r="I197" s="6"/>
    </row>
    <row r="198" spans="1:13" ht="15" customHeight="1" x14ac:dyDescent="0.25">
      <c r="A198" s="6">
        <v>1</v>
      </c>
      <c r="B198" s="6" t="s">
        <v>135</v>
      </c>
      <c r="C198" s="6" t="s">
        <v>136</v>
      </c>
      <c r="D198" s="6" t="s">
        <v>130</v>
      </c>
      <c r="E198" s="6" t="s">
        <v>134</v>
      </c>
      <c r="F198" s="6">
        <v>1</v>
      </c>
      <c r="G198" s="6"/>
      <c r="H198" s="6"/>
      <c r="I198" s="6"/>
    </row>
    <row r="199" spans="1:13" ht="15" customHeight="1" x14ac:dyDescent="0.25">
      <c r="A199" s="6">
        <v>2</v>
      </c>
      <c r="B199" s="6" t="s">
        <v>137</v>
      </c>
      <c r="C199" s="6" t="s">
        <v>138</v>
      </c>
      <c r="D199" s="6" t="s">
        <v>139</v>
      </c>
      <c r="E199" s="6" t="s">
        <v>140</v>
      </c>
      <c r="F199" s="6">
        <v>0</v>
      </c>
      <c r="G199" s="6"/>
      <c r="H199" s="6"/>
      <c r="I199" s="6"/>
    </row>
    <row r="200" spans="1:13" ht="15" customHeight="1" x14ac:dyDescent="0.25">
      <c r="A200" s="6">
        <v>2</v>
      </c>
      <c r="B200" s="6" t="s">
        <v>141</v>
      </c>
      <c r="C200" s="6" t="s">
        <v>142</v>
      </c>
      <c r="D200" s="6" t="s">
        <v>139</v>
      </c>
      <c r="E200" s="6" t="s">
        <v>140</v>
      </c>
      <c r="F200" s="6">
        <v>1</v>
      </c>
      <c r="G200" s="6"/>
      <c r="H200" s="6"/>
      <c r="I200" s="6"/>
    </row>
    <row r="201" spans="1:13" ht="15" customHeight="1" x14ac:dyDescent="0.25">
      <c r="A201" s="6">
        <v>3</v>
      </c>
      <c r="B201" s="6" t="s">
        <v>143</v>
      </c>
      <c r="C201" s="6" t="s">
        <v>144</v>
      </c>
      <c r="D201" s="6" t="s">
        <v>139</v>
      </c>
      <c r="E201" s="6" t="s">
        <v>145</v>
      </c>
      <c r="F201" s="6">
        <v>0</v>
      </c>
      <c r="G201" s="6"/>
      <c r="H201" s="6"/>
      <c r="I201" s="6"/>
    </row>
    <row r="202" spans="1:13" ht="15" customHeight="1" x14ac:dyDescent="0.25">
      <c r="A202" s="6">
        <v>3</v>
      </c>
      <c r="B202" s="6" t="s">
        <v>146</v>
      </c>
      <c r="C202" s="6" t="s">
        <v>147</v>
      </c>
      <c r="D202" s="6" t="s">
        <v>139</v>
      </c>
      <c r="E202" s="6" t="s">
        <v>145</v>
      </c>
      <c r="F202" s="6">
        <v>1</v>
      </c>
      <c r="G202" s="6"/>
      <c r="H202" s="6"/>
      <c r="I202" s="6"/>
    </row>
    <row r="203" spans="1:13" ht="15" customHeight="1" x14ac:dyDescent="0.25">
      <c r="A203" s="6">
        <v>3</v>
      </c>
      <c r="B203" s="6" t="s">
        <v>148</v>
      </c>
      <c r="C203" s="6" t="s">
        <v>149</v>
      </c>
      <c r="D203" s="6" t="s">
        <v>139</v>
      </c>
      <c r="E203" s="6" t="s">
        <v>145</v>
      </c>
      <c r="F203" s="6">
        <v>3</v>
      </c>
      <c r="G203" s="6"/>
      <c r="H203" s="6"/>
      <c r="I203" s="6"/>
    </row>
    <row r="204" spans="1:13" ht="15" customHeight="1" x14ac:dyDescent="0.25">
      <c r="A204" s="6">
        <v>4</v>
      </c>
      <c r="B204" s="6" t="s">
        <v>146</v>
      </c>
      <c r="C204" s="6" t="s">
        <v>147</v>
      </c>
      <c r="D204" s="6" t="s">
        <v>139</v>
      </c>
      <c r="E204" s="6" t="s">
        <v>150</v>
      </c>
      <c r="F204" s="6" t="s">
        <v>151</v>
      </c>
      <c r="G204" s="6"/>
      <c r="H204" s="6"/>
      <c r="I204" s="6"/>
    </row>
    <row r="205" spans="1:13" ht="15" customHeight="1" x14ac:dyDescent="0.25">
      <c r="A205" s="6">
        <v>5</v>
      </c>
      <c r="B205" s="6" t="s">
        <v>152</v>
      </c>
      <c r="C205" s="6" t="s">
        <v>153</v>
      </c>
      <c r="D205" s="6" t="s">
        <v>139</v>
      </c>
      <c r="E205" s="6" t="s">
        <v>154</v>
      </c>
      <c r="F205" s="6" t="s">
        <v>151</v>
      </c>
      <c r="G205" s="6"/>
      <c r="H205" s="6"/>
      <c r="I205" s="6"/>
    </row>
    <row r="206" spans="1:13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13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13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5" customHeight="1" x14ac:dyDescent="0.25">
      <c r="A377" s="6"/>
      <c r="B377" s="6"/>
      <c r="C377" s="6"/>
      <c r="D377" s="6"/>
      <c r="E377" s="6"/>
      <c r="F377" s="6"/>
      <c r="G377" s="6"/>
      <c r="H377" s="6"/>
      <c r="I377" s="6"/>
    </row>
    <row r="378" spans="1:9" ht="15" customHeight="1" x14ac:dyDescent="0.25">
      <c r="A378" s="6"/>
      <c r="B378" s="6"/>
      <c r="C378" s="6"/>
      <c r="D378" s="6"/>
      <c r="E378" s="6"/>
      <c r="F378" s="6"/>
      <c r="G378" s="6"/>
      <c r="H378" s="6"/>
      <c r="I378" s="6"/>
    </row>
    <row r="379" spans="1:9" ht="15" customHeight="1" x14ac:dyDescent="0.25">
      <c r="A379" s="6"/>
      <c r="B379" s="6"/>
      <c r="C379" s="6"/>
      <c r="D379" s="6"/>
      <c r="E379" s="6"/>
      <c r="F379" s="6"/>
      <c r="G379" s="6"/>
      <c r="H379" s="6"/>
      <c r="I379" s="6"/>
    </row>
    <row r="380" spans="1:9" ht="15" customHeight="1" x14ac:dyDescent="0.25">
      <c r="A380" s="6"/>
      <c r="B380" s="6"/>
      <c r="C380" s="6"/>
      <c r="D380" s="6"/>
      <c r="E380" s="6"/>
      <c r="F380" s="6"/>
      <c r="G380" s="6"/>
      <c r="H380" s="6"/>
      <c r="I380" s="6"/>
    </row>
    <row r="381" spans="1:9" ht="15" customHeight="1" x14ac:dyDescent="0.25">
      <c r="A381" s="6"/>
      <c r="B381" s="6"/>
      <c r="C381" s="6"/>
      <c r="D381" s="6"/>
      <c r="E381" s="6"/>
      <c r="F381" s="6"/>
      <c r="G381" s="6"/>
      <c r="H381" s="6"/>
      <c r="I381" s="6"/>
    </row>
    <row r="382" spans="1:9" ht="15" customHeight="1" x14ac:dyDescent="0.25">
      <c r="A382" s="6"/>
      <c r="B382" s="6"/>
      <c r="C382" s="6"/>
      <c r="D382" s="6"/>
      <c r="E382" s="6"/>
      <c r="F382" s="6"/>
      <c r="G382" s="6"/>
      <c r="H382" s="6"/>
      <c r="I382" s="6"/>
    </row>
    <row r="383" spans="1:9" ht="15" customHeight="1" x14ac:dyDescent="0.25">
      <c r="A383" s="6"/>
      <c r="B383" s="6"/>
      <c r="C383" s="6"/>
      <c r="D383" s="6"/>
      <c r="E383" s="6"/>
      <c r="F383" s="6"/>
      <c r="G383" s="6"/>
      <c r="H383" s="6"/>
      <c r="I383" s="6"/>
    </row>
    <row r="384" spans="1:9" ht="15" customHeight="1" x14ac:dyDescent="0.25">
      <c r="A384" s="6"/>
      <c r="B384" s="6"/>
      <c r="C384" s="6"/>
      <c r="D384" s="6"/>
      <c r="E384" s="6"/>
      <c r="F384" s="6"/>
      <c r="G384" s="6"/>
      <c r="H384" s="6"/>
      <c r="I384" s="6"/>
    </row>
    <row r="385" spans="1:9" ht="15" customHeight="1" x14ac:dyDescent="0.25">
      <c r="A385" s="6"/>
      <c r="B385" s="6"/>
      <c r="C385" s="6"/>
      <c r="D385" s="6"/>
      <c r="E385" s="6"/>
      <c r="F385" s="6"/>
      <c r="G385" s="6"/>
      <c r="H385" s="6"/>
      <c r="I385" s="6"/>
    </row>
    <row r="386" spans="1:9" ht="15" customHeight="1" x14ac:dyDescent="0.25">
      <c r="A386" s="6"/>
      <c r="B386" s="6"/>
      <c r="C386" s="6"/>
      <c r="D386" s="6"/>
      <c r="E386" s="6"/>
      <c r="F386" s="6"/>
      <c r="G386" s="6"/>
      <c r="H386" s="6"/>
      <c r="I386" s="6"/>
    </row>
    <row r="387" spans="1:9" ht="15" customHeight="1" x14ac:dyDescent="0.25">
      <c r="A387" s="6"/>
      <c r="B387" s="6"/>
      <c r="C387" s="6"/>
      <c r="D387" s="6"/>
      <c r="E387" s="6"/>
      <c r="F387" s="6"/>
      <c r="G387" s="6"/>
      <c r="H387" s="6"/>
      <c r="I387" s="6"/>
    </row>
    <row r="388" spans="1:9" ht="15" customHeight="1" x14ac:dyDescent="0.25">
      <c r="A388" s="6"/>
      <c r="B388" s="6"/>
      <c r="C388" s="6"/>
      <c r="D388" s="6"/>
      <c r="E388" s="6"/>
      <c r="F388" s="6"/>
      <c r="G388" s="6"/>
      <c r="H388" s="6"/>
      <c r="I388" s="6"/>
    </row>
    <row r="389" spans="1:9" ht="15" customHeight="1" x14ac:dyDescent="0.25">
      <c r="A389" s="6"/>
      <c r="B389" s="6"/>
      <c r="C389" s="6"/>
      <c r="D389" s="6"/>
      <c r="E389" s="6"/>
      <c r="F389" s="6"/>
      <c r="G389" s="6"/>
      <c r="H389" s="6"/>
      <c r="I389" s="6"/>
    </row>
    <row r="390" spans="1:9" ht="15" customHeight="1" x14ac:dyDescent="0.25">
      <c r="A390" s="6"/>
      <c r="B390" s="6"/>
      <c r="C390" s="6"/>
      <c r="D390" s="6"/>
      <c r="E390" s="6"/>
      <c r="F390" s="6"/>
      <c r="G390" s="6"/>
      <c r="H390" s="6"/>
      <c r="I390" s="6"/>
    </row>
    <row r="391" spans="1:9" ht="15" customHeight="1" x14ac:dyDescent="0.25">
      <c r="A391" s="6"/>
      <c r="B391" s="6"/>
      <c r="C391" s="6"/>
      <c r="D391" s="6"/>
      <c r="E391" s="6"/>
      <c r="F391" s="6"/>
      <c r="G391" s="6"/>
      <c r="H391" s="6"/>
      <c r="I391" s="6"/>
    </row>
    <row r="392" spans="1:9" ht="15" customHeight="1" x14ac:dyDescent="0.25">
      <c r="A392" s="6"/>
      <c r="B392" s="6"/>
      <c r="C392" s="6"/>
      <c r="D392" s="6"/>
      <c r="E392" s="6"/>
      <c r="F392" s="6"/>
      <c r="G392" s="6"/>
      <c r="H392" s="6"/>
      <c r="I392" s="6"/>
    </row>
    <row r="393" spans="1:9" ht="14.25" customHeight="1" x14ac:dyDescent="0.25">
      <c r="A393" s="6"/>
      <c r="B393" s="6"/>
      <c r="C393" s="6"/>
      <c r="D393" s="6"/>
      <c r="E393" s="6"/>
      <c r="F393" s="6"/>
      <c r="G393" s="6"/>
      <c r="H393" s="6"/>
      <c r="I393" s="6"/>
    </row>
    <row r="394" spans="1:9" ht="14.25" customHeight="1" x14ac:dyDescent="0.25">
      <c r="A394" s="6"/>
      <c r="B394" s="6"/>
      <c r="C394" s="6"/>
      <c r="D394" s="6"/>
      <c r="E394" s="6"/>
      <c r="F394" s="6"/>
      <c r="G394" s="6"/>
      <c r="H394" s="6"/>
      <c r="I394" s="6"/>
    </row>
    <row r="395" spans="1:9" ht="14.25" customHeight="1" x14ac:dyDescent="0.25"/>
    <row r="396" spans="1:9" ht="14.25" customHeight="1" x14ac:dyDescent="0.25"/>
    <row r="397" spans="1:9" ht="14.25" customHeight="1" x14ac:dyDescent="0.25"/>
    <row r="398" spans="1:9" ht="14.25" customHeight="1" x14ac:dyDescent="0.25"/>
    <row r="399" spans="1:9" ht="14.25" customHeight="1" x14ac:dyDescent="0.25"/>
    <row r="400" spans="1:9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  <row r="1073" ht="14.25" customHeight="1" x14ac:dyDescent="0.25"/>
    <row r="1074" ht="14.25" customHeight="1" x14ac:dyDescent="0.25"/>
    <row r="1075" ht="14.25" customHeight="1" x14ac:dyDescent="0.25"/>
    <row r="1076" ht="14.25" customHeight="1" x14ac:dyDescent="0.25"/>
    <row r="1077" ht="14.25" customHeight="1" x14ac:dyDescent="0.25"/>
    <row r="1078" ht="14.25" customHeight="1" x14ac:dyDescent="0.25"/>
    <row r="1079" ht="14.25" customHeight="1" x14ac:dyDescent="0.25"/>
    <row r="1080" ht="14.25" customHeight="1" x14ac:dyDescent="0.25"/>
    <row r="1081" ht="14.25" customHeight="1" x14ac:dyDescent="0.25"/>
    <row r="1082" ht="14.25" customHeight="1" x14ac:dyDescent="0.25"/>
    <row r="1083" ht="14.25" customHeight="1" x14ac:dyDescent="0.25"/>
    <row r="1084" ht="14.25" customHeight="1" x14ac:dyDescent="0.25"/>
    <row r="1085" ht="14.25" customHeight="1" x14ac:dyDescent="0.25"/>
    <row r="1086" ht="14.25" customHeight="1" x14ac:dyDescent="0.25"/>
    <row r="1087" ht="14.25" customHeight="1" x14ac:dyDescent="0.25"/>
    <row r="1088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072"/>
  <sheetViews>
    <sheetView topLeftCell="A158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84" si="1">"#if (defined("&amp;C3&amp;"_PORT) &amp;&amp; defined("&amp;C3&amp;"_BIT))
#define "&amp;C3&amp;" "&amp;A3&amp;"
#define "&amp;C3&amp;"_AHB1EN (__rccgpioen__("&amp;C3&amp;"_PORT))
#define "&amp;C3&amp;"_GPIO (__gpio__("&amp;C3&amp;"_PORT))
#define "&amp;B3&amp;" "&amp;A3&amp;"
#define "&amp;B3&amp;"_PORT "&amp;C3&amp;"_PORT
#define "&amp;B3&amp;"_BIT "&amp;C3&amp;"_BIT
#define "&amp;B3&amp;"_AHB1EN "&amp;C3&amp;"_AHB1EN
#define "&amp;B3&amp;"_GPIO "&amp;C3&amp;"_GPIO
#endif"</f>
        <v>#if (defined(STEP0_PORT) &amp;&amp; defined(STEP0_BIT))
#define STEP0 1
#define STEP0_AHB1EN (__rccgpioen__(STEP0_PORT))
#define STEP0_GPIO (__gpio__(STEP0_PORT))
#define DIO1 1
#define DIO1_PORT STEP0_PORT
#define DIO1_BIT STEP0_BIT
#define DIO1_AHB1EN STEP0_AHB1EN
#define DIO1_GPIO STEP0_GPIO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 (defined(STEP1_PORT) &amp;&amp; defined(STEP1_BIT))
#define STEP1 2
#define STEP1_AHB1EN (__rccgpioen__(STEP1_PORT))
#define STEP1_GPIO (__gpio__(STEP1_PORT))
#define DIO2 2
#define DIO2_PORT STEP1_PORT
#define DIO2_BIT STEP1_BIT
#define DIO2_AHB1EN STEP1_AHB1EN
#define DIO2_GPIO STEP1_GPIO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 (defined(STEP2_PORT) &amp;&amp; defined(STEP2_BIT))
#define STEP2 3
#define STEP2_AHB1EN (__rccgpioen__(STEP2_PORT))
#define STEP2_GPIO (__gpio__(STEP2_PORT))
#define DIO3 3
#define DIO3_PORT STEP2_PORT
#define DIO3_BIT STEP2_BIT
#define DIO3_AHB1EN STEP2_AHB1EN
#define DIO3_GPIO STEP2_GPIO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 (defined(STEP3_PORT) &amp;&amp; defined(STEP3_BIT))
#define STEP3 4
#define STEP3_AHB1EN (__rccgpioen__(STEP3_PORT))
#define STEP3_GPIO (__gpio__(STEP3_PORT))
#define DIO4 4
#define DIO4_PORT STEP3_PORT
#define DIO4_BIT STEP3_BIT
#define DIO4_AHB1EN STEP3_AHB1EN
#define DIO4_GPIO STEP3_GPIO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 (defined(STEP4_PORT) &amp;&amp; defined(STEP4_BIT))
#define STEP4 5
#define STEP4_AHB1EN (__rccgpioen__(STEP4_PORT))
#define STEP4_GPIO (__gpio__(STEP4_PORT))
#define DIO5 5
#define DIO5_PORT STEP4_PORT
#define DIO5_BIT STEP4_BIT
#define DIO5_AHB1EN STEP4_AHB1EN
#define DIO5_GPIO STEP4_GPIO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 (defined(STEP5_PORT) &amp;&amp; defined(STEP5_BIT))
#define STEP5 6
#define STEP5_AHB1EN (__rccgpioen__(STEP5_PORT))
#define STEP5_GPIO (__gpio__(STEP5_PORT))
#define DIO6 6
#define DIO6_PORT STEP5_PORT
#define DIO6_BIT STEP5_BIT
#define DIO6_AHB1EN STEP5_AHB1EN
#define DIO6_GPIO STEP5_GPIO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 (defined(STEP6_PORT) &amp;&amp; defined(STEP6_BIT))
#define STEP6 7
#define STEP6_AHB1EN (__rccgpioen__(STEP6_PORT))
#define STEP6_GPIO (__gpio__(STEP6_PORT))
#define DIO7 7
#define DIO7_PORT STEP6_PORT
#define DIO7_BIT STEP6_BIT
#define DIO7_AHB1EN STEP6_AHB1EN
#define DIO7_GPIO STEP6_GPIO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 (defined(STEP7_PORT) &amp;&amp; defined(STEP7_BIT))
#define STEP7 8
#define STEP7_AHB1EN (__rccgpioen__(STEP7_PORT))
#define STEP7_GPIO (__gpio__(STEP7_PORT))
#define DIO8 8
#define DIO8_PORT STEP7_PORT
#define DIO8_BIT STEP7_BIT
#define DIO8_AHB1EN STEP7_AHB1EN
#define DIO8_GPIO STEP7_GPIO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 (defined(DIR0_PORT) &amp;&amp; defined(DIR0_BIT))
#define DIR0 9
#define DIR0_AHB1EN (__rccgpioen__(DIR0_PORT))
#define DIR0_GPIO (__gpio__(DIR0_PORT))
#define DIO9 9
#define DIO9_PORT DIR0_PORT
#define DIO9_BIT DIR0_BIT
#define DIO9_AHB1EN DIR0_AHB1EN
#define DIO9_GPIO DIR0_GPIO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 (defined(DIR1_PORT) &amp;&amp; defined(DIR1_BIT))
#define DIR1 10
#define DIR1_AHB1EN (__rccgpioen__(DIR1_PORT))
#define DIR1_GPIO (__gpio__(DIR1_PORT))
#define DIO10 10
#define DIO10_PORT DIR1_PORT
#define DIO10_BIT DIR1_BIT
#define DIO10_AHB1EN DIR1_AHB1EN
#define DIO10_GPIO DIR1_GPIO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 (defined(DIR2_PORT) &amp;&amp; defined(DIR2_BIT))
#define DIR2 11
#define DIR2_AHB1EN (__rccgpioen__(DIR2_PORT))
#define DIR2_GPIO (__gpio__(DIR2_PORT))
#define DIO11 11
#define DIO11_PORT DIR2_PORT
#define DIO11_BIT DIR2_BIT
#define DIO11_AHB1EN DIR2_AHB1EN
#define DIO11_GPIO DIR2_GPIO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 (defined(DIR3_PORT) &amp;&amp; defined(DIR3_BIT))
#define DIR3 12
#define DIR3_AHB1EN (__rccgpioen__(DIR3_PORT))
#define DIR3_GPIO (__gpio__(DIR3_PORT))
#define DIO12 12
#define DIO12_PORT DIR3_PORT
#define DIO12_BIT DIR3_BIT
#define DIO12_AHB1EN DIR3_AHB1EN
#define DIO12_GPIO DIR3_GPIO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 (defined(DIR4_PORT) &amp;&amp; defined(DIR4_BIT))
#define DIR4 13
#define DIR4_AHB1EN (__rccgpioen__(DIR4_PORT))
#define DIR4_GPIO (__gpio__(DIR4_PORT))
#define DIO13 13
#define DIO13_PORT DIR4_PORT
#define DIO13_BIT DIR4_BIT
#define DIO13_AHB1EN DIR4_AHB1EN
#define DIO13_GPIO DIR4_GPIO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 (defined(DIR5_PORT) &amp;&amp; defined(DIR5_BIT))
#define DIR5 14
#define DIR5_AHB1EN (__rccgpioen__(DIR5_PORT))
#define DIR5_GPIO (__gpio__(DIR5_PORT))
#define DIO14 14
#define DIO14_PORT DIR5_PORT
#define DIO14_BIT DIR5_BIT
#define DIO14_AHB1EN DIR5_AHB1EN
#define DIO14_GPIO DIR5_GPIO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1"/>
        <v>#if (defined(DIR6_PORT) &amp;&amp; defined(DIR6_BIT))
#define DIR6 15
#define DIR6_AHB1EN (__rccgpioen__(DIR6_PORT))
#define DIR6_GPIO (__gpio__(DIR6_PORT))
#define DIO15 15
#define DIO15_PORT DIR6_PORT
#define DIO15_BIT DIR6_BIT
#define DIO15_AHB1EN DIR6_AHB1EN
#define DIO15_GPIO DIR6_GPIO
#endif</v>
      </c>
      <c r="F17" s="9"/>
      <c r="G17" s="9"/>
      <c r="H17" s="9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1"/>
        <v>#if (defined(DIR7_PORT) &amp;&amp; defined(DIR7_BIT))
#define DIR7 16
#define DIR7_AHB1EN (__rccgpioen__(DIR7_PORT))
#define DIR7_GPIO (__gpio__(DIR7_PORT))
#define DIO16 16
#define DIO16_PORT DIR7_PORT
#define DIO16_BIT DIR7_BIT
#define DIO16_AHB1EN DIR7_AHB1EN
#define DIO16_GPIO DIR7_GPIO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1"/>
        <v>#if (defined(STEP0_EN_PORT) &amp;&amp; defined(STEP0_EN_BIT))
#define STEP0_EN 17
#define STEP0_EN_AHB1EN (__rccgpioen__(STEP0_EN_PORT))
#define STEP0_EN_GPIO (__gpio__(STEP0_EN_PORT))
#define DIO17 17
#define DIO17_PORT STEP0_EN_PORT
#define DIO17_BIT STEP0_EN_BIT
#define DIO17_AHB1EN STEP0_EN_AHB1EN
#define DIO17_GPIO STEP0_EN_GPIO
#endif</v>
      </c>
      <c r="F19" s="9"/>
      <c r="G19" s="9"/>
      <c r="H19" s="10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1"/>
        <v>#if (defined(STEP1_EN_PORT) &amp;&amp; defined(STEP1_EN_BIT))
#define STEP1_EN 18
#define STEP1_EN_AHB1EN (__rccgpioen__(STEP1_EN_PORT))
#define STEP1_EN_GPIO (__gpio__(STEP1_EN_PORT))
#define DIO18 18
#define DIO18_PORT STEP1_EN_PORT
#define DIO18_BIT STEP1_EN_BIT
#define DIO18_AHB1EN STEP1_EN_AHB1EN
#define DIO18_GPIO STEP1_EN_GPIO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1"/>
        <v>#if (defined(STEP2_EN_PORT) &amp;&amp; defined(STEP2_EN_BIT))
#define STEP2_EN 19
#define STEP2_EN_AHB1EN (__rccgpioen__(STEP2_EN_PORT))
#define STEP2_EN_GPIO (__gpio__(STEP2_EN_PORT))
#define DIO19 19
#define DIO19_PORT STEP2_EN_PORT
#define DIO19_BIT STEP2_EN_BIT
#define DIO19_AHB1EN STEP2_EN_AHB1EN
#define DIO19_GPIO STEP2_EN_GPIO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1"/>
        <v>#if (defined(STEP3_EN_PORT) &amp;&amp; defined(STEP3_EN_BIT))
#define STEP3_EN 20
#define STEP3_EN_AHB1EN (__rccgpioen__(STEP3_EN_PORT))
#define STEP3_EN_GPIO (__gpio__(STEP3_EN_PORT))
#define DIO20 20
#define DIO20_PORT STEP3_EN_PORT
#define DIO20_BIT STEP3_EN_BIT
#define DIO20_AHB1EN STEP3_EN_AHB1EN
#define DIO20_GPIO STEP3_EN_GPIO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1"/>
        <v>#if (defined(STEP4_EN_PORT) &amp;&amp; defined(STEP4_EN_BIT))
#define STEP4_EN 21
#define STEP4_EN_AHB1EN (__rccgpioen__(STEP4_EN_PORT))
#define STEP4_EN_GPIO (__gpio__(STEP4_EN_PORT))
#define DIO21 21
#define DIO21_PORT STEP4_EN_PORT
#define DIO21_BIT STEP4_EN_BIT
#define DIO21_AHB1EN STEP4_EN_AHB1EN
#define DIO21_GPIO STEP4_EN_GPIO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1"/>
        <v>#if (defined(STEP5_EN_PORT) &amp;&amp; defined(STEP5_EN_BIT))
#define STEP5_EN 22
#define STEP5_EN_AHB1EN (__rccgpioen__(STEP5_EN_PORT))
#define STEP5_EN_GPIO (__gpio__(STEP5_EN_PORT))
#define DIO22 22
#define DIO22_PORT STEP5_EN_PORT
#define DIO22_BIT STEP5_EN_BIT
#define DIO22_AHB1EN STEP5_EN_AHB1EN
#define DIO22_GPIO STEP5_EN_GPIO
#endif</v>
      </c>
      <c r="F24" s="9"/>
      <c r="G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1"/>
        <v>#if (defined(STEP6_EN_PORT) &amp;&amp; defined(STEP6_EN_BIT))
#define STEP6_EN 23
#define STEP6_EN_AHB1EN (__rccgpioen__(STEP6_EN_PORT))
#define STEP6_EN_GPIO (__gpio__(STEP6_EN_PORT))
#define DIO23 23
#define DIO23_PORT STEP6_EN_PORT
#define DIO23_BIT STEP6_EN_BIT
#define DIO23_AHB1EN STEP6_EN_AHB1EN
#define DIO23_GPIO STEP6_EN_GPIO
#endif</v>
      </c>
      <c r="F25" s="9"/>
      <c r="G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1"/>
        <v>#if (defined(STEP7_EN_PORT) &amp;&amp; defined(STEP7_EN_BIT))
#define STEP7_EN 24
#define STEP7_EN_AHB1EN (__rccgpioen__(STEP7_EN_PORT))
#define STEP7_EN_GPIO (__gpio__(STEP7_EN_PORT))
#define DIO24 24
#define DIO24_PORT STEP7_EN_PORT
#define DIO24_BIT STEP7_EN_BIT
#define DIO24_AHB1EN STEP7_EN_AHB1EN
#define DIO24_GPIO STEP7_EN_GPIO
#endif</v>
      </c>
      <c r="F26" s="9"/>
      <c r="G26" s="9"/>
      <c r="H26" s="11" t="s">
        <v>125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1"/>
        <v>#if (defined(PWM0_PORT) &amp;&amp; defined(PWM0_BIT))
#define PWM0 25
#define PWM0_AHB1EN (__rccgpioen__(PWM0_PORT))
#define PWM0_GPIO (__gpio__(PWM0_PORT))
#define DIO25 25
#define DIO25_PORT PWM0_PORT
#define DIO25_BIT PWM0_BIT
#define DIO25_AHB1EN PWM0_AHB1EN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"&amp;C27&amp;"_TIMER&lt;=11))
#define "&amp;C27&amp;"_ENREG RCC-&gt;APB2ENR
#define "&amp;C27&amp;"_APBEN __helper__(RCC_APB2ENR_TIM,"&amp;C27&amp;"_TIMER, EN)
#define "&amp;C27&amp;"_CLOCK HAL_RCC_GetPCLK2Freq()
#else
#define "&amp;C27&amp;"_ENREG RCC-&gt;APB1ENR
#define "&amp;C27&amp;"_APBEN __helper__(RCC_APB1ENR_TIM,"&amp;C27&amp;"_TIMER,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("&amp;C27&amp;"_TIMER&gt;=1) &amp;&amp; ("&amp;C27&amp;"_TIMER&lt;=2)
#define "&amp;C27&amp;"_AF 0x01
#elif ("&amp;C27&amp;"_TIMER&gt;=3) &amp;&amp; ("&amp;C27&amp;"_TIMER&lt;=5)
#define "&amp;C27&amp;"_AF 0x02
#else
#define "&amp;C27&amp;"_AF 0x03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PWM0_TIMER&lt;=11))
#define PWM0_ENREG RCC-&gt;APB2ENR
#define PWM0_APBEN __helper__(RCC_APB2ENR_TIM,PWM0_TIMER, EN)
#define PWM0_CLOCK HAL_RCC_GetPCLK2Freq()
#else
#define PWM0_ENREG RCC-&gt;APB1ENR
#define PWM0_APBEN __helper__(RCC_APB1ENR_TIM,PWM0_TIMER,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(PWM0_TIMER&gt;=1) &amp;&amp; (PWM0_TIMER&lt;=2)
#define PWM0_AF 0x01
#elif (PWM0_TIMER&gt;=3) &amp;&amp; (PWM0_TIMER&lt;=5)
#define PWM0_AF 0x02
#else
#define PWM0_AF 0x03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1"/>
        <v>#if (defined(PWM1_PORT) &amp;&amp; defined(PWM1_BIT))
#define PWM1 26
#define PWM1_AHB1EN (__rccgpioen__(PWM1_PORT))
#define PWM1_GPIO (__gpio__(PWM1_PORT))
#define DIO26 26
#define DIO26_PORT PWM1_PORT
#define DIO26_BIT PWM1_BIT
#define DIO26_AHB1EN PWM1_AHB1EN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"&amp;C28&amp;"_TIMER&lt;=11))
#define "&amp;C28&amp;"_ENREG RCC-&gt;APB2ENR
#define "&amp;C28&amp;"_APBEN __helper__(RCC_APB2ENR_TIM,"&amp;C28&amp;"_TIMER, EN)
#define "&amp;C28&amp;"_CLOCK HAL_RCC_GetPCLK2Freq()
#else
#define "&amp;C28&amp;"_ENREG RCC-&gt;APB1ENR
#define "&amp;C28&amp;"_APBEN __helper__(RCC_APB1ENR_TIM,"&amp;C28&amp;"_TIMER,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("&amp;C28&amp;"_TIMER&gt;=1) &amp;&amp; ("&amp;C28&amp;"_TIMER&lt;=2)
#define "&amp;C28&amp;"_AF 0x01
#elif ("&amp;C28&amp;"_TIMER&gt;=3) &amp;&amp; ("&amp;C28&amp;"_TIMER&lt;=5)
#define "&amp;C28&amp;"_AF 0x02
#else
#define "&amp;C28&amp;"_AF 0x03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PWM1_TIMER&lt;=11))
#define PWM1_ENREG RCC-&gt;APB2ENR
#define PWM1_APBEN __helper__(RCC_APB2ENR_TIM,PWM1_TIMER, EN)
#define PWM1_CLOCK HAL_RCC_GetPCLK2Freq()
#else
#define PWM1_ENREG RCC-&gt;APB1ENR
#define PWM1_APBEN __helper__(RCC_APB1ENR_TIM,PWM1_TIMER,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(PWM1_TIMER&gt;=1) &amp;&amp; (PWM1_TIMER&lt;=2)
#define PWM1_AF 0x01
#elif (PWM1_TIMER&gt;=3) &amp;&amp; (PWM1_TIMER&lt;=5)
#define PWM1_AF 0x02
#else
#define PWM1_AF 0x03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1"/>
        <v>#if (defined(PWM2_PORT) &amp;&amp; defined(PWM2_BIT))
#define PWM2 27
#define PWM2_AHB1EN (__rccgpioen__(PWM2_PORT))
#define PWM2_GPIO (__gpio__(PWM2_PORT))
#define DIO27 27
#define DIO27_PORT PWM2_PORT
#define DIO27_BIT PWM2_BIT
#define DIO27_AHB1EN PWM2_AHB1EN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PWM2_TIMER&lt;=11))
#define PWM2_ENREG RCC-&gt;APB2ENR
#define PWM2_APBEN __helper__(RCC_APB2ENR_TIM,PWM2_TIMER, EN)
#define PWM2_CLOCK HAL_RCC_GetPCLK2Freq()
#else
#define PWM2_ENREG RCC-&gt;APB1ENR
#define PWM2_APBEN __helper__(RCC_APB1ENR_TIM,PWM2_TIMER,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(PWM2_TIMER&gt;=1) &amp;&amp; (PWM2_TIMER&lt;=2)
#define PWM2_AF 0x01
#elif (PWM2_TIMER&gt;=3) &amp;&amp; (PWM2_TIMER&lt;=5)
#define PWM2_AF 0x02
#else
#define PWM2_AF 0x03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1"/>
        <v>#if (defined(PWM3_PORT) &amp;&amp; defined(PWM3_BIT))
#define PWM3 28
#define PWM3_AHB1EN (__rccgpioen__(PWM3_PORT))
#define PWM3_GPIO (__gpio__(PWM3_PORT))
#define DIO28 28
#define DIO28_PORT PWM3_PORT
#define DIO28_BIT PWM3_BIT
#define DIO28_AHB1EN PWM3_AHB1EN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PWM3_TIMER&lt;=11))
#define PWM3_ENREG RCC-&gt;APB2ENR
#define PWM3_APBEN __helper__(RCC_APB2ENR_TIM,PWM3_TIMER, EN)
#define PWM3_CLOCK HAL_RCC_GetPCLK2Freq()
#else
#define PWM3_ENREG RCC-&gt;APB1ENR
#define PWM3_APBEN __helper__(RCC_APB1ENR_TIM,PWM3_TIMER,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(PWM3_TIMER&gt;=1) &amp;&amp; (PWM3_TIMER&lt;=2)
#define PWM3_AF 0x01
#elif (PWM3_TIMER&gt;=3) &amp;&amp; (PWM3_TIMER&lt;=5)
#define PWM3_AF 0x02
#else
#define PWM3_AF 0x03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1"/>
        <v>#if (defined(PWM4_PORT) &amp;&amp; defined(PWM4_BIT))
#define PWM4 29
#define PWM4_AHB1EN (__rccgpioen__(PWM4_PORT))
#define PWM4_GPIO (__gpio__(PWM4_PORT))
#define DIO29 29
#define DIO29_PORT PWM4_PORT
#define DIO29_BIT PWM4_BIT
#define DIO29_AHB1EN PWM4_AHB1EN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PWM4_TIMER&lt;=11))
#define PWM4_ENREG RCC-&gt;APB2ENR
#define PWM4_APBEN __helper__(RCC_APB2ENR_TIM,PWM4_TIMER, EN)
#define PWM4_CLOCK HAL_RCC_GetPCLK2Freq()
#else
#define PWM4_ENREG RCC-&gt;APB1ENR
#define PWM4_APBEN __helper__(RCC_APB1ENR_TIM,PWM4_TIMER,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(PWM4_TIMER&gt;=1) &amp;&amp; (PWM4_TIMER&lt;=2)
#define PWM4_AF 0x01
#elif (PWM4_TIMER&gt;=3) &amp;&amp; (PWM4_TIMER&lt;=5)
#define PWM4_AF 0x02
#else
#define PWM4_AF 0x03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1"/>
        <v>#if (defined(PWM5_PORT) &amp;&amp; defined(PWM5_BIT))
#define PWM5 30
#define PWM5_AHB1EN (__rccgpioen__(PWM5_PORT))
#define PWM5_GPIO (__gpio__(PWM5_PORT))
#define DIO30 30
#define DIO30_PORT PWM5_PORT
#define DIO30_BIT PWM5_BIT
#define DIO30_AHB1EN PWM5_AHB1EN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PWM5_TIMER&lt;=11))
#define PWM5_ENREG RCC-&gt;APB2ENR
#define PWM5_APBEN __helper__(RCC_APB2ENR_TIM,PWM5_TIMER, EN)
#define PWM5_CLOCK HAL_RCC_GetPCLK2Freq()
#else
#define PWM5_ENREG RCC-&gt;APB1ENR
#define PWM5_APBEN __helper__(RCC_APB1ENR_TIM,PWM5_TIMER,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(PWM5_TIMER&gt;=1) &amp;&amp; (PWM5_TIMER&lt;=2)
#define PWM5_AF 0x01
#elif (PWM5_TIMER&gt;=3) &amp;&amp; (PWM5_TIMER&lt;=5)
#define PWM5_AF 0x02
#else
#define PWM5_AF 0x03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1"/>
        <v>#if (defined(PWM6_PORT) &amp;&amp; defined(PWM6_BIT))
#define PWM6 31
#define PWM6_AHB1EN (__rccgpioen__(PWM6_PORT))
#define PWM6_GPIO (__gpio__(PWM6_PORT))
#define DIO31 31
#define DIO31_PORT PWM6_PORT
#define DIO31_BIT PWM6_BIT
#define DIO31_AHB1EN PWM6_AHB1EN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PWM6_TIMER&lt;=11))
#define PWM6_ENREG RCC-&gt;APB2ENR
#define PWM6_APBEN __helper__(RCC_APB2ENR_TIM,PWM6_TIMER, EN)
#define PWM6_CLOCK HAL_RCC_GetPCLK2Freq()
#else
#define PWM6_ENREG RCC-&gt;APB1ENR
#define PWM6_APBEN __helper__(RCC_APB1ENR_TIM,PWM6_TIMER,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(PWM6_TIMER&gt;=1) &amp;&amp; (PWM6_TIMER&lt;=2)
#define PWM6_AF 0x01
#elif (PWM6_TIMER&gt;=3) &amp;&amp; (PWM6_TIMER&lt;=5)
#define PWM6_AF 0x02
#else
#define PWM6_AF 0x03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1"/>
        <v>#if (defined(PWM7_PORT) &amp;&amp; defined(PWM7_BIT))
#define PWM7 32
#define PWM7_AHB1EN (__rccgpioen__(PWM7_PORT))
#define PWM7_GPIO (__gpio__(PWM7_PORT))
#define DIO32 32
#define DIO32_PORT PWM7_PORT
#define DIO32_BIT PWM7_BIT
#define DIO32_AHB1EN PWM7_AHB1EN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PWM7_TIMER&lt;=11))
#define PWM7_ENREG RCC-&gt;APB2ENR
#define PWM7_APBEN __helper__(RCC_APB2ENR_TIM,PWM7_TIMER, EN)
#define PWM7_CLOCK HAL_RCC_GetPCLK2Freq()
#else
#define PWM7_ENREG RCC-&gt;APB1ENR
#define PWM7_APBEN __helper__(RCC_APB1ENR_TIM,PWM7_TIMER,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(PWM7_TIMER&gt;=1) &amp;&amp; (PWM7_TIMER&lt;=2)
#define PWM7_AF 0x01
#elif (PWM7_TIMER&gt;=3) &amp;&amp; (PWM7_TIMER&lt;=5)
#define PWM7_AF 0x02
#else
#define PWM7_AF 0x03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1"/>
        <v>#if (defined(PWM8_PORT) &amp;&amp; defined(PWM8_BIT))
#define PWM8 33
#define PWM8_AHB1EN (__rccgpioen__(PWM8_PORT))
#define PWM8_GPIO (__gpio__(PWM8_PORT))
#define DIO33 33
#define DIO33_PORT PWM8_PORT
#define DIO33_BIT PWM8_BIT
#define DIO33_AHB1EN PWM8_AHB1EN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PWM8_TIMER&lt;=11))
#define PWM8_ENREG RCC-&gt;APB2ENR
#define PWM8_APBEN __helper__(RCC_APB2ENR_TIM,PWM8_TIMER, EN)
#define PWM8_CLOCK HAL_RCC_GetPCLK2Freq()
#else
#define PWM8_ENREG RCC-&gt;APB1ENR
#define PWM8_APBEN __helper__(RCC_APB1ENR_TIM,PWM8_TIMER,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(PWM8_TIMER&gt;=1) &amp;&amp; (PWM8_TIMER&lt;=2)
#define PWM8_AF 0x01
#elif (PWM8_TIMER&gt;=3) &amp;&amp; (PWM8_TIMER&lt;=5)
#define PWM8_AF 0x02
#else
#define PWM8_AF 0x03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1"/>
        <v>#if (defined(PWM9_PORT) &amp;&amp; defined(PWM9_BIT))
#define PWM9 34
#define PWM9_AHB1EN (__rccgpioen__(PWM9_PORT))
#define PWM9_GPIO (__gpio__(PWM9_PORT))
#define DIO34 34
#define DIO34_PORT PWM9_PORT
#define DIO34_BIT PWM9_BIT
#define DIO34_AHB1EN PWM9_AHB1EN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PWM9_TIMER&lt;=11))
#define PWM9_ENREG RCC-&gt;APB2ENR
#define PWM9_APBEN __helper__(RCC_APB2ENR_TIM,PWM9_TIMER, EN)
#define PWM9_CLOCK HAL_RCC_GetPCLK2Freq()
#else
#define PWM9_ENREG RCC-&gt;APB1ENR
#define PWM9_APBEN __helper__(RCC_APB1ENR_TIM,PWM9_TIMER,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(PWM9_TIMER&gt;=1) &amp;&amp; (PWM9_TIMER&lt;=2)
#define PWM9_AF 0x01
#elif (PWM9_TIMER&gt;=3) &amp;&amp; (PWM9_TIMER&lt;=5)
#define PWM9_AF 0x02
#else
#define PWM9_AF 0x03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1"/>
        <v>#if (defined(PWM10_PORT) &amp;&amp; defined(PWM10_BIT))
#define PWM10 35
#define PWM10_AHB1EN (__rccgpioen__(PWM10_PORT))
#define PWM10_GPIO (__gpio__(PWM10_PORT))
#define DIO35 35
#define DIO35_PORT PWM10_PORT
#define DIO35_BIT PWM10_BIT
#define DIO35_AHB1EN PWM10_AHB1EN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PWM10_TIMER&lt;=11))
#define PWM10_ENREG RCC-&gt;APB2ENR
#define PWM10_APBEN __helper__(RCC_APB2ENR_TIM,PWM10_TIMER, EN)
#define PWM10_CLOCK HAL_RCC_GetPCLK2Freq()
#else
#define PWM10_ENREG RCC-&gt;APB1ENR
#define PWM10_APBEN __helper__(RCC_APB1ENR_TIM,PWM10_TIMER,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(PWM10_TIMER&gt;=1) &amp;&amp; (PWM10_TIMER&lt;=2)
#define PWM10_AF 0x01
#elif (PWM10_TIMER&gt;=3) &amp;&amp; (PWM10_TIMER&lt;=5)
#define PWM10_AF 0x02
#else
#define PWM10_AF 0x03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1"/>
        <v>#if (defined(PWM11_PORT) &amp;&amp; defined(PWM11_BIT))
#define PWM11 36
#define PWM11_AHB1EN (__rccgpioen__(PWM11_PORT))
#define PWM11_GPIO (__gpio__(PWM11_PORT))
#define DIO36 36
#define DIO36_PORT PWM11_PORT
#define DIO36_BIT PWM11_BIT
#define DIO36_AHB1EN PWM11_AHB1EN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PWM11_TIMER&lt;=11))
#define PWM11_ENREG RCC-&gt;APB2ENR
#define PWM11_APBEN __helper__(RCC_APB2ENR_TIM,PWM11_TIMER, EN)
#define PWM11_CLOCK HAL_RCC_GetPCLK2Freq()
#else
#define PWM11_ENREG RCC-&gt;APB1ENR
#define PWM11_APBEN __helper__(RCC_APB1ENR_TIM,PWM11_TIMER,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(PWM11_TIMER&gt;=1) &amp;&amp; (PWM11_TIMER&lt;=2)
#define PWM11_AF 0x01
#elif (PWM11_TIMER&gt;=3) &amp;&amp; (PWM11_TIMER&lt;=5)
#define PWM11_AF 0x02
#else
#define PWM11_AF 0x03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1"/>
        <v>#if (defined(PWM12_PORT) &amp;&amp; defined(PWM12_BIT))
#define PWM12 37
#define PWM12_AHB1EN (__rccgpioen__(PWM12_PORT))
#define PWM12_GPIO (__gpio__(PWM12_PORT))
#define DIO37 37
#define DIO37_PORT PWM12_PORT
#define DIO37_BIT PWM12_BIT
#define DIO37_AHB1EN PWM12_AHB1EN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PWM12_TIMER&lt;=11))
#define PWM12_ENREG RCC-&gt;APB2ENR
#define PWM12_APBEN __helper__(RCC_APB2ENR_TIM,PWM12_TIMER, EN)
#define PWM12_CLOCK HAL_RCC_GetPCLK2Freq()
#else
#define PWM12_ENREG RCC-&gt;APB1ENR
#define PWM12_APBEN __helper__(RCC_APB1ENR_TIM,PWM12_TIMER,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(PWM12_TIMER&gt;=1) &amp;&amp; (PWM12_TIMER&lt;=2)
#define PWM12_AF 0x01
#elif (PWM12_TIMER&gt;=3) &amp;&amp; (PWM12_TIMER&lt;=5)
#define PWM12_AF 0x02
#else
#define PWM12_AF 0x03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1"/>
        <v>#if (defined(PWM13_PORT) &amp;&amp; defined(PWM13_BIT))
#define PWM13 38
#define PWM13_AHB1EN (__rccgpioen__(PWM13_PORT))
#define PWM13_GPIO (__gpio__(PWM13_PORT))
#define DIO38 38
#define DIO38_PORT PWM13_PORT
#define DIO38_BIT PWM13_BIT
#define DIO38_AHB1EN PWM13_AHB1EN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PWM13_TIMER&lt;=11))
#define PWM13_ENREG RCC-&gt;APB2ENR
#define PWM13_APBEN __helper__(RCC_APB2ENR_TIM,PWM13_TIMER, EN)
#define PWM13_CLOCK HAL_RCC_GetPCLK2Freq()
#else
#define PWM13_ENREG RCC-&gt;APB1ENR
#define PWM13_APBEN __helper__(RCC_APB1ENR_TIM,PWM13_TIMER,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(PWM13_TIMER&gt;=1) &amp;&amp; (PWM13_TIMER&lt;=2)
#define PWM13_AF 0x01
#elif (PWM13_TIMER&gt;=3) &amp;&amp; (PWM13_TIMER&lt;=5)
#define PWM13_AF 0x02
#else
#define PWM13_AF 0x03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1"/>
        <v>#if (defined(PWM14_PORT) &amp;&amp; defined(PWM14_BIT))
#define PWM14 39
#define PWM14_AHB1EN (__rccgpioen__(PWM14_PORT))
#define PWM14_GPIO (__gpio__(PWM14_PORT))
#define DIO39 39
#define DIO39_PORT PWM14_PORT
#define DIO39_BIT PWM14_BIT
#define DIO39_AHB1EN PWM14_AHB1EN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PWM14_TIMER&lt;=11))
#define PWM14_ENREG RCC-&gt;APB2ENR
#define PWM14_APBEN __helper__(RCC_APB2ENR_TIM,PWM14_TIMER, EN)
#define PWM14_CLOCK HAL_RCC_GetPCLK2Freq()
#else
#define PWM14_ENREG RCC-&gt;APB1ENR
#define PWM14_APBEN __helper__(RCC_APB1ENR_TIM,PWM14_TIMER,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(PWM14_TIMER&gt;=1) &amp;&amp; (PWM14_TIMER&lt;=2)
#define PWM14_AF 0x01
#elif (PWM14_TIMER&gt;=3) &amp;&amp; (PWM14_TIMER&lt;=5)
#define PWM14_AF 0x02
#else
#define PWM14_AF 0x03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1"/>
        <v>#if (defined(PWM15_PORT) &amp;&amp; defined(PWM15_BIT))
#define PWM15 40
#define PWM15_AHB1EN (__rccgpioen__(PWM15_PORT))
#define PWM15_GPIO (__gpio__(PWM15_PORT))
#define DIO40 40
#define DIO40_PORT PWM15_PORT
#define DIO40_BIT PWM15_BIT
#define DIO40_AHB1EN PWM15_AHB1EN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PWM15_TIMER&lt;=11))
#define PWM15_ENREG RCC-&gt;APB2ENR
#define PWM15_APBEN __helper__(RCC_APB2ENR_TIM,PWM15_TIMER, EN)
#define PWM15_CLOCK HAL_RCC_GetPCLK2Freq()
#else
#define PWM15_ENREG RCC-&gt;APB1ENR
#define PWM15_APBEN __helper__(RCC_APB1ENR_TIM,PWM15_TIMER,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(PWM15_TIMER&gt;=1) &amp;&amp; (PWM15_TIMER&lt;=2)
#define PWM15_AF 0x01
#elif (PWM15_TIMER&gt;=3) &amp;&amp; (PWM15_TIMER&lt;=5)
#define PWM15_AF 0x02
#else
#define PWM15_AF 0x03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ref="E43:E50" si="5">"#if (defined("&amp;C43&amp;"_PORT) &amp;&amp; defined("&amp;C43&amp;"_BIT))
#define "&amp;C43&amp;" "&amp;A43&amp;"
#define "&amp;C43&amp;"_AHB1EN (__rccgpioen__("&amp;C43&amp;"_PORT))
#define "&amp;C43&amp;"_GPIO (__gpio__("&amp;C43&amp;"_PORT))
#define "&amp;B43&amp;" "&amp;A43&amp;"
#define "&amp;B43&amp;"_PORT "&amp;C43&amp;"_PORT
#define "&amp;B43&amp;"_BIT "&amp;C43&amp;"_BIT
#define "&amp;B43&amp;"_AHB1EN "&amp;C43&amp;"_AHB1EN
#define "&amp;B43&amp;"_GPIO "&amp;C43&amp;"_GPIO
#endif"</f>
        <v>#if (defined(SERVO0_PORT) &amp;&amp; defined(SERVO0_BIT))
#define SERVO0 41
#define SERVO0_AHB1EN (__rccgpioen__(SERVO0_PORT))
#define SERVO0_GPIO (__gpio__(SERVO0_PORT))
#define DIO41 41
#define DIO41_PORT SERVO0_PORT
#define DIO41_BIT SERVO0_BIT
#define DIO41_AHB1EN SERVO0_AHB1EN
#define DIO41_GPIO SERVO0_GPIO
#endif</v>
      </c>
      <c r="F43" s="9" t="str">
        <f t="shared" ref="F43:F48" si="6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7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50" si="8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5"/>
        <v>#if (defined(SERVO1_PORT) &amp;&amp; defined(SERVO1_BIT))
#define SERVO1 42
#define SERVO1_AHB1EN (__rccgpioen__(SERVO1_PORT))
#define SERVO1_GPIO (__gpio__(SERVO1_PORT))
#define DIO42 42
#define DIO42_PORT SERVO1_PORT
#define DIO42_BIT SERVO1_BIT
#define DIO42_AHB1EN SERVO1_AHB1EN
#define DIO42_GPIO SERVO1_GPIO
#endif</v>
      </c>
      <c r="F44" s="9" t="str">
        <f t="shared" si="6"/>
        <v>#ifdef SERVO1
#define SERVO1_MASK (1U&lt;&lt;1)
#else
#define SERVO1_MASK 0
#endif</v>
      </c>
      <c r="G44" s="9" t="str">
        <f t="shared" si="7"/>
        <v>#if SERVO1 &gt;= 0
case 1:
mcu_set_ouput(SERVO1);
RTC_OCRB = mcu_servos[1];
#endif</v>
      </c>
      <c r="H44" s="9"/>
      <c r="I44" s="4" t="str">
        <f t="shared" si="8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5"/>
        <v>#if (defined(SERVO2_PORT) &amp;&amp; defined(SERVO2_BIT))
#define SERVO2 43
#define SERVO2_AHB1EN (__rccgpioen__(SERVO2_PORT))
#define SERVO2_GPIO (__gpio__(SERVO2_PORT))
#define DIO43 43
#define DIO43_PORT SERVO2_PORT
#define DIO43_BIT SERVO2_BIT
#define DIO43_AHB1EN SERVO2_AHB1EN
#define DIO43_GPIO SERVO2_GPIO
#endif</v>
      </c>
      <c r="F45" s="9" t="str">
        <f t="shared" si="6"/>
        <v>#ifdef SERVO2
#define SERVO2_MASK (1U&lt;&lt;2)
#else
#define SERVO2_MASK 0
#endif</v>
      </c>
      <c r="G45" s="9" t="str">
        <f t="shared" si="7"/>
        <v>#if SERVO2 &gt;= 0
case 2:
mcu_set_ouput(SERVO2);
RTC_OCRB = mcu_servos[2];
#endif</v>
      </c>
      <c r="H45" s="9"/>
      <c r="I45" s="4" t="str">
        <f t="shared" si="8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5"/>
        <v>#if (defined(SERVO3_PORT) &amp;&amp; defined(SERVO3_BIT))
#define SERVO3 44
#define SERVO3_AHB1EN (__rccgpioen__(SERVO3_PORT))
#define SERVO3_GPIO (__gpio__(SERVO3_PORT))
#define DIO44 44
#define DIO44_PORT SERVO3_PORT
#define DIO44_BIT SERVO3_BIT
#define DIO44_AHB1EN SERVO3_AHB1EN
#define DIO44_GPIO SERVO3_GPIO
#endif</v>
      </c>
      <c r="F46" s="9" t="str">
        <f t="shared" si="6"/>
        <v>#ifdef SERVO3
#define SERVO3_MASK (1U&lt;&lt;3)
#else
#define SERVO3_MASK 0
#endif</v>
      </c>
      <c r="G46" s="9" t="str">
        <f t="shared" si="7"/>
        <v>#if SERVO3 &gt;= 0
case 3:
mcu_set_ouput(SERVO3);
RTC_OCRB = mcu_servos[3];
#endif</v>
      </c>
      <c r="H46" s="9"/>
      <c r="I46" s="4" t="str">
        <f t="shared" si="8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5"/>
        <v>#if (defined(SERVO4_PORT) &amp;&amp; defined(SERVO4_BIT))
#define SERVO4 45
#define SERVO4_AHB1EN (__rccgpioen__(SERVO4_PORT))
#define SERVO4_GPIO (__gpio__(SERVO4_PORT))
#define DIO45 45
#define DIO45_PORT SERVO4_PORT
#define DIO45_BIT SERVO4_BIT
#define DIO45_AHB1EN SERVO4_AHB1EN
#define DIO45_GPIO SERVO4_GPIO
#endif</v>
      </c>
      <c r="F47" s="9" t="str">
        <f t="shared" si="6"/>
        <v>#ifdef SERVO4
#define SERVO4_MASK (1U&lt;&lt;4)
#else
#define SERVO4_MASK 0
#endif</v>
      </c>
      <c r="G47" s="9" t="str">
        <f t="shared" si="7"/>
        <v>#if SERVO4 &gt;= 0
case 4:
mcu_set_ouput(SERVO4);
RTC_OCRB = mcu_servos[4];
#endif</v>
      </c>
      <c r="H47" s="9"/>
      <c r="I47" s="4" t="str">
        <f t="shared" si="8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5"/>
        <v>#if (defined(SERVO5_PORT) &amp;&amp; defined(SERVO5_BIT))
#define SERVO5 46
#define SERVO5_AHB1EN (__rccgpioen__(SERVO5_PORT))
#define SERVO5_GPIO (__gpio__(SERVO5_PORT))
#define DIO46 46
#define DIO46_PORT SERVO5_PORT
#define DIO46_BIT SERVO5_BIT
#define DIO46_AHB1EN SERVO5_AHB1EN
#define DIO46_GPIO SERVO5_GPIO
#endif</v>
      </c>
      <c r="F48" s="9" t="str">
        <f t="shared" si="6"/>
        <v>#ifdef SERVO5
#define SERVO5_MASK (1U&lt;&lt;5)
#else
#define SERVO5_MASK 0
#endif</v>
      </c>
      <c r="G48" s="9" t="str">
        <f t="shared" si="7"/>
        <v>#if SERVO5 &gt;= 0
case 5:
mcu_set_ouput(SERVO5);
RTC_OCRB = mcu_servos[5];
#endif</v>
      </c>
      <c r="H48" s="9"/>
      <c r="I48" s="4" t="str">
        <f t="shared" si="8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5"/>
        <v>#if (defined(DOUT0_PORT) &amp;&amp; defined(DOUT0_BIT))
#define DOUT0 47
#define DOUT0_AHB1EN (__rccgpioen__(DOUT0_PORT))
#define DOUT0_GPIO (__gpio__(DOUT0_PORT))
#define DIO47 47
#define DIO47_PORT DOUT0_PORT
#define DIO47_BIT DOUT0_BIT
#define DIO47_AHB1EN DOUT0_AHB1EN
#define DIO47_GPIO DOUT0_GPIO
#endif</v>
      </c>
      <c r="F49" s="9"/>
      <c r="G49" s="9"/>
      <c r="H49" s="9"/>
      <c r="I49" s="4" t="str">
        <f t="shared" si="8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5"/>
        <v>#if (defined(DOUT1_PORT) &amp;&amp; defined(DOUT1_BIT))
#define DOUT1 48
#define DOUT1_AHB1EN (__rccgpioen__(DOUT1_PORT))
#define DOUT1_GPIO (__gpio__(DOUT1_PORT))
#define DIO48 48
#define DIO48_PORT DOUT1_PORT
#define DIO48_BIT DOUT1_BIT
#define DIO48_AHB1EN DOUT1_AHB1EN
#define DIO48_GPIO DOUT1_GPIO
#endif</v>
      </c>
      <c r="F50" s="9"/>
      <c r="G50" s="9"/>
      <c r="H50" s="9"/>
      <c r="I50" s="4" t="str">
        <f t="shared" si="8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1"/>
        <v>#if (defined(DOUT2_PORT) &amp;&amp; defined(DOUT2_BIT))
#define DOUT2 49
#define DOUT2_AHB1EN (__rccgpioen__(DOUT2_PORT))
#define DOUT2_GPIO (__gpio__(DOUT2_PORT))
#define DIO49 49
#define DIO49_PORT DOUT2_PORT
#define DIO49_BIT DOUT2_BIT
#define DIO49_AHB1EN DOUT2_AHB1EN
#define DIO49_GPIO DOUT2_GPIO
#endif</v>
      </c>
      <c r="F51" s="9"/>
      <c r="G51" s="9"/>
      <c r="H51" s="9"/>
      <c r="I51" s="4" t="str">
        <f t="shared" ref="I51:I66" si="9">"#if "&amp;C51&amp;"&gt;=0
mcu_config_output("&amp;C51&amp;");
#endif"</f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1"/>
        <v>#if (defined(DOUT3_PORT) &amp;&amp; defined(DOUT3_BIT))
#define DOUT3 50
#define DOUT3_AHB1EN (__rccgpioen__(DOUT3_PORT))
#define DOUT3_GPIO (__gpio__(DOUT3_PORT))
#define DIO50 50
#define DIO50_PORT DOUT3_PORT
#define DIO50_BIT DOUT3_BIT
#define DIO50_AHB1EN DOUT3_AHB1EN
#define DIO50_GPIO DOUT3_GPIO
#endif</v>
      </c>
      <c r="F52" s="9"/>
      <c r="G52" s="9"/>
      <c r="H52" s="9"/>
      <c r="I52" s="4" t="str">
        <f t="shared" si="9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1"/>
        <v>#if (defined(DOUT4_PORT) &amp;&amp; defined(DOUT4_BIT))
#define DOUT4 51
#define DOUT4_AHB1EN (__rccgpioen__(DOUT4_PORT))
#define DOUT4_GPIO (__gpio__(DOUT4_PORT))
#define DIO51 51
#define DIO51_PORT DOUT4_PORT
#define DIO51_BIT DOUT4_BIT
#define DIO51_AHB1EN DOUT4_AHB1EN
#define DIO51_GPIO DOUT4_GPIO
#endif</v>
      </c>
      <c r="F53" s="9"/>
      <c r="G53" s="9"/>
      <c r="H53" s="9"/>
      <c r="I53" s="4" t="str">
        <f t="shared" si="9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1"/>
        <v>#if (defined(DOUT5_PORT) &amp;&amp; defined(DOUT5_BIT))
#define DOUT5 52
#define DOUT5_AHB1EN (__rccgpioen__(DOUT5_PORT))
#define DOUT5_GPIO (__gpio__(DOUT5_PORT))
#define DIO52 52
#define DIO52_PORT DOUT5_PORT
#define DIO52_BIT DOUT5_BIT
#define DIO52_AHB1EN DOUT5_AHB1EN
#define DIO52_GPIO DOUT5_GPIO
#endif</v>
      </c>
      <c r="F54" s="9"/>
      <c r="G54" s="9"/>
      <c r="H54" s="9"/>
      <c r="I54" s="4" t="str">
        <f t="shared" si="9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1"/>
        <v>#if (defined(DOUT6_PORT) &amp;&amp; defined(DOUT6_BIT))
#define DOUT6 53
#define DOUT6_AHB1EN (__rccgpioen__(DOUT6_PORT))
#define DOUT6_GPIO (__gpio__(DOUT6_PORT))
#define DIO53 53
#define DIO53_PORT DOUT6_PORT
#define DIO53_BIT DOUT6_BIT
#define DIO53_AHB1EN DOUT6_AHB1EN
#define DIO53_GPIO DOUT6_GPIO
#endif</v>
      </c>
      <c r="F55" s="9"/>
      <c r="G55" s="9"/>
      <c r="H55" s="9"/>
      <c r="I55" s="4" t="str">
        <f t="shared" si="9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1"/>
        <v>#if (defined(DOUT7_PORT) &amp;&amp; defined(DOUT7_BIT))
#define DOUT7 54
#define DOUT7_AHB1EN (__rccgpioen__(DOUT7_PORT))
#define DOUT7_GPIO (__gpio__(DOUT7_PORT))
#define DIO54 54
#define DIO54_PORT DOUT7_PORT
#define DIO54_BIT DOUT7_BIT
#define DIO54_AHB1EN DOUT7_AHB1EN
#define DIO54_GPIO DOUT7_GPIO
#endif</v>
      </c>
      <c r="F56" s="9"/>
      <c r="G56" s="9"/>
      <c r="H56" s="9"/>
      <c r="I56" s="4" t="str">
        <f t="shared" si="9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1"/>
        <v>#if (defined(DOUT8_PORT) &amp;&amp; defined(DOUT8_BIT))
#define DOUT8 55
#define DOUT8_AHB1EN (__rccgpioen__(DOUT8_PORT))
#define DOUT8_GPIO (__gpio__(DOUT8_PORT))
#define DIO55 55
#define DIO55_PORT DOUT8_PORT
#define DIO55_BIT DOUT8_BIT
#define DIO55_AHB1EN DOUT8_AHB1EN
#define DIO55_GPIO DOUT8_GPIO
#endif</v>
      </c>
      <c r="F57" s="9"/>
      <c r="G57" s="9"/>
      <c r="H57" s="9"/>
      <c r="I57" s="4" t="str">
        <f t="shared" si="9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1"/>
        <v>#if (defined(DOUT9_PORT) &amp;&amp; defined(DOUT9_BIT))
#define DOUT9 56
#define DOUT9_AHB1EN (__rccgpioen__(DOUT9_PORT))
#define DOUT9_GPIO (__gpio__(DOUT9_PORT))
#define DIO56 56
#define DIO56_PORT DOUT9_PORT
#define DIO56_BIT DOUT9_BIT
#define DIO56_AHB1EN DOUT9_AHB1EN
#define DIO56_GPIO DOUT9_GPIO
#endif</v>
      </c>
      <c r="F58" s="9"/>
      <c r="G58" s="9"/>
      <c r="H58" s="9"/>
      <c r="I58" s="4" t="str">
        <f t="shared" si="9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1"/>
        <v>#if (defined(DOUT10_PORT) &amp;&amp; defined(DOUT10_BIT))
#define DOUT10 57
#define DOUT10_AHB1EN (__rccgpioen__(DOUT10_PORT))
#define DOUT10_GPIO (__gpio__(DOUT10_PORT))
#define DIO57 57
#define DIO57_PORT DOUT10_PORT
#define DIO57_BIT DOUT10_BIT
#define DIO57_AHB1EN DOUT10_AHB1EN
#define DIO57_GPIO DOUT10_GPIO
#endif</v>
      </c>
      <c r="F59" s="9"/>
      <c r="G59" s="9"/>
      <c r="H59" s="9"/>
      <c r="I59" s="4" t="str">
        <f t="shared" si="9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1"/>
        <v>#if (defined(DOUT11_PORT) &amp;&amp; defined(DOUT11_BIT))
#define DOUT11 58
#define DOUT11_AHB1EN (__rccgpioen__(DOUT11_PORT))
#define DOUT11_GPIO (__gpio__(DOUT11_PORT))
#define DIO58 58
#define DIO58_PORT DOUT11_PORT
#define DIO58_BIT DOUT11_BIT
#define DIO58_AHB1EN DOUT11_AHB1EN
#define DIO58_GPIO DOUT11_GPIO
#endif</v>
      </c>
      <c r="F60" s="9"/>
      <c r="G60" s="9"/>
      <c r="H60" s="9"/>
      <c r="I60" s="4" t="str">
        <f t="shared" si="9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1"/>
        <v>#if (defined(DOUT12_PORT) &amp;&amp; defined(DOUT12_BIT))
#define DOUT12 59
#define DOUT12_AHB1EN (__rccgpioen__(DOUT12_PORT))
#define DOUT12_GPIO (__gpio__(DOUT12_PORT))
#define DIO59 59
#define DIO59_PORT DOUT12_PORT
#define DIO59_BIT DOUT12_BIT
#define DIO59_AHB1EN DOUT12_AHB1EN
#define DIO59_GPIO DOUT12_GPIO
#endif</v>
      </c>
      <c r="F61" s="10"/>
      <c r="G61" s="10"/>
      <c r="H61" s="9"/>
      <c r="I61" s="4" t="str">
        <f t="shared" si="9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1"/>
        <v>#if (defined(DOUT13_PORT) &amp;&amp; defined(DOUT13_BIT))
#define DOUT13 60
#define DOUT13_AHB1EN (__rccgpioen__(DOUT13_PORT))
#define DOUT13_GPIO (__gpio__(DOUT13_PORT))
#define DIO60 60
#define DIO60_PORT DOUT13_PORT
#define DIO60_BIT DOUT13_BIT
#define DIO60_AHB1EN DOUT13_AHB1EN
#define DIO60_GPIO DOUT13_GPIO
#endif</v>
      </c>
      <c r="F62" s="12"/>
      <c r="G62" s="9"/>
      <c r="H62" s="9"/>
      <c r="I62" s="4" t="str">
        <f t="shared" si="9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1"/>
        <v>#if (defined(DOUT14_PORT) &amp;&amp; defined(DOUT14_BIT))
#define DOUT14 61
#define DOUT14_AHB1EN (__rccgpioen__(DOUT14_PORT))
#define DOUT14_GPIO (__gpio__(DOUT14_PORT))
#define DIO61 61
#define DIO61_PORT DOUT14_PORT
#define DIO61_BIT DOUT14_BIT
#define DIO61_AHB1EN DOUT14_AHB1EN
#define DIO61_GPIO DOUT14_GPIO
#endif</v>
      </c>
      <c r="F63" s="10"/>
      <c r="G63" s="9"/>
      <c r="H63" s="9"/>
      <c r="I63" s="4" t="str">
        <f t="shared" si="9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1"/>
        <v>#if (defined(DOUT15_PORT) &amp;&amp; defined(DOUT15_BIT))
#define DOUT15 62
#define DOUT15_AHB1EN (__rccgpioen__(DOUT15_PORT))
#define DOUT15_GPIO (__gpio__(DOUT15_PORT))
#define DIO62 62
#define DIO62_PORT DOUT15_PORT
#define DIO62_BIT DOUT15_BIT
#define DIO62_AHB1EN DOUT15_AHB1EN
#define DIO62_GPIO DOUT15_GPIO
#endif</v>
      </c>
      <c r="F64" s="10"/>
      <c r="G64" s="9"/>
      <c r="H64" s="9"/>
      <c r="I64" s="4" t="str">
        <f t="shared" si="9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1"/>
        <v>#if (defined(DOUT16_PORT) &amp;&amp; defined(DOUT16_BIT))
#define DOUT16 63
#define DOUT16_AHB1EN (__rccgpioen__(DOUT16_PORT))
#define DOUT16_GPIO (__gpio__(DOUT16_PORT))
#define DIO63 63
#define DIO63_PORT DOUT16_PORT
#define DIO63_BIT DOUT16_BIT
#define DIO63_AHB1EN DOUT16_AHB1EN
#define DIO63_GPIO DOUT16_GPIO
#endif</v>
      </c>
      <c r="F65" s="10"/>
      <c r="G65" s="9"/>
      <c r="H65" s="9"/>
      <c r="I65" s="4" t="str">
        <f t="shared" si="9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1"/>
        <v>#if (defined(DOUT17_PORT) &amp;&amp; defined(DOUT17_BIT))
#define DOUT17 64
#define DOUT17_AHB1EN (__rccgpioen__(DOUT17_PORT))
#define DOUT17_GPIO (__gpio__(DOUT17_PORT))
#define DIO64 64
#define DIO64_PORT DOUT17_PORT
#define DIO64_BIT DOUT17_BIT
#define DIO64_AHB1EN DOUT17_AHB1EN
#define DIO64_GPIO DOUT17_GPIO
#endif</v>
      </c>
      <c r="F66" s="9"/>
      <c r="G66" s="9"/>
      <c r="H66" s="9"/>
      <c r="I66" s="4" t="str">
        <f t="shared" si="9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ref="E67:E100" si="10">"#if (defined("&amp;C67&amp;"_PORT) &amp;&amp; defined("&amp;C67&amp;"_BIT))
#define "&amp;C67&amp;" "&amp;A67&amp;"
#define "&amp;C67&amp;"_AHB1EN (__rccgpioen__("&amp;C67&amp;"_PORT))
#define "&amp;C67&amp;"_GPIO (__gpio__("&amp;C67&amp;"_PORT))
#define "&amp;B67&amp;" "&amp;A67&amp;"
#define "&amp;B67&amp;"_PORT "&amp;C67&amp;"_PORT
#define "&amp;B67&amp;"_BIT "&amp;C67&amp;"_BIT
#define "&amp;B67&amp;"_AHB1EN "&amp;C67&amp;"_AHB1EN
#define "&amp;B67&amp;"_GPIO "&amp;C67&amp;"_GPIO
#endif"</f>
        <v>#if (defined(DOUT18_PORT) &amp;&amp; defined(DOUT18_BIT))
#define DOUT18 65
#define DOUT18_AHB1EN (__rccgpioen__(DOUT18_PORT))
#define DOUT18_GPIO (__gpio__(DOUT18_PORT))
#define DIO65 65
#define DIO65_PORT DOUT18_PORT
#define DIO65_BIT DOUT18_BIT
#define DIO65_AHB1EN DOUT18_AHB1EN
#define DIO65_GPIO DOUT18_GPIO
#endif</v>
      </c>
      <c r="F67" s="9"/>
      <c r="G67" s="9"/>
      <c r="H67" s="9"/>
      <c r="I67" s="4" t="str">
        <f t="shared" ref="I67:I80" si="11">"#if "&amp;C67&amp;"&gt;=0
mcu_config_output("&amp;C67&amp;");
#endif"</f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si="10"/>
        <v>#if (defined(DOUT19_PORT) &amp;&amp; defined(DOUT19_BIT))
#define DOUT19 66
#define DOUT19_AHB1EN (__rccgpioen__(DOUT19_PORT))
#define DOUT19_GPIO (__gpio__(DOUT19_PORT))
#define DIO66 66
#define DIO66_PORT DOUT19_PORT
#define DIO66_BIT DOUT19_BIT
#define DIO66_AHB1EN DOUT19_AHB1EN
#define DIO66_GPIO DOUT19_GPIO
#endif</v>
      </c>
      <c r="F68" s="9"/>
      <c r="G68" s="9"/>
      <c r="H68" s="9"/>
      <c r="I68" s="4" t="str">
        <f t="shared" si="11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10"/>
        <v>#if (defined(DOUT20_PORT) &amp;&amp; defined(DOUT20_BIT))
#define DOUT20 67
#define DOUT20_AHB1EN (__rccgpioen__(DOUT20_PORT))
#define DOUT20_GPIO (__gpio__(DOUT20_PORT))
#define DIO67 67
#define DIO67_PORT DOUT20_PORT
#define DIO67_BIT DOUT20_BIT
#define DIO67_AHB1EN DOUT20_AHB1EN
#define DIO67_GPIO DOUT20_GPIO
#endif</v>
      </c>
      <c r="F69" s="9"/>
      <c r="G69" s="9"/>
      <c r="H69" s="9"/>
      <c r="I69" s="4" t="str">
        <f t="shared" si="11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10"/>
        <v>#if (defined(DOUT21_PORT) &amp;&amp; defined(DOUT21_BIT))
#define DOUT21 68
#define DOUT21_AHB1EN (__rccgpioen__(DOUT21_PORT))
#define DOUT21_GPIO (__gpio__(DOUT21_PORT))
#define DIO68 68
#define DIO68_PORT DOUT21_PORT
#define DIO68_BIT DOUT21_BIT
#define DIO68_AHB1EN DOUT21_AHB1EN
#define DIO68_GPIO DOUT21_GPIO
#endif</v>
      </c>
      <c r="F70" s="9"/>
      <c r="G70" s="9"/>
      <c r="H70" s="9"/>
      <c r="I70" s="4" t="str">
        <f t="shared" si="11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10"/>
        <v>#if (defined(DOUT22_PORT) &amp;&amp; defined(DOUT22_BIT))
#define DOUT22 69
#define DOUT22_AHB1EN (__rccgpioen__(DOUT22_PORT))
#define DOUT22_GPIO (__gpio__(DOUT22_PORT))
#define DIO69 69
#define DIO69_PORT DOUT22_PORT
#define DIO69_BIT DOUT22_BIT
#define DIO69_AHB1EN DOUT22_AHB1EN
#define DIO69_GPIO DOUT22_GPIO
#endif</v>
      </c>
      <c r="F71" s="9"/>
      <c r="G71" s="9"/>
      <c r="H71" s="9"/>
      <c r="I71" s="4" t="str">
        <f t="shared" si="11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10"/>
        <v>#if (defined(DOUT23_PORT) &amp;&amp; defined(DOUT23_BIT))
#define DOUT23 70
#define DOUT23_AHB1EN (__rccgpioen__(DOUT23_PORT))
#define DOUT23_GPIO (__gpio__(DOUT23_PORT))
#define DIO70 70
#define DIO70_PORT DOUT23_PORT
#define DIO70_BIT DOUT23_BIT
#define DIO70_AHB1EN DOUT23_AHB1EN
#define DIO70_GPIO DOUT23_GPIO
#endif</v>
      </c>
      <c r="F72" s="9"/>
      <c r="G72" s="9"/>
      <c r="H72" s="9"/>
      <c r="I72" s="4" t="str">
        <f t="shared" si="11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10"/>
        <v>#if (defined(DOUT24_PORT) &amp;&amp; defined(DOUT24_BIT))
#define DOUT24 71
#define DOUT24_AHB1EN (__rccgpioen__(DOUT24_PORT))
#define DOUT24_GPIO (__gpio__(DOUT24_PORT))
#define DIO71 71
#define DIO71_PORT DOUT24_PORT
#define DIO71_BIT DOUT24_BIT
#define DIO71_AHB1EN DOUT24_AHB1EN
#define DIO71_GPIO DOUT24_GPIO
#endif</v>
      </c>
      <c r="F73" s="9"/>
      <c r="G73" s="9"/>
      <c r="H73" s="9"/>
      <c r="I73" s="4" t="str">
        <f t="shared" si="11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10"/>
        <v>#if (defined(DOUT25_PORT) &amp;&amp; defined(DOUT25_BIT))
#define DOUT25 72
#define DOUT25_AHB1EN (__rccgpioen__(DOUT25_PORT))
#define DOUT25_GPIO (__gpio__(DOUT25_PORT))
#define DIO72 72
#define DIO72_PORT DOUT25_PORT
#define DIO72_BIT DOUT25_BIT
#define DIO72_AHB1EN DOUT25_AHB1EN
#define DIO72_GPIO DOUT25_GPIO
#endif</v>
      </c>
      <c r="F74" s="9"/>
      <c r="G74" s="9"/>
      <c r="H74" s="9"/>
      <c r="I74" s="4" t="str">
        <f t="shared" si="11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10"/>
        <v>#if (defined(DOUT26_PORT) &amp;&amp; defined(DOUT26_BIT))
#define DOUT26 73
#define DOUT26_AHB1EN (__rccgpioen__(DOUT26_PORT))
#define DOUT26_GPIO (__gpio__(DOUT26_PORT))
#define DIO73 73
#define DIO73_PORT DOUT26_PORT
#define DIO73_BIT DOUT26_BIT
#define DIO73_AHB1EN DOUT26_AHB1EN
#define DIO73_GPIO DOUT26_GPIO
#endif</v>
      </c>
      <c r="F75" s="9"/>
      <c r="G75" s="9"/>
      <c r="H75" s="9"/>
      <c r="I75" s="4" t="str">
        <f t="shared" si="11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10"/>
        <v>#if (defined(DOUT27_PORT) &amp;&amp; defined(DOUT27_BIT))
#define DOUT27 74
#define DOUT27_AHB1EN (__rccgpioen__(DOUT27_PORT))
#define DOUT27_GPIO (__gpio__(DOUT27_PORT))
#define DIO74 74
#define DIO74_PORT DOUT27_PORT
#define DIO74_BIT DOUT27_BIT
#define DIO74_AHB1EN DOUT27_AHB1EN
#define DIO74_GPIO DOUT27_GPIO
#endif</v>
      </c>
      <c r="F76" s="9"/>
      <c r="G76" s="9"/>
      <c r="H76" s="9"/>
      <c r="I76" s="4" t="str">
        <f t="shared" si="11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10"/>
        <v>#if (defined(DOUT28_PORT) &amp;&amp; defined(DOUT28_BIT))
#define DOUT28 75
#define DOUT28_AHB1EN (__rccgpioen__(DOUT28_PORT))
#define DOUT28_GPIO (__gpio__(DOUT28_PORT))
#define DIO75 75
#define DIO75_PORT DOUT28_PORT
#define DIO75_BIT DOUT28_BIT
#define DIO75_AHB1EN DOUT28_AHB1EN
#define DIO75_GPIO DOUT28_GPIO
#endif</v>
      </c>
      <c r="F77" s="10"/>
      <c r="G77" s="10"/>
      <c r="H77" s="9"/>
      <c r="I77" s="4" t="str">
        <f t="shared" si="11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10"/>
        <v>#if (defined(DOUT29_PORT) &amp;&amp; defined(DOUT29_BIT))
#define DOUT29 76
#define DOUT29_AHB1EN (__rccgpioen__(DOUT29_PORT))
#define DOUT29_GPIO (__gpio__(DOUT29_PORT))
#define DIO76 76
#define DIO76_PORT DOUT29_PORT
#define DIO76_BIT DOUT29_BIT
#define DIO76_AHB1EN DOUT29_AHB1EN
#define DIO76_GPIO DOUT29_GPIO
#endif</v>
      </c>
      <c r="F78" s="12"/>
      <c r="G78" s="9"/>
      <c r="H78" s="9"/>
      <c r="I78" s="4" t="str">
        <f t="shared" si="11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10"/>
        <v>#if (defined(DOUT30_PORT) &amp;&amp; defined(DOUT30_BIT))
#define DOUT30 77
#define DOUT30_AHB1EN (__rccgpioen__(DOUT30_PORT))
#define DOUT30_GPIO (__gpio__(DOUT30_PORT))
#define DIO77 77
#define DIO77_PORT DOUT30_PORT
#define DIO77_BIT DOUT30_BIT
#define DIO77_AHB1EN DOUT30_AHB1EN
#define DIO77_GPIO DOUT30_GPIO
#endif</v>
      </c>
      <c r="F79" s="10"/>
      <c r="G79" s="9"/>
      <c r="H79" s="9"/>
      <c r="I79" s="4" t="str">
        <f t="shared" si="11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10"/>
        <v>#if (defined(DOUT31_PORT) &amp;&amp; defined(DOUT31_BIT))
#define DOUT31 78
#define DOUT31_AHB1EN (__rccgpioen__(DOUT31_PORT))
#define DOUT31_GPIO (__gpio__(DOUT31_PORT))
#define DIO78 78
#define DIO78_PORT DOUT31_PORT
#define DIO78_BIT DOUT31_BIT
#define DIO78_AHB1EN DOUT31_AHB1EN
#define DIO78_GPIO DOUT31_GPIO
#endif</v>
      </c>
      <c r="F80" s="11" t="s">
        <v>126</v>
      </c>
      <c r="G80" s="11" t="s">
        <v>123</v>
      </c>
      <c r="H80" s="9"/>
      <c r="I80" s="4" t="str">
        <f t="shared" si="11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12">"DIO"&amp;A81</f>
        <v>DIO79</v>
      </c>
      <c r="C81" s="4" t="s">
        <v>527</v>
      </c>
      <c r="D81" s="4">
        <v>32</v>
      </c>
      <c r="E81" s="9" t="str">
        <f t="shared" ref="E81:E98" si="13">"#if (defined("&amp;C81&amp;"_PORT) &amp;&amp; defined("&amp;C81&amp;"_BIT))
#define "&amp;C81&amp;" "&amp;A81&amp;"
#define "&amp;C81&amp;"_AHB1EN (__rccgpioen__("&amp;C81&amp;"_PORT))
#define "&amp;C81&amp;"_GPIO (__gpio__("&amp;C81&amp;"_PORT))
#define "&amp;B81&amp;" "&amp;A81&amp;"
#define "&amp;B81&amp;"_PORT "&amp;C81&amp;"_PORT
#define "&amp;B81&amp;"_BIT "&amp;C81&amp;"_BIT
#define "&amp;B81&amp;"_AHB1EN "&amp;C81&amp;"_AHB1EN
#define "&amp;B81&amp;"_GPIO "&amp;C81&amp;"_GPIO
#endif"</f>
        <v>#if (defined(DOUT32_PORT) &amp;&amp; defined(DOUT32_BIT))
#define DOUT32 79
#define DOUT32_AHB1EN (__rccgpioen__(DOUT32_PORT))
#define DOUT32_GPIO (__gpio__(DOUT32_PORT))
#define DIO79 79
#define DIO79_PORT DOUT32_PORT
#define DIO79_BIT DOUT32_BIT
#define DIO79_AHB1EN DOUT32_AHB1EN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12"/>
        <v>DIO80</v>
      </c>
      <c r="C82" s="4" t="s">
        <v>528</v>
      </c>
      <c r="D82" s="4">
        <v>33</v>
      </c>
      <c r="E82" s="9" t="str">
        <f t="shared" si="13"/>
        <v>#if (defined(DOUT33_PORT) &amp;&amp; defined(DOUT33_BIT))
#define DOUT33 80
#define DOUT33_AHB1EN (__rccgpioen__(DOUT33_PORT))
#define DOUT33_GPIO (__gpio__(DOUT33_PORT))
#define DIO80 80
#define DIO80_PORT DOUT33_PORT
#define DIO80_BIT DOUT33_BIT
#define DIO80_AHB1EN DOUT33_AHB1EN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12"/>
        <v>DIO81</v>
      </c>
      <c r="C83" s="4" t="s">
        <v>529</v>
      </c>
      <c r="D83" s="4">
        <v>34</v>
      </c>
      <c r="E83" s="9" t="str">
        <f t="shared" si="13"/>
        <v>#if (defined(DOUT34_PORT) &amp;&amp; defined(DOUT34_BIT))
#define DOUT34 81
#define DOUT34_AHB1EN (__rccgpioen__(DOUT34_PORT))
#define DOUT34_GPIO (__gpio__(DOUT34_PORT))
#define DIO81 81
#define DIO81_PORT DOUT34_PORT
#define DIO81_BIT DOUT34_BIT
#define DIO81_AHB1EN DOUT34_AHB1EN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12"/>
        <v>DIO82</v>
      </c>
      <c r="C84" s="4" t="s">
        <v>530</v>
      </c>
      <c r="D84" s="4">
        <v>35</v>
      </c>
      <c r="E84" s="9" t="str">
        <f t="shared" si="13"/>
        <v>#if (defined(DOUT35_PORT) &amp;&amp; defined(DOUT35_BIT))
#define DOUT35 82
#define DOUT35_AHB1EN (__rccgpioen__(DOUT35_PORT))
#define DOUT35_GPIO (__gpio__(DOUT35_PORT))
#define DIO82 82
#define DIO82_PORT DOUT35_PORT
#define DIO82_BIT DOUT35_BIT
#define DIO82_AHB1EN DOUT35_AHB1EN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12"/>
        <v>DIO83</v>
      </c>
      <c r="C85" s="4" t="s">
        <v>531</v>
      </c>
      <c r="D85" s="4">
        <v>36</v>
      </c>
      <c r="E85" s="9" t="str">
        <f t="shared" si="13"/>
        <v>#if (defined(DOUT36_PORT) &amp;&amp; defined(DOUT36_BIT))
#define DOUT36 83
#define DOUT36_AHB1EN (__rccgpioen__(DOUT36_PORT))
#define DOUT36_GPIO (__gpio__(DOUT36_PORT))
#define DIO83 83
#define DIO83_PORT DOUT36_PORT
#define DIO83_BIT DOUT36_BIT
#define DIO83_AHB1EN DOUT36_AHB1EN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12"/>
        <v>DIO84</v>
      </c>
      <c r="C86" s="4" t="s">
        <v>532</v>
      </c>
      <c r="D86" s="4">
        <v>37</v>
      </c>
      <c r="E86" s="9" t="str">
        <f t="shared" si="13"/>
        <v>#if (defined(DOUT37_PORT) &amp;&amp; defined(DOUT37_BIT))
#define DOUT37 84
#define DOUT37_AHB1EN (__rccgpioen__(DOUT37_PORT))
#define DOUT37_GPIO (__gpio__(DOUT37_PORT))
#define DIO84 84
#define DIO84_PORT DOUT37_PORT
#define DIO84_BIT DOUT37_BIT
#define DIO84_AHB1EN DOUT37_AHB1EN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12"/>
        <v>DIO85</v>
      </c>
      <c r="C87" s="4" t="s">
        <v>533</v>
      </c>
      <c r="D87" s="4">
        <v>38</v>
      </c>
      <c r="E87" s="9" t="str">
        <f t="shared" si="13"/>
        <v>#if (defined(DOUT38_PORT) &amp;&amp; defined(DOUT38_BIT))
#define DOUT38 85
#define DOUT38_AHB1EN (__rccgpioen__(DOUT38_PORT))
#define DOUT38_GPIO (__gpio__(DOUT38_PORT))
#define DIO85 85
#define DIO85_PORT DOUT38_PORT
#define DIO85_BIT DOUT38_BIT
#define DIO85_AHB1EN DOUT38_AHB1EN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12"/>
        <v>DIO86</v>
      </c>
      <c r="C88" s="4" t="s">
        <v>534</v>
      </c>
      <c r="D88" s="4">
        <v>39</v>
      </c>
      <c r="E88" s="9" t="str">
        <f t="shared" si="13"/>
        <v>#if (defined(DOUT39_PORT) &amp;&amp; defined(DOUT39_BIT))
#define DOUT39 86
#define DOUT39_AHB1EN (__rccgpioen__(DOUT39_PORT))
#define DOUT39_GPIO (__gpio__(DOUT39_PORT))
#define DIO86 86
#define DIO86_PORT DOUT39_PORT
#define DIO86_BIT DOUT39_BIT
#define DIO86_AHB1EN DOUT39_AHB1EN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12"/>
        <v>DIO87</v>
      </c>
      <c r="C89" s="4" t="s">
        <v>535</v>
      </c>
      <c r="D89" s="4">
        <v>40</v>
      </c>
      <c r="E89" s="9" t="str">
        <f t="shared" si="13"/>
        <v>#if (defined(DOUT40_PORT) &amp;&amp; defined(DOUT40_BIT))
#define DOUT40 87
#define DOUT40_AHB1EN (__rccgpioen__(DOUT40_PORT))
#define DOUT40_GPIO (__gpio__(DOUT40_PORT))
#define DIO87 87
#define DIO87_PORT DOUT40_PORT
#define DIO87_BIT DOUT40_BIT
#define DIO87_AHB1EN DOUT40_AHB1EN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12"/>
        <v>DIO88</v>
      </c>
      <c r="C90" s="4" t="s">
        <v>536</v>
      </c>
      <c r="D90" s="4">
        <v>41</v>
      </c>
      <c r="E90" s="9" t="str">
        <f t="shared" si="13"/>
        <v>#if (defined(DOUT41_PORT) &amp;&amp; defined(DOUT41_BIT))
#define DOUT41 88
#define DOUT41_AHB1EN (__rccgpioen__(DOUT41_PORT))
#define DOUT41_GPIO (__gpio__(DOUT41_PORT))
#define DIO88 88
#define DIO88_PORT DOUT41_PORT
#define DIO88_BIT DOUT41_BIT
#define DIO88_AHB1EN DOUT41_AHB1EN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12"/>
        <v>DIO89</v>
      </c>
      <c r="C91" s="4" t="s">
        <v>537</v>
      </c>
      <c r="D91" s="4">
        <v>42</v>
      </c>
      <c r="E91" s="9" t="str">
        <f t="shared" si="13"/>
        <v>#if (defined(DOUT42_PORT) &amp;&amp; defined(DOUT42_BIT))
#define DOUT42 89
#define DOUT42_AHB1EN (__rccgpioen__(DOUT42_PORT))
#define DOUT42_GPIO (__gpio__(DOUT42_PORT))
#define DIO89 89
#define DIO89_PORT DOUT42_PORT
#define DIO89_BIT DOUT42_BIT
#define DIO89_AHB1EN DOUT42_AHB1EN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12"/>
        <v>DIO90</v>
      </c>
      <c r="C92" s="4" t="s">
        <v>538</v>
      </c>
      <c r="D92" s="4">
        <v>43</v>
      </c>
      <c r="E92" s="9" t="str">
        <f t="shared" si="13"/>
        <v>#if (defined(DOUT43_PORT) &amp;&amp; defined(DOUT43_BIT))
#define DOUT43 90
#define DOUT43_AHB1EN (__rccgpioen__(DOUT43_PORT))
#define DOUT43_GPIO (__gpio__(DOUT43_PORT))
#define DIO90 90
#define DIO90_PORT DOUT43_PORT
#define DIO90_BIT DOUT43_BIT
#define DIO90_AHB1EN DOUT43_AHB1EN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12"/>
        <v>DIO91</v>
      </c>
      <c r="C93" s="4" t="s">
        <v>539</v>
      </c>
      <c r="D93" s="4">
        <v>44</v>
      </c>
      <c r="E93" s="9" t="str">
        <f t="shared" si="13"/>
        <v>#if (defined(DOUT44_PORT) &amp;&amp; defined(DOUT44_BIT))
#define DOUT44 91
#define DOUT44_AHB1EN (__rccgpioen__(DOUT44_PORT))
#define DOUT44_GPIO (__gpio__(DOUT44_PORT))
#define DIO91 91
#define DIO91_PORT DOUT44_PORT
#define DIO91_BIT DOUT44_BIT
#define DIO91_AHB1EN DOUT44_AHB1EN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12"/>
        <v>DIO92</v>
      </c>
      <c r="C94" s="4" t="s">
        <v>540</v>
      </c>
      <c r="D94" s="4">
        <v>45</v>
      </c>
      <c r="E94" s="9" t="str">
        <f t="shared" si="13"/>
        <v>#if (defined(DOUT45_PORT) &amp;&amp; defined(DOUT45_BIT))
#define DOUT45 92
#define DOUT45_AHB1EN (__rccgpioen__(DOUT45_PORT))
#define DOUT45_GPIO (__gpio__(DOUT45_PORT))
#define DIO92 92
#define DIO92_PORT DOUT45_PORT
#define DIO92_BIT DOUT45_BIT
#define DIO92_AHB1EN DOUT45_AHB1EN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12"/>
        <v>DIO93</v>
      </c>
      <c r="C95" s="4" t="s">
        <v>541</v>
      </c>
      <c r="D95" s="4">
        <v>46</v>
      </c>
      <c r="E95" s="9" t="str">
        <f t="shared" si="13"/>
        <v>#if (defined(DOUT46_PORT) &amp;&amp; defined(DOUT46_BIT))
#define DOUT46 93
#define DOUT46_AHB1EN (__rccgpioen__(DOUT46_PORT))
#define DOUT46_GPIO (__gpio__(DOUT46_PORT))
#define DIO93 93
#define DIO93_PORT DOUT46_PORT
#define DIO93_BIT DOUT46_BIT
#define DIO93_AHB1EN DOUT46_AHB1EN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12"/>
        <v>DIO94</v>
      </c>
      <c r="C96" s="4" t="s">
        <v>542</v>
      </c>
      <c r="D96" s="4">
        <v>47</v>
      </c>
      <c r="E96" s="9" t="str">
        <f t="shared" si="13"/>
        <v>#if (defined(DOUT47_PORT) &amp;&amp; defined(DOUT47_BIT))
#define DOUT47 94
#define DOUT47_AHB1EN (__rccgpioen__(DOUT47_PORT))
#define DOUT47_GPIO (__gpio__(DOUT47_PORT))
#define DIO94 94
#define DIO94_PORT DOUT47_PORT
#define DIO94_BIT DOUT47_BIT
#define DIO94_AHB1EN DOUT47_AHB1EN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12"/>
        <v>DIO95</v>
      </c>
      <c r="C97" s="4" t="s">
        <v>543</v>
      </c>
      <c r="D97" s="4">
        <v>48</v>
      </c>
      <c r="E97" s="9" t="str">
        <f t="shared" si="13"/>
        <v>#if (defined(DOUT48_PORT) &amp;&amp; defined(DOUT48_BIT))
#define DOUT48 95
#define DOUT48_AHB1EN (__rccgpioen__(DOUT48_PORT))
#define DOUT48_GPIO (__gpio__(DOUT48_PORT))
#define DIO95 95
#define DIO95_PORT DOUT48_PORT
#define DIO95_BIT DOUT48_BIT
#define DIO95_AHB1EN DOUT48_AHB1EN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12"/>
        <v>DIO96</v>
      </c>
      <c r="C98" s="4" t="s">
        <v>544</v>
      </c>
      <c r="D98" s="4">
        <v>49</v>
      </c>
      <c r="E98" s="9" t="str">
        <f t="shared" si="13"/>
        <v>#if (defined(DOUT49_PORT) &amp;&amp; defined(DOUT49_BIT))
#define DOUT49 96
#define DOUT49_AHB1EN (__rccgpioen__(DOUT49_PORT))
#define DOUT49_GPIO (__gpio__(DOUT49_PORT))
#define DIO96 96
#define DIO96_PORT DOUT49_PORT
#define DIO96_BIT DOUT49_BIT
#define DIO96_AHB1EN DOUT49_AHB1EN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10"/>
        <v>#if (defined(LIMIT_X_PORT) &amp;&amp; defined(LIMIT_X_BIT))
#define LIMIT_X 100
#define LIMIT_X_AHB1EN (__rccgpioen__(LIMIT_X_PORT))
#define LIMIT_X_GPIO (__gpio__(LIMIT_X_PORT))
#define DIO100 100
#define DIO100_PORT LIMIT_X_PORT
#define DIO100_BIT LIMIT_X_BIT
#define DIO100_AHB1EN LIMIT_X_AHB1EN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14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10"/>
        <v>#if (defined(LIMIT_Y_PORT) &amp;&amp; defined(LIMIT_Y_BIT))
#define LIMIT_Y 101
#define LIMIT_Y_AHB1EN (__rccgpioen__(LIMIT_Y_PORT))
#define LIMIT_Y_GPIO (__gpio__(LIMIT_Y_PORT))
#define DIO101 101
#define DIO101_PORT LIMIT_Y_PORT
#define DIO101_BIT LIMIT_Y_BIT
#define DIO101_AHB1EN LIMIT_Y_AHB1EN
#define DIO101_GPIO LIMIT_Y_GPIO
#endif</v>
      </c>
      <c r="F100" s="12" t="str">
        <f t="shared" ref="F100:F112" si="15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14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1"/>
        <v>#if (defined(LIMIT_Z_PORT) &amp;&amp; defined(LIMIT_Z_BIT))
#define LIMIT_Z 102
#define LIMIT_Z_AHB1EN (__rccgpioen__(LIMIT_Z_PORT))
#define LIMIT_Z_GPIO (__gpio__(LIMIT_Z_PORT))
#define DIO102 102
#define DIO102_PORT LIMIT_Z_PORT
#define DIO102_BIT LIMIT_Z_BIT
#define DIO102_AHB1EN LIMIT_Z_AHB1EN
#define DIO102_GPIO LIMIT_Z_GPIO
#endif</v>
      </c>
      <c r="F101" s="12" t="str">
        <f t="shared" si="15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14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1"/>
        <v>#if (defined(LIMIT_X2_PORT) &amp;&amp; defined(LIMIT_X2_BIT))
#define LIMIT_X2 103
#define LIMIT_X2_AHB1EN (__rccgpioen__(LIMIT_X2_PORT))
#define LIMIT_X2_GPIO (__gpio__(LIMIT_X2_PORT))
#define DIO103 103
#define DIO103_PORT LIMIT_X2_PORT
#define DIO103_BIT LIMIT_X2_BIT
#define DIO103_AHB1EN LIMIT_X2_AHB1EN
#define DIO103_GPIO LIMIT_X2_GPIO
#endif</v>
      </c>
      <c r="F102" s="12" t="str">
        <f t="shared" si="15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14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1"/>
        <v>#if (defined(LIMIT_Y2_PORT) &amp;&amp; defined(LIMIT_Y2_BIT))
#define LIMIT_Y2 104
#define LIMIT_Y2_AHB1EN (__rccgpioen__(LIMIT_Y2_PORT))
#define LIMIT_Y2_GPIO (__gpio__(LIMIT_Y2_PORT))
#define DIO104 104
#define DIO104_PORT LIMIT_Y2_PORT
#define DIO104_BIT LIMIT_Y2_BIT
#define DIO104_AHB1EN LIMIT_Y2_AHB1EN
#define DIO104_GPIO LIMIT_Y2_GPIO
#endif</v>
      </c>
      <c r="F103" s="12" t="str">
        <f t="shared" si="15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14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1"/>
        <v>#if (defined(LIMIT_Z2_PORT) &amp;&amp; defined(LIMIT_Z2_BIT))
#define LIMIT_Z2 105
#define LIMIT_Z2_AHB1EN (__rccgpioen__(LIMIT_Z2_PORT))
#define LIMIT_Z2_GPIO (__gpio__(LIMIT_Z2_PORT))
#define DIO105 105
#define DIO105_PORT LIMIT_Z2_PORT
#define DIO105_BIT LIMIT_Z2_BIT
#define DIO105_AHB1EN LIMIT_Z2_AHB1EN
#define DIO105_GPIO LIMIT_Z2_GPIO
#endif</v>
      </c>
      <c r="F104" s="12" t="str">
        <f t="shared" si="15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14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1"/>
        <v>#if (defined(LIMIT_A_PORT) &amp;&amp; defined(LIMIT_A_BIT))
#define LIMIT_A 106
#define LIMIT_A_AHB1EN (__rccgpioen__(LIMIT_A_PORT))
#define LIMIT_A_GPIO (__gpio__(LIMIT_A_PORT))
#define DIO106 106
#define DIO106_PORT LIMIT_A_PORT
#define DIO106_BIT LIMIT_A_BIT
#define DIO106_AHB1EN LIMIT_A_AHB1EN
#define DIO106_GPIO LIMIT_A_GPIO
#endif</v>
      </c>
      <c r="F105" s="12" t="str">
        <f t="shared" si="15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14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1"/>
        <v>#if (defined(LIMIT_B_PORT) &amp;&amp; defined(LIMIT_B_BIT))
#define LIMIT_B 107
#define LIMIT_B_AHB1EN (__rccgpioen__(LIMIT_B_PORT))
#define LIMIT_B_GPIO (__gpio__(LIMIT_B_PORT))
#define DIO107 107
#define DIO107_PORT LIMIT_B_PORT
#define DIO107_BIT LIMIT_B_BIT
#define DIO107_AHB1EN LIMIT_B_AHB1EN
#define DIO107_GPIO LIMIT_B_GPIO
#endif</v>
      </c>
      <c r="F106" s="12" t="str">
        <f t="shared" si="15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14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1"/>
        <v>#if (defined(LIMIT_C_PORT) &amp;&amp; defined(LIMIT_C_BIT))
#define LIMIT_C 108
#define LIMIT_C_AHB1EN (__rccgpioen__(LIMIT_C_PORT))
#define LIMIT_C_GPIO (__gpio__(LIMIT_C_PORT))
#define DIO108 108
#define DIO108_PORT LIMIT_C_PORT
#define DIO108_BIT LIMIT_C_BIT
#define DIO108_AHB1EN LIMIT_C_AHB1EN
#define DIO108_GPIO LIMIT_C_GPIO
#endif</v>
      </c>
      <c r="F107" s="12" t="str">
        <f t="shared" si="15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14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1"/>
        <v>#if (defined(PROBE_PORT) &amp;&amp; defined(PROBE_BIT))
#define PROBE 109
#define PROBE_AHB1EN (__rccgpioen__(PROBE_PORT))
#define PROBE_GPIO (__gpio__(PROBE_PORT))
#define DIO109 109
#define DIO109_PORT PROBE_PORT
#define DIO109_BIT PROBE_BIT
#define DIO109_AHB1EN PROBE_AHB1EN
#define DIO109_GPIO PROBE_GPIO
#endif</v>
      </c>
      <c r="F108" s="12" t="str">
        <f t="shared" si="15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14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1"/>
        <v>#if (defined(ESTOP_PORT) &amp;&amp; defined(ESTOP_BIT))
#define ESTOP 110
#define ESTOP_AHB1EN (__rccgpioen__(ESTOP_PORT))
#define ESTOP_GPIO (__gpio__(ESTOP_PORT))
#define DIO110 110
#define DIO110_PORT ESTOP_PORT
#define DIO110_BIT ESTOP_BIT
#define DIO110_AHB1EN ESTOP_AHB1EN
#define DIO110_GPIO ESTOP_GPIO
#endif</v>
      </c>
      <c r="F109" s="12" t="str">
        <f t="shared" si="15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14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1"/>
        <v>#if (defined(SAFETY_DOOR_PORT) &amp;&amp; defined(SAFETY_DOOR_BIT))
#define SAFETY_DOOR 111
#define SAFETY_DOOR_AHB1EN (__rccgpioen__(SAFETY_DOOR_PORT))
#define SAFETY_DOOR_GPIO (__gpio__(SAFETY_DOOR_PORT))
#define DIO111 111
#define DIO111_PORT SAFETY_DOOR_PORT
#define DIO111_BIT SAFETY_DOOR_BIT
#define DIO111_AHB1EN SAFETY_DOOR_AHB1EN
#define DIO111_GPIO SAFETY_DOOR_GPIO
#endif</v>
      </c>
      <c r="F110" s="12" t="str">
        <f t="shared" si="15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14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1"/>
        <v>#if (defined(FHOLD_PORT) &amp;&amp; defined(FHOLD_BIT))
#define FHOLD 112
#define FHOLD_AHB1EN (__rccgpioen__(FHOLD_PORT))
#define FHOLD_GPIO (__gpio__(FHOLD_PORT))
#define DIO112 112
#define DIO112_PORT FHOLD_PORT
#define DIO112_BIT FHOLD_BIT
#define DIO112_AHB1EN FHOLD_AHB1EN
#define DIO112_GPIO FHOLD_GPIO
#endif</v>
      </c>
      <c r="F111" s="12" t="str">
        <f t="shared" si="15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14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1"/>
        <v>#if (defined(CS_RES_PORT) &amp;&amp; defined(CS_RES_BIT))
#define CS_RES 113
#define CS_RES_AHB1EN (__rccgpioen__(CS_RES_PORT))
#define CS_RES_GPIO (__gpio__(CS_RES_PORT))
#define DIO113 113
#define DIO113_PORT CS_RES_PORT
#define DIO113_BIT CS_RES_BIT
#define DIO113_AHB1EN CS_RES_AHB1EN
#define DIO113_GPIO CS_RES_GPIO
#endif</v>
      </c>
      <c r="F112" s="12" t="str">
        <f t="shared" si="15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14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1"/>
        <v>#if (defined(ANALOG0_PORT) &amp;&amp; defined(ANALOG0_BIT))
#define ANALOG0 114
#define ANALOG0_AHB1EN (__rccgpioen__(ANALOG0_PORT))
#define ANALOG0_GPIO (__gpio__(ANALOG0_PORT))
#define DIO114 114
#define DIO114_PORT ANALOG0_PORT
#define DIO114_BIT ANALOG0_BIT
#define DIO114_AHB1EN ANALOG0_AHB1EN
#define DIO114_GPIO ANALOG0_GPIO
#endif</v>
      </c>
      <c r="F113" s="10"/>
      <c r="G113" s="9"/>
      <c r="H113" s="12" t="str">
        <f>"#ifdef "&amp;C113&amp;"
#ifndef "&amp;C113&amp;"_CHANNEL
#define "&amp;C113&amp;"_CHANNEL -1
#endif
#define "&amp;B113&amp;"_CHANNEL "&amp;C113&amp;"_CHANNEL
#endif"</f>
        <v>#ifdef ANALOG0
#ifndef ANALOG0_CHANNEL
#define ANALOG0_CHANNEL -1
#endif
#define DIO114_CHANNEL ANALOG0_CHANNEL
#endif</v>
      </c>
      <c r="I113" s="4" t="str">
        <f t="shared" ref="I113:I128" si="16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1"/>
        <v>#if (defined(ANALOG1_PORT) &amp;&amp; defined(ANALOG1_BIT))
#define ANALOG1 115
#define ANALOG1_AHB1EN (__rccgpioen__(ANALOG1_PORT))
#define ANALOG1_GPIO (__gpio__(ANALOG1_PORT))
#define DIO115 115
#define DIO115_PORT ANALOG1_PORT
#define DIO115_BIT ANALOG1_BIT
#define DIO115_AHB1EN ANALOG1_AHB1EN
#define DIO115_GPIO ANALOG1_GPIO
#endif</v>
      </c>
      <c r="F114" s="10"/>
      <c r="G114" s="9"/>
      <c r="H114" s="12" t="str">
        <f t="shared" ref="H114:H128" si="17">"#ifdef "&amp;C114&amp;"
#ifndef "&amp;C114&amp;"_CHANNEL
#define "&amp;C114&amp;"_CHANNEL -1
#endif
#define "&amp;B114&amp;"_CHANNEL "&amp;C114&amp;"_CHANNEL
#endif"</f>
        <v>#ifdef ANALOG1
#ifndef ANALOG1_CHANNEL
#define ANALOG1_CHANNEL -1
#endif
#define DIO115_CHANNEL ANALOG1_CHANNEL
#endif</v>
      </c>
      <c r="I114" s="4" t="str">
        <f t="shared" si="16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1"/>
        <v>#if (defined(ANALOG2_PORT) &amp;&amp; defined(ANALOG2_BIT))
#define ANALOG2 116
#define ANALOG2_AHB1EN (__rccgpioen__(ANALOG2_PORT))
#define ANALOG2_GPIO (__gpio__(ANALOG2_PORT))
#define DIO116 116
#define DIO116_PORT ANALOG2_PORT
#define DIO116_BIT ANALOG2_BIT
#define DIO116_AHB1EN ANALOG2_AHB1EN
#define DIO116_GPIO ANALOG2_GPIO
#endif</v>
      </c>
      <c r="F115" s="10"/>
      <c r="G115" s="9"/>
      <c r="H115" s="12" t="str">
        <f t="shared" si="17"/>
        <v>#ifdef ANALOG2
#ifndef ANALOG2_CHANNEL
#define ANALOG2_CHANNEL -1
#endif
#define DIO116_CHANNEL ANALOG2_CHANNEL
#endif</v>
      </c>
      <c r="I115" s="4" t="str">
        <f t="shared" si="16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1"/>
        <v>#if (defined(ANALOG3_PORT) &amp;&amp; defined(ANALOG3_BIT))
#define ANALOG3 117
#define ANALOG3_AHB1EN (__rccgpioen__(ANALOG3_PORT))
#define ANALOG3_GPIO (__gpio__(ANALOG3_PORT))
#define DIO117 117
#define DIO117_PORT ANALOG3_PORT
#define DIO117_BIT ANALOG3_BIT
#define DIO117_AHB1EN ANALOG3_AHB1EN
#define DIO117_GPIO ANALOG3_GPIO
#endif</v>
      </c>
      <c r="F116" s="9"/>
      <c r="G116" s="9"/>
      <c r="H116" s="12" t="str">
        <f t="shared" si="17"/>
        <v>#ifdef ANALOG3
#ifndef ANALOG3_CHANNEL
#define ANALOG3_CHANNEL -1
#endif
#define DIO117_CHANNEL ANALOG3_CHANNEL
#endif</v>
      </c>
      <c r="I116" s="4" t="str">
        <f t="shared" si="16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1"/>
        <v>#if (defined(ANALOG4_PORT) &amp;&amp; defined(ANALOG4_BIT))
#define ANALOG4 118
#define ANALOG4_AHB1EN (__rccgpioen__(ANALOG4_PORT))
#define ANALOG4_GPIO (__gpio__(ANALOG4_PORT))
#define DIO118 118
#define DIO118_PORT ANALOG4_PORT
#define DIO118_BIT ANALOG4_BIT
#define DIO118_AHB1EN ANALOG4_AHB1EN
#define DIO118_GPIO ANALOG4_GPIO
#endif</v>
      </c>
      <c r="F117" s="9"/>
      <c r="G117" s="9"/>
      <c r="H117" s="12" t="str">
        <f t="shared" si="17"/>
        <v>#ifdef ANALOG4
#ifndef ANALOG4_CHANNEL
#define ANALOG4_CHANNEL -1
#endif
#define DIO118_CHANNEL ANALOG4_CHANNEL
#endif</v>
      </c>
      <c r="I117" s="4" t="str">
        <f t="shared" si="16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1"/>
        <v>#if (defined(ANALOG5_PORT) &amp;&amp; defined(ANALOG5_BIT))
#define ANALOG5 119
#define ANALOG5_AHB1EN (__rccgpioen__(ANALOG5_PORT))
#define ANALOG5_GPIO (__gpio__(ANALOG5_PORT))
#define DIO119 119
#define DIO119_PORT ANALOG5_PORT
#define DIO119_BIT ANALOG5_BIT
#define DIO119_AHB1EN ANALOG5_AHB1EN
#define DIO119_GPIO ANALOG5_GPIO
#endif</v>
      </c>
      <c r="F118" s="9"/>
      <c r="G118" s="9"/>
      <c r="H118" s="12" t="str">
        <f t="shared" si="17"/>
        <v>#ifdef ANALOG5
#ifndef ANALOG5_CHANNEL
#define ANALOG5_CHANNEL -1
#endif
#define DIO119_CHANNEL ANALOG5_CHANNEL
#endif</v>
      </c>
      <c r="I118" s="4" t="str">
        <f t="shared" si="16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1"/>
        <v>#if (defined(ANALOG6_PORT) &amp;&amp; defined(ANALOG6_BIT))
#define ANALOG6 120
#define ANALOG6_AHB1EN (__rccgpioen__(ANALOG6_PORT))
#define ANALOG6_GPIO (__gpio__(ANALOG6_PORT))
#define DIO120 120
#define DIO120_PORT ANALOG6_PORT
#define DIO120_BIT ANALOG6_BIT
#define DIO120_AHB1EN ANALOG6_AHB1EN
#define DIO120_GPIO ANALOG6_GPIO
#endif</v>
      </c>
      <c r="F119" s="9"/>
      <c r="G119" s="9"/>
      <c r="H119" s="12" t="str">
        <f t="shared" si="17"/>
        <v>#ifdef ANALOG6
#ifndef ANALOG6_CHANNEL
#define ANALOG6_CHANNEL -1
#endif
#define DIO120_CHANNEL ANALOG6_CHANNEL
#endif</v>
      </c>
      <c r="I119" s="4" t="str">
        <f t="shared" si="16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1"/>
        <v>#if (defined(ANALOG7_PORT) &amp;&amp; defined(ANALOG7_BIT))
#define ANALOG7 121
#define ANALOG7_AHB1EN (__rccgpioen__(ANALOG7_PORT))
#define ANALOG7_GPIO (__gpio__(ANALOG7_PORT))
#define DIO121 121
#define DIO121_PORT ANALOG7_PORT
#define DIO121_BIT ANALOG7_BIT
#define DIO121_AHB1EN ANALOG7_AHB1EN
#define DIO121_GPIO ANALOG7_GPIO
#endif</v>
      </c>
      <c r="F120" s="9"/>
      <c r="G120" s="9"/>
      <c r="H120" s="12" t="str">
        <f t="shared" si="17"/>
        <v>#ifdef ANALOG7
#ifndef ANALOG7_CHANNEL
#define ANALOG7_CHANNEL -1
#endif
#define DIO121_CHANNEL ANALOG7_CHANNEL
#endif</v>
      </c>
      <c r="I120" s="4" t="str">
        <f t="shared" si="16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1"/>
        <v>#if (defined(ANALOG8_PORT) &amp;&amp; defined(ANALOG8_BIT))
#define ANALOG8 122
#define ANALOG8_AHB1EN (__rccgpioen__(ANALOG8_PORT))
#define ANALOG8_GPIO (__gpio__(ANALOG8_PORT))
#define DIO122 122
#define DIO122_PORT ANALOG8_PORT
#define DIO122_BIT ANALOG8_BIT
#define DIO122_AHB1EN ANALOG8_AHB1EN
#define DIO122_GPIO ANALOG8_GPIO
#endif</v>
      </c>
      <c r="F121" s="9"/>
      <c r="G121" s="9"/>
      <c r="H121" s="12" t="str">
        <f t="shared" si="17"/>
        <v>#ifdef ANALOG8
#ifndef ANALOG8_CHANNEL
#define ANALOG8_CHANNEL -1
#endif
#define DIO122_CHANNEL ANALOG8_CHANNEL
#endif</v>
      </c>
      <c r="I121" s="4" t="str">
        <f t="shared" si="16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1"/>
        <v>#if (defined(ANALOG9_PORT) &amp;&amp; defined(ANALOG9_BIT))
#define ANALOG9 123
#define ANALOG9_AHB1EN (__rccgpioen__(ANALOG9_PORT))
#define ANALOG9_GPIO (__gpio__(ANALOG9_PORT))
#define DIO123 123
#define DIO123_PORT ANALOG9_PORT
#define DIO123_BIT ANALOG9_BIT
#define DIO123_AHB1EN ANALOG9_AHB1EN
#define DIO123_GPIO ANALOG9_GPIO
#endif</v>
      </c>
      <c r="F122" s="9"/>
      <c r="G122" s="9"/>
      <c r="H122" s="12" t="str">
        <f t="shared" si="17"/>
        <v>#ifdef ANALOG9
#ifndef ANALOG9_CHANNEL
#define ANALOG9_CHANNEL -1
#endif
#define DIO123_CHANNEL ANALOG9_CHANNEL
#endif</v>
      </c>
      <c r="I122" s="4" t="str">
        <f t="shared" si="16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1"/>
        <v>#if (defined(ANALOG10_PORT) &amp;&amp; defined(ANALOG10_BIT))
#define ANALOG10 124
#define ANALOG10_AHB1EN (__rccgpioen__(ANALOG10_PORT))
#define ANALOG10_GPIO (__gpio__(ANALOG10_PORT))
#define DIO124 124
#define DIO124_PORT ANALOG10_PORT
#define DIO124_BIT ANALOG10_BIT
#define DIO124_AHB1EN ANALOG10_AHB1EN
#define DIO124_GPIO ANALOG10_GPIO
#endif</v>
      </c>
      <c r="F123" s="9"/>
      <c r="G123" s="9"/>
      <c r="H123" s="12" t="str">
        <f t="shared" si="17"/>
        <v>#ifdef ANALOG10
#ifndef ANALOG10_CHANNEL
#define ANALOG10_CHANNEL -1
#endif
#define DIO124_CHANNEL ANALOG10_CHANNEL
#endif</v>
      </c>
      <c r="I123" s="4" t="str">
        <f t="shared" si="16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1"/>
        <v>#if (defined(ANALOG11_PORT) &amp;&amp; defined(ANALOG11_BIT))
#define ANALOG11 125
#define ANALOG11_AHB1EN (__rccgpioen__(ANALOG11_PORT))
#define ANALOG11_GPIO (__gpio__(ANALOG11_PORT))
#define DIO125 125
#define DIO125_PORT ANALOG11_PORT
#define DIO125_BIT ANALOG11_BIT
#define DIO125_AHB1EN ANALOG11_AHB1EN
#define DIO125_GPIO ANALOG11_GPIO
#endif</v>
      </c>
      <c r="F124" s="9"/>
      <c r="G124" s="9"/>
      <c r="H124" s="12" t="str">
        <f t="shared" si="17"/>
        <v>#ifdef ANALOG11
#ifndef ANALOG11_CHANNEL
#define ANALOG11_CHANNEL -1
#endif
#define DIO125_CHANNEL ANALOG11_CHANNEL
#endif</v>
      </c>
      <c r="I124" s="4" t="str">
        <f t="shared" si="16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1"/>
        <v>#if (defined(ANALOG12_PORT) &amp;&amp; defined(ANALOG12_BIT))
#define ANALOG12 126
#define ANALOG12_AHB1EN (__rccgpioen__(ANALOG12_PORT))
#define ANALOG12_GPIO (__gpio__(ANALOG12_PORT))
#define DIO126 126
#define DIO126_PORT ANALOG12_PORT
#define DIO126_BIT ANALOG12_BIT
#define DIO126_AHB1EN ANALOG12_AHB1EN
#define DIO126_GPIO ANALOG12_GPIO
#endif</v>
      </c>
      <c r="F125" s="9"/>
      <c r="G125" s="9"/>
      <c r="H125" s="12" t="str">
        <f t="shared" si="17"/>
        <v>#ifdef ANALOG12
#ifndef ANALOG12_CHANNEL
#define ANALOG12_CHANNEL -1
#endif
#define DIO126_CHANNEL ANALOG12_CHANNEL
#endif</v>
      </c>
      <c r="I125" s="4" t="str">
        <f t="shared" si="16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1"/>
        <v>#if (defined(ANALOG13_PORT) &amp;&amp; defined(ANALOG13_BIT))
#define ANALOG13 127
#define ANALOG13_AHB1EN (__rccgpioen__(ANALOG13_PORT))
#define ANALOG13_GPIO (__gpio__(ANALOG13_PORT))
#define DIO127 127
#define DIO127_PORT ANALOG13_PORT
#define DIO127_BIT ANALOG13_BIT
#define DIO127_AHB1EN ANALOG13_AHB1EN
#define DIO127_GPIO ANALOG13_GPIO
#endif</v>
      </c>
      <c r="F126" s="9"/>
      <c r="G126" s="9"/>
      <c r="H126" s="12" t="str">
        <f t="shared" si="17"/>
        <v>#ifdef ANALOG13
#ifndef ANALOG13_CHANNEL
#define ANALOG13_CHANNEL -1
#endif
#define DIO127_CHANNEL ANALOG13_CHANNEL
#endif</v>
      </c>
      <c r="I126" s="4" t="str">
        <f t="shared" si="16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1"/>
        <v>#if (defined(ANALOG14_PORT) &amp;&amp; defined(ANALOG14_BIT))
#define ANALOG14 128
#define ANALOG14_AHB1EN (__rccgpioen__(ANALOG14_PORT))
#define ANALOG14_GPIO (__gpio__(ANALOG14_PORT))
#define DIO128 128
#define DIO128_PORT ANALOG14_PORT
#define DIO128_BIT ANALOG14_BIT
#define DIO128_AHB1EN ANALOG14_AHB1EN
#define DIO128_GPIO ANALOG14_GPIO
#endif</v>
      </c>
      <c r="F127" s="9"/>
      <c r="G127" s="9"/>
      <c r="H127" s="12" t="str">
        <f t="shared" si="17"/>
        <v>#ifdef ANALOG14
#ifndef ANALOG14_CHANNEL
#define ANALOG14_CHANNEL -1
#endif
#define DIO128_CHANNEL ANALOG14_CHANNEL
#endif</v>
      </c>
      <c r="I127" s="4" t="str">
        <f t="shared" si="16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1"/>
        <v>#if (defined(ANALOG15_PORT) &amp;&amp; defined(ANALOG15_BIT))
#define ANALOG15 129
#define ANALOG15_AHB1EN (__rccgpioen__(ANALOG15_PORT))
#define ANALOG15_GPIO (__gpio__(ANALOG15_PORT))
#define DIO129 129
#define DIO129_PORT ANALOG15_PORT
#define DIO129_BIT ANALOG15_BIT
#define DIO129_AHB1EN ANALOG15_AHB1EN
#define DIO129_GPIO ANALOG15_GPIO
#endif</v>
      </c>
      <c r="F128" s="9"/>
      <c r="G128" s="9"/>
      <c r="H128" s="12" t="str">
        <f t="shared" si="17"/>
        <v>#ifdef ANALOG15
#ifndef ANALOG15_CHANNEL
#define ANALOG15_CHANNEL -1
#endif
#define DIO129_CHANNEL ANALOG15_CHANNEL
#endif</v>
      </c>
      <c r="I128" s="4" t="str">
        <f t="shared" si="16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1"/>
        <v>#if (defined(DIN0_PORT) &amp;&amp; defined(DIN0_BIT))
#define DIN0 130
#define DIN0_AHB1EN (__rccgpioen__(DIN0_PORT))
#define DIN0_GPIO (__gpio__(DIN0_PORT))
#define DIO130 130
#define DIO130_PORT DIN0_PORT
#define DIO130_BIT DIN0_BIT
#define DIO130_AHB1EN DIN0_AHB1EN
#define DIO130_GPIO DIN0_GPIO
#endif</v>
      </c>
      <c r="F129" s="12" t="str">
        <f t="shared" ref="F129:F138" si="18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1"/>
        <v>#if (defined(DIN1_PORT) &amp;&amp; defined(DIN1_BIT))
#define DIN1 131
#define DIN1_AHB1EN (__rccgpioen__(DIN1_PORT))
#define DIN1_GPIO (__gpio__(DIN1_PORT))
#define DIO131 131
#define DIO131_PORT DIN1_PORT
#define DIO131_BIT DIN1_BIT
#define DIO131_AHB1EN DIN1_AHB1EN
#define DIO131_GPIO DIN1_GPIO
#endif</v>
      </c>
      <c r="F130" s="12" t="str">
        <f t="shared" si="18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9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1"/>
        <v>#if (defined(DIN2_PORT) &amp;&amp; defined(DIN2_BIT))
#define DIN2 132
#define DIN2_AHB1EN (__rccgpioen__(DIN2_PORT))
#define DIN2_GPIO (__gpio__(DIN2_PORT))
#define DIO132 132
#define DIO132_PORT DIN2_PORT
#define DIO132_BIT DIN2_BIT
#define DIO132_AHB1EN DIN2_AHB1EN
#define DIO132_GPIO DIN2_GPIO
#endif</v>
      </c>
      <c r="F131" s="12" t="str">
        <f t="shared" si="18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9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si="1"/>
        <v>#if (defined(DIN3_PORT) &amp;&amp; defined(DIN3_BIT))
#define DIN3 133
#define DIN3_AHB1EN (__rccgpioen__(DIN3_PORT))
#define DIN3_GPIO (__gpio__(DIN3_PORT))
#define DIO133 133
#define DIO133_PORT DIN3_PORT
#define DIO133_BIT DIN3_BIT
#define DIO133_AHB1EN DIN3_AHB1EN
#define DIO133_GPIO DIN3_GPIO
#endif</v>
      </c>
      <c r="F132" s="12" t="str">
        <f t="shared" si="18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9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"/>
        <v>#if (defined(DIN4_PORT) &amp;&amp; defined(DIN4_BIT))
#define DIN4 134
#define DIN4_AHB1EN (__rccgpioen__(DIN4_PORT))
#define DIN4_GPIO (__gpio__(DIN4_PORT))
#define DIO134 134
#define DIO134_PORT DIN4_PORT
#define DIO134_BIT DIN4_BIT
#define DIO134_AHB1EN DIN4_AHB1EN
#define DIO134_GPIO DIN4_GPIO
#endif</v>
      </c>
      <c r="F133" s="12" t="str">
        <f t="shared" si="18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9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"/>
        <v>#if (defined(DIN5_PORT) &amp;&amp; defined(DIN5_BIT))
#define DIN5 135
#define DIN5_AHB1EN (__rccgpioen__(DIN5_PORT))
#define DIN5_GPIO (__gpio__(DIN5_PORT))
#define DIO135 135
#define DIO135_PORT DIN5_PORT
#define DIO135_BIT DIN5_BIT
#define DIO135_AHB1EN DIN5_AHB1EN
#define DIO135_GPIO DIN5_GPIO
#endif</v>
      </c>
      <c r="F134" s="12" t="str">
        <f t="shared" si="18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9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"/>
        <v>#if (defined(DIN6_PORT) &amp;&amp; defined(DIN6_BIT))
#define DIN6 136
#define DIN6_AHB1EN (__rccgpioen__(DIN6_PORT))
#define DIN6_GPIO (__gpio__(DIN6_PORT))
#define DIO136 136
#define DIO136_PORT DIN6_PORT
#define DIO136_BIT DIN6_BIT
#define DIO136_AHB1EN DIN6_AHB1EN
#define DIO136_GPIO DIN6_GPIO
#endif</v>
      </c>
      <c r="F135" s="12" t="str">
        <f t="shared" si="18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9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"/>
        <v>#if (defined(DIN7_PORT) &amp;&amp; defined(DIN7_BIT))
#define DIN7 137
#define DIN7_AHB1EN (__rccgpioen__(DIN7_PORT))
#define DIN7_GPIO (__gpio__(DIN7_PORT))
#define DIO137 137
#define DIO137_PORT DIN7_PORT
#define DIO137_BIT DIN7_BIT
#define DIO137_AHB1EN DIN7_AHB1EN
#define DIO137_GPIO DIN7_GPIO
#endif</v>
      </c>
      <c r="F136" s="12" t="str">
        <f t="shared" si="18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9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"/>
        <v>#if (defined(DIN8_PORT) &amp;&amp; defined(DIN8_BIT))
#define DIN8 138
#define DIN8_AHB1EN (__rccgpioen__(DIN8_PORT))
#define DIN8_GPIO (__gpio__(DIN8_PORT))
#define DIO138 138
#define DIO138_PORT DIN8_PORT
#define DIO138_BIT DIN8_BIT
#define DIO138_AHB1EN DIN8_AHB1EN
#define DIO138_GPIO DIN8_GPIO
#endif</v>
      </c>
      <c r="F137" s="12" t="str">
        <f t="shared" si="18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9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"/>
        <v>#if (defined(DIN9_PORT) &amp;&amp; defined(DIN9_BIT))
#define DIN9 139
#define DIN9_AHB1EN (__rccgpioen__(DIN9_PORT))
#define DIN9_GPIO (__gpio__(DIN9_PORT))
#define DIO139 139
#define DIO139_PORT DIN9_PORT
#define DIO139_BIT DIN9_BIT
#define DIO139_AHB1EN DIN9_AHB1EN
#define DIO139_GPIO DIN9_GPIO
#endif</v>
      </c>
      <c r="F138" s="12" t="str">
        <f t="shared" si="18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9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"/>
        <v>#if (defined(DIN10_PORT) &amp;&amp; defined(DIN10_BIT))
#define DIN10 140
#define DIN10_AHB1EN (__rccgpioen__(DIN10_PORT))
#define DIN10_GPIO (__gpio__(DIN10_PORT))
#define DIO140 140
#define DIO140_PORT DIN10_PORT
#define DIO140_BIT DIN10_BIT
#define DIO140_AHB1EN DIN10_AHB1EN
#define DIO140_GPIO DIN10_GPIO
#endif</v>
      </c>
      <c r="F139" s="12"/>
      <c r="G139" s="9"/>
      <c r="H139" s="9"/>
      <c r="I139" s="4" t="str">
        <f t="shared" ref="I139:I160" si="20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"/>
        <v>#if (defined(DIN11_PORT) &amp;&amp; defined(DIN11_BIT))
#define DIN11 141
#define DIN11_AHB1EN (__rccgpioen__(DIN11_PORT))
#define DIN11_GPIO (__gpio__(DIN11_PORT))
#define DIO141 141
#define DIO141_PORT DIN11_PORT
#define DIO141_BIT DIN11_BIT
#define DIO141_AHB1EN DIN11_AHB1EN
#define DIO141_GPIO DIN11_GPIO
#endif</v>
      </c>
      <c r="F140" s="9"/>
      <c r="G140" s="9"/>
      <c r="H140" s="9"/>
      <c r="I140" s="4" t="str">
        <f t="shared" si="20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"/>
        <v>#if (defined(DIN12_PORT) &amp;&amp; defined(DIN12_BIT))
#define DIN12 142
#define DIN12_AHB1EN (__rccgpioen__(DIN12_PORT))
#define DIN12_GPIO (__gpio__(DIN12_PORT))
#define DIO142 142
#define DIO142_PORT DIN12_PORT
#define DIO142_BIT DIN12_BIT
#define DIO142_AHB1EN DIN12_AHB1EN
#define DIO142_GPIO DIN12_GPIO
#endif</v>
      </c>
      <c r="F141" s="9"/>
      <c r="G141" s="9"/>
      <c r="H141" s="9"/>
      <c r="I141" s="4" t="str">
        <f t="shared" si="20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"/>
        <v>#if (defined(DIN13_PORT) &amp;&amp; defined(DIN13_BIT))
#define DIN13 143
#define DIN13_AHB1EN (__rccgpioen__(DIN13_PORT))
#define DIN13_GPIO (__gpio__(DIN13_PORT))
#define DIO143 143
#define DIO143_PORT DIN13_PORT
#define DIO143_BIT DIN13_BIT
#define DIO143_AHB1EN DIN13_AHB1EN
#define DIO143_GPIO DIN13_GPIO
#endif</v>
      </c>
      <c r="F142" s="9"/>
      <c r="G142" s="9"/>
      <c r="H142" s="9"/>
      <c r="I142" s="4" t="str">
        <f t="shared" si="20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"/>
        <v>#if (defined(DIN14_PORT) &amp;&amp; defined(DIN14_BIT))
#define DIN14 144
#define DIN14_AHB1EN (__rccgpioen__(DIN14_PORT))
#define DIN14_GPIO (__gpio__(DIN14_PORT))
#define DIO144 144
#define DIO144_PORT DIN14_PORT
#define DIO144_BIT DIN14_BIT
#define DIO144_AHB1EN DIN14_AHB1EN
#define DIO144_GPIO DIN14_GPIO
#endif</v>
      </c>
      <c r="F143" s="9"/>
      <c r="G143" s="9"/>
      <c r="H143" s="9"/>
      <c r="I143" s="4" t="str">
        <f t="shared" si="20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"/>
        <v>#if (defined(DIN15_PORT) &amp;&amp; defined(DIN15_BIT))
#define DIN15 145
#define DIN15_AHB1EN (__rccgpioen__(DIN15_PORT))
#define DIN15_GPIO (__gpio__(DIN15_PORT))
#define DIO145 145
#define DIO145_PORT DIN15_PORT
#define DIO145_BIT DIN15_BIT
#define DIO145_AHB1EN DIN15_AHB1EN
#define DIO145_GPIO DIN15_GPIO
#endif</v>
      </c>
      <c r="F144" s="9"/>
      <c r="G144" s="9"/>
      <c r="H144" s="9"/>
      <c r="I144" s="4" t="str">
        <f t="shared" si="20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"/>
        <v>#if (defined(DIN16_PORT) &amp;&amp; defined(DIN16_BIT))
#define DIN16 146
#define DIN16_AHB1EN (__rccgpioen__(DIN16_PORT))
#define DIN16_GPIO (__gpio__(DIN16_PORT))
#define DIO146 146
#define DIO146_PORT DIN16_PORT
#define DIO146_BIT DIN16_BIT
#define DIO146_AHB1EN DIN16_AHB1EN
#define DIO146_GPIO DIN16_GPIO
#endif</v>
      </c>
      <c r="F145" s="9"/>
      <c r="G145" s="9"/>
      <c r="H145" s="9"/>
      <c r="I145" s="4" t="str">
        <f t="shared" si="20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"/>
        <v>#if (defined(DIN17_PORT) &amp;&amp; defined(DIN17_BIT))
#define DIN17 147
#define DIN17_AHB1EN (__rccgpioen__(DIN17_PORT))
#define DIN17_GPIO (__gpio__(DIN17_PORT))
#define DIO147 147
#define DIO147_PORT DIN17_PORT
#define DIO147_BIT DIN17_BIT
#define DIO147_AHB1EN DIN17_AHB1EN
#define DIO147_GPIO DIN17_GPIO
#endif</v>
      </c>
      <c r="F146" s="9"/>
      <c r="G146" s="9"/>
      <c r="H146" s="9"/>
      <c r="I146" s="4" t="str">
        <f t="shared" si="20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ref="E147:E180" si="21">"#if (defined("&amp;C147&amp;"_PORT) &amp;&amp; defined("&amp;C147&amp;"_BIT))
#define "&amp;C147&amp;" "&amp;A147&amp;"
#define "&amp;C147&amp;"_AHB1EN (__rccgpioen__("&amp;C147&amp;"_PORT))
#define "&amp;C147&amp;"_GPIO (__gpio__("&amp;C147&amp;"_PORT))
#define "&amp;B147&amp;" "&amp;A147&amp;"
#define "&amp;B147&amp;"_PORT "&amp;C147&amp;"_PORT
#define "&amp;B147&amp;"_BIT "&amp;C147&amp;"_BIT
#define "&amp;B147&amp;"_AHB1EN "&amp;C147&amp;"_AHB1EN
#define "&amp;B147&amp;"_GPIO "&amp;C147&amp;"_GPIO
#endif"</f>
        <v>#if (defined(DIN18_PORT) &amp;&amp; defined(DIN18_BIT))
#define DIN18 148
#define DIN18_AHB1EN (__rccgpioen__(DIN18_PORT))
#define DIN18_GPIO (__gpio__(DIN18_PORT))
#define DIO148 148
#define DIO148_PORT DIN18_PORT
#define DIO148_BIT DIN18_BIT
#define DIO148_AHB1EN DIN18_AHB1EN
#define DIO148_GPIO DIN18_GPIO
#endif</v>
      </c>
      <c r="F147" s="12"/>
      <c r="G147" s="9"/>
      <c r="H147" s="9"/>
      <c r="I147" s="4" t="str">
        <f t="shared" si="20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21"/>
        <v>#if (defined(DIN19_PORT) &amp;&amp; defined(DIN19_BIT))
#define DIN19 149
#define DIN19_AHB1EN (__rccgpioen__(DIN19_PORT))
#define DIN19_GPIO (__gpio__(DIN19_PORT))
#define DIO149 149
#define DIO149_PORT DIN19_PORT
#define DIO149_BIT DIN19_BIT
#define DIO149_AHB1EN DIN19_AHB1EN
#define DIO149_GPIO DIN19_GPIO
#endif</v>
      </c>
      <c r="F148" s="12"/>
      <c r="G148" s="9"/>
      <c r="H148" s="9"/>
      <c r="I148" s="4" t="str">
        <f t="shared" si="20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21"/>
        <v>#if (defined(DIN20_PORT) &amp;&amp; defined(DIN20_BIT))
#define DIN20 150
#define DIN20_AHB1EN (__rccgpioen__(DIN20_PORT))
#define DIN20_GPIO (__gpio__(DIN20_PORT))
#define DIO150 150
#define DIO150_PORT DIN20_PORT
#define DIO150_BIT DIN20_BIT
#define DIO150_AHB1EN DIN20_AHB1EN
#define DIO150_GPIO DIN20_GPIO
#endif</v>
      </c>
      <c r="F149" s="12"/>
      <c r="G149" s="9"/>
      <c r="H149" s="9"/>
      <c r="I149" s="4" t="str">
        <f t="shared" si="20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21"/>
        <v>#if (defined(DIN21_PORT) &amp;&amp; defined(DIN21_BIT))
#define DIN21 151
#define DIN21_AHB1EN (__rccgpioen__(DIN21_PORT))
#define DIN21_GPIO (__gpio__(DIN21_PORT))
#define DIO151 151
#define DIO151_PORT DIN21_PORT
#define DIO151_BIT DIN21_BIT
#define DIO151_AHB1EN DIN21_AHB1EN
#define DIO151_GPIO DIN21_GPIO
#endif</v>
      </c>
      <c r="F150" s="12"/>
      <c r="G150" s="9"/>
      <c r="H150" s="9"/>
      <c r="I150" s="4" t="str">
        <f t="shared" si="20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21"/>
        <v>#if (defined(DIN22_PORT) &amp;&amp; defined(DIN22_BIT))
#define DIN22 152
#define DIN22_AHB1EN (__rccgpioen__(DIN22_PORT))
#define DIN22_GPIO (__gpio__(DIN22_PORT))
#define DIO152 152
#define DIO152_PORT DIN22_PORT
#define DIO152_BIT DIN22_BIT
#define DIO152_AHB1EN DIN22_AHB1EN
#define DIO152_GPIO DIN22_GPIO
#endif</v>
      </c>
      <c r="F151" s="12"/>
      <c r="G151" s="9"/>
      <c r="H151" s="9"/>
      <c r="I151" s="4" t="str">
        <f t="shared" si="20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21"/>
        <v>#if (defined(DIN23_PORT) &amp;&amp; defined(DIN23_BIT))
#define DIN23 153
#define DIN23_AHB1EN (__rccgpioen__(DIN23_PORT))
#define DIN23_GPIO (__gpio__(DIN23_PORT))
#define DIO153 153
#define DIO153_PORT DIN23_PORT
#define DIO153_BIT DIN23_BIT
#define DIO153_AHB1EN DIN23_AHB1EN
#define DIO153_GPIO DIN23_GPIO
#endif</v>
      </c>
      <c r="F152" s="12"/>
      <c r="G152" s="9"/>
      <c r="H152" s="9"/>
      <c r="I152" s="4" t="str">
        <f t="shared" si="20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21"/>
        <v>#if (defined(DIN24_PORT) &amp;&amp; defined(DIN24_BIT))
#define DIN24 154
#define DIN24_AHB1EN (__rccgpioen__(DIN24_PORT))
#define DIN24_GPIO (__gpio__(DIN24_PORT))
#define DIO154 154
#define DIO154_PORT DIN24_PORT
#define DIO154_BIT DIN24_BIT
#define DIO154_AHB1EN DIN24_AHB1EN
#define DIO154_GPIO DIN24_GPIO
#endif</v>
      </c>
      <c r="F153" s="12"/>
      <c r="G153" s="9"/>
      <c r="H153" s="9"/>
      <c r="I153" s="4" t="str">
        <f t="shared" si="20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21"/>
        <v>#if (defined(DIN25_PORT) &amp;&amp; defined(DIN25_BIT))
#define DIN25 155
#define DIN25_AHB1EN (__rccgpioen__(DIN25_PORT))
#define DIN25_GPIO (__gpio__(DIN25_PORT))
#define DIO155 155
#define DIO155_PORT DIN25_PORT
#define DIO155_BIT DIN25_BIT
#define DIO155_AHB1EN DIN25_AHB1EN
#define DIO155_GPIO DIN25_GPIO
#endif</v>
      </c>
      <c r="F154" s="12"/>
      <c r="G154" s="9"/>
      <c r="H154" s="9"/>
      <c r="I154" s="4" t="str">
        <f t="shared" si="20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21"/>
        <v>#if (defined(DIN26_PORT) &amp;&amp; defined(DIN26_BIT))
#define DIN26 156
#define DIN26_AHB1EN (__rccgpioen__(DIN26_PORT))
#define DIN26_GPIO (__gpio__(DIN26_PORT))
#define DIO156 156
#define DIO156_PORT DIN26_PORT
#define DIO156_BIT DIN26_BIT
#define DIO156_AHB1EN DIN26_AHB1EN
#define DIO156_GPIO DIN26_GPIO
#endif</v>
      </c>
      <c r="F155" s="12"/>
      <c r="G155" s="9"/>
      <c r="H155" s="9"/>
      <c r="I155" s="4" t="str">
        <f t="shared" si="20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21"/>
        <v>#if (defined(DIN27_PORT) &amp;&amp; defined(DIN27_BIT))
#define DIN27 157
#define DIN27_AHB1EN (__rccgpioen__(DIN27_PORT))
#define DIN27_GPIO (__gpio__(DIN27_PORT))
#define DIO157 157
#define DIO157_PORT DIN27_PORT
#define DIO157_BIT DIN27_BIT
#define DIO157_AHB1EN DIN27_AHB1EN
#define DIO157_GPIO DIN27_GPIO
#endif</v>
      </c>
      <c r="F156" s="9"/>
      <c r="G156" s="9"/>
      <c r="H156" s="9"/>
      <c r="I156" s="4" t="str">
        <f t="shared" si="20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21"/>
        <v>#if (defined(DIN28_PORT) &amp;&amp; defined(DIN28_BIT))
#define DIN28 158
#define DIN28_AHB1EN (__rccgpioen__(DIN28_PORT))
#define DIN28_GPIO (__gpio__(DIN28_PORT))
#define DIO158 158
#define DIO158_PORT DIN28_PORT
#define DIO158_BIT DIN28_BIT
#define DIO158_AHB1EN DIN28_AHB1EN
#define DIO158_GPIO DIN28_GPIO
#endif</v>
      </c>
      <c r="F157" s="9"/>
      <c r="G157" s="9"/>
      <c r="H157" s="9"/>
      <c r="I157" s="4" t="str">
        <f t="shared" si="20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21"/>
        <v>#if (defined(DIN29_PORT) &amp;&amp; defined(DIN29_BIT))
#define DIN29 159
#define DIN29_AHB1EN (__rccgpioen__(DIN29_PORT))
#define DIN29_GPIO (__gpio__(DIN29_PORT))
#define DIO159 159
#define DIO159_PORT DIN29_PORT
#define DIO159_BIT DIN29_BIT
#define DIO159_AHB1EN DIN29_AHB1EN
#define DIO159_GPIO DIN29_GPIO
#endif</v>
      </c>
      <c r="F158" s="9"/>
      <c r="G158" s="9"/>
      <c r="H158" s="9"/>
      <c r="I158" s="4" t="str">
        <f t="shared" si="20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21"/>
        <v>#if (defined(DIN30_PORT) &amp;&amp; defined(DIN30_BIT))
#define DIN30 160
#define DIN30_AHB1EN (__rccgpioen__(DIN30_PORT))
#define DIN30_GPIO (__gpio__(DIN30_PORT))
#define DIO160 160
#define DIO160_PORT DIN30_PORT
#define DIO160_BIT DIN30_BIT
#define DIO160_AHB1EN DIN30_AHB1EN
#define DIO160_GPIO DIN30_GPIO
#endif</v>
      </c>
      <c r="F159" s="9"/>
      <c r="G159" s="9"/>
      <c r="H159" s="9"/>
      <c r="I159" s="4" t="str">
        <f t="shared" si="20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21"/>
        <v>#if (defined(DIN31_PORT) &amp;&amp; defined(DIN31_BIT))
#define DIN31 161
#define DIN31_AHB1EN (__rccgpioen__(DIN31_PORT))
#define DIN31_GPIO (__gpio__(DIN31_PORT))
#define DIO161 161
#define DIO161_PORT DIN31_PORT
#define DIO161_BIT DIN31_BIT
#define DIO161_AHB1EN DIN31_AHB1EN
#define DIO161_GPIO DIN31_GPIO
#endif</v>
      </c>
      <c r="F160" s="9"/>
      <c r="G160" s="9"/>
      <c r="H160" s="9"/>
      <c r="I160" s="4" t="str">
        <f t="shared" si="20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2">"DIO"&amp;A161</f>
        <v>DIO162</v>
      </c>
      <c r="C161" s="5" t="s">
        <v>545</v>
      </c>
      <c r="D161" s="4">
        <v>32</v>
      </c>
      <c r="E161" s="9" t="str">
        <f t="shared" ref="E161:E178" si="23">"#if (defined("&amp;C161&amp;"_PORT) &amp;&amp; defined("&amp;C161&amp;"_BIT))
#define "&amp;C161&amp;" "&amp;A161&amp;"
#define "&amp;C161&amp;"_AHB1EN (__rccgpioen__("&amp;C161&amp;"_PORT))
#define "&amp;C161&amp;"_GPIO (__gpio__("&amp;C161&amp;"_PORT))
#define "&amp;B161&amp;" "&amp;A161&amp;"
#define "&amp;B161&amp;"_PORT "&amp;C161&amp;"_PORT
#define "&amp;B161&amp;"_BIT "&amp;C161&amp;"_BIT
#define "&amp;B161&amp;"_AHB1EN "&amp;C161&amp;"_AHB1EN
#define "&amp;B161&amp;"_GPIO "&amp;C161&amp;"_GPIO
#endif"</f>
        <v>#if (defined(DIN32_PORT) &amp;&amp; defined(DIN32_BIT))
#define DIN32 162
#define DIN32_AHB1EN (__rccgpioen__(DIN32_PORT))
#define DIN32_GPIO (__gpio__(DIN32_PORT))
#define DIO162 162
#define DIO162_PORT DIN32_PORT
#define DIO162_BIT DIN32_BIT
#define DIO162_AHB1EN DIN32_AHB1EN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22"/>
        <v>DIO163</v>
      </c>
      <c r="C162" s="5" t="s">
        <v>546</v>
      </c>
      <c r="D162" s="4">
        <v>33</v>
      </c>
      <c r="E162" s="9" t="str">
        <f t="shared" si="23"/>
        <v>#if (defined(DIN33_PORT) &amp;&amp; defined(DIN33_BIT))
#define DIN33 163
#define DIN33_AHB1EN (__rccgpioen__(DIN33_PORT))
#define DIN33_GPIO (__gpio__(DIN33_PORT))
#define DIO163 163
#define DIO163_PORT DIN33_PORT
#define DIO163_BIT DIN33_BIT
#define DIO163_AHB1EN DIN33_AHB1EN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22"/>
        <v>DIO164</v>
      </c>
      <c r="C163" s="5" t="s">
        <v>547</v>
      </c>
      <c r="D163" s="4">
        <v>34</v>
      </c>
      <c r="E163" s="9" t="str">
        <f t="shared" si="23"/>
        <v>#if (defined(DIN34_PORT) &amp;&amp; defined(DIN34_BIT))
#define DIN34 164
#define DIN34_AHB1EN (__rccgpioen__(DIN34_PORT))
#define DIN34_GPIO (__gpio__(DIN34_PORT))
#define DIO164 164
#define DIO164_PORT DIN34_PORT
#define DIO164_BIT DIN34_BIT
#define DIO164_AHB1EN DIN34_AHB1EN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22"/>
        <v>DIO165</v>
      </c>
      <c r="C164" s="5" t="s">
        <v>548</v>
      </c>
      <c r="D164" s="4">
        <v>35</v>
      </c>
      <c r="E164" s="9" t="str">
        <f t="shared" si="23"/>
        <v>#if (defined(DIN35_PORT) &amp;&amp; defined(DIN35_BIT))
#define DIN35 165
#define DIN35_AHB1EN (__rccgpioen__(DIN35_PORT))
#define DIN35_GPIO (__gpio__(DIN35_PORT))
#define DIO165 165
#define DIO165_PORT DIN35_PORT
#define DIO165_BIT DIN35_BIT
#define DIO165_AHB1EN DIN35_AHB1EN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22"/>
        <v>DIO166</v>
      </c>
      <c r="C165" s="5" t="s">
        <v>549</v>
      </c>
      <c r="D165" s="4">
        <v>36</v>
      </c>
      <c r="E165" s="9" t="str">
        <f t="shared" si="23"/>
        <v>#if (defined(DIN36_PORT) &amp;&amp; defined(DIN36_BIT))
#define DIN36 166
#define DIN36_AHB1EN (__rccgpioen__(DIN36_PORT))
#define DIN36_GPIO (__gpio__(DIN36_PORT))
#define DIO166 166
#define DIO166_PORT DIN36_PORT
#define DIO166_BIT DIN36_BIT
#define DIO166_AHB1EN DIN36_AHB1EN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22"/>
        <v>DIO167</v>
      </c>
      <c r="C166" s="5" t="s">
        <v>550</v>
      </c>
      <c r="D166" s="4">
        <v>37</v>
      </c>
      <c r="E166" s="9" t="str">
        <f t="shared" si="23"/>
        <v>#if (defined(DIN37_PORT) &amp;&amp; defined(DIN37_BIT))
#define DIN37 167
#define DIN37_AHB1EN (__rccgpioen__(DIN37_PORT))
#define DIN37_GPIO (__gpio__(DIN37_PORT))
#define DIO167 167
#define DIO167_PORT DIN37_PORT
#define DIO167_BIT DIN37_BIT
#define DIO167_AHB1EN DIN37_AHB1EN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22"/>
        <v>DIO168</v>
      </c>
      <c r="C167" s="5" t="s">
        <v>551</v>
      </c>
      <c r="D167" s="4">
        <v>38</v>
      </c>
      <c r="E167" s="9" t="str">
        <f t="shared" si="23"/>
        <v>#if (defined(DIN38_PORT) &amp;&amp; defined(DIN38_BIT))
#define DIN38 168
#define DIN38_AHB1EN (__rccgpioen__(DIN38_PORT))
#define DIN38_GPIO (__gpio__(DIN38_PORT))
#define DIO168 168
#define DIO168_PORT DIN38_PORT
#define DIO168_BIT DIN38_BIT
#define DIO168_AHB1EN DIN38_AHB1EN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22"/>
        <v>DIO169</v>
      </c>
      <c r="C168" s="5" t="s">
        <v>552</v>
      </c>
      <c r="D168" s="4">
        <v>39</v>
      </c>
      <c r="E168" s="9" t="str">
        <f t="shared" si="23"/>
        <v>#if (defined(DIN39_PORT) &amp;&amp; defined(DIN39_BIT))
#define DIN39 169
#define DIN39_AHB1EN (__rccgpioen__(DIN39_PORT))
#define DIN39_GPIO (__gpio__(DIN39_PORT))
#define DIO169 169
#define DIO169_PORT DIN39_PORT
#define DIO169_BIT DIN39_BIT
#define DIO169_AHB1EN DIN39_AHB1EN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22"/>
        <v>DIO170</v>
      </c>
      <c r="C169" s="5" t="s">
        <v>553</v>
      </c>
      <c r="D169" s="4">
        <v>40</v>
      </c>
      <c r="E169" s="9" t="str">
        <f t="shared" si="23"/>
        <v>#if (defined(DIN40_PORT) &amp;&amp; defined(DIN40_BIT))
#define DIN40 170
#define DIN40_AHB1EN (__rccgpioen__(DIN40_PORT))
#define DIN40_GPIO (__gpio__(DIN40_PORT))
#define DIO170 170
#define DIO170_PORT DIN40_PORT
#define DIO170_BIT DIN40_BIT
#define DIO170_AHB1EN DIN40_AHB1EN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22"/>
        <v>DIO171</v>
      </c>
      <c r="C170" s="5" t="s">
        <v>554</v>
      </c>
      <c r="D170" s="4">
        <v>41</v>
      </c>
      <c r="E170" s="9" t="str">
        <f t="shared" si="23"/>
        <v>#if (defined(DIN41_PORT) &amp;&amp; defined(DIN41_BIT))
#define DIN41 171
#define DIN41_AHB1EN (__rccgpioen__(DIN41_PORT))
#define DIN41_GPIO (__gpio__(DIN41_PORT))
#define DIO171 171
#define DIO171_PORT DIN41_PORT
#define DIO171_BIT DIN41_BIT
#define DIO171_AHB1EN DIN41_AHB1EN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22"/>
        <v>DIO172</v>
      </c>
      <c r="C171" s="5" t="s">
        <v>555</v>
      </c>
      <c r="D171" s="4">
        <v>42</v>
      </c>
      <c r="E171" s="9" t="str">
        <f t="shared" si="23"/>
        <v>#if (defined(DIN42_PORT) &amp;&amp; defined(DIN42_BIT))
#define DIN42 172
#define DIN42_AHB1EN (__rccgpioen__(DIN42_PORT))
#define DIN42_GPIO (__gpio__(DIN42_PORT))
#define DIO172 172
#define DIO172_PORT DIN42_PORT
#define DIO172_BIT DIN42_BIT
#define DIO172_AHB1EN DIN42_AHB1EN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22"/>
        <v>DIO173</v>
      </c>
      <c r="C172" s="5" t="s">
        <v>556</v>
      </c>
      <c r="D172" s="4">
        <v>43</v>
      </c>
      <c r="E172" s="9" t="str">
        <f t="shared" si="23"/>
        <v>#if (defined(DIN43_PORT) &amp;&amp; defined(DIN43_BIT))
#define DIN43 173
#define DIN43_AHB1EN (__rccgpioen__(DIN43_PORT))
#define DIN43_GPIO (__gpio__(DIN43_PORT))
#define DIO173 173
#define DIO173_PORT DIN43_PORT
#define DIO173_BIT DIN43_BIT
#define DIO173_AHB1EN DIN43_AHB1EN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22"/>
        <v>DIO174</v>
      </c>
      <c r="C173" s="5" t="s">
        <v>557</v>
      </c>
      <c r="D173" s="4">
        <v>44</v>
      </c>
      <c r="E173" s="9" t="str">
        <f t="shared" si="23"/>
        <v>#if (defined(DIN44_PORT) &amp;&amp; defined(DIN44_BIT))
#define DIN44 174
#define DIN44_AHB1EN (__rccgpioen__(DIN44_PORT))
#define DIN44_GPIO (__gpio__(DIN44_PORT))
#define DIO174 174
#define DIO174_PORT DIN44_PORT
#define DIO174_BIT DIN44_BIT
#define DIO174_AHB1EN DIN44_AHB1EN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22"/>
        <v>DIO175</v>
      </c>
      <c r="C174" s="5" t="s">
        <v>558</v>
      </c>
      <c r="D174" s="4">
        <v>45</v>
      </c>
      <c r="E174" s="9" t="str">
        <f t="shared" si="23"/>
        <v>#if (defined(DIN45_PORT) &amp;&amp; defined(DIN45_BIT))
#define DIN45 175
#define DIN45_AHB1EN (__rccgpioen__(DIN45_PORT))
#define DIN45_GPIO (__gpio__(DIN45_PORT))
#define DIO175 175
#define DIO175_PORT DIN45_PORT
#define DIO175_BIT DIN45_BIT
#define DIO175_AHB1EN DIN45_AHB1EN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22"/>
        <v>DIO176</v>
      </c>
      <c r="C175" s="5" t="s">
        <v>559</v>
      </c>
      <c r="D175" s="4">
        <v>46</v>
      </c>
      <c r="E175" s="9" t="str">
        <f t="shared" si="23"/>
        <v>#if (defined(DIN46_PORT) &amp;&amp; defined(DIN46_BIT))
#define DIN46 176
#define DIN46_AHB1EN (__rccgpioen__(DIN46_PORT))
#define DIN46_GPIO (__gpio__(DIN46_PORT))
#define DIO176 176
#define DIO176_PORT DIN46_PORT
#define DIO176_BIT DIN46_BIT
#define DIO176_AHB1EN DIN46_AHB1EN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22"/>
        <v>DIO177</v>
      </c>
      <c r="C176" s="5" t="s">
        <v>560</v>
      </c>
      <c r="D176" s="4">
        <v>47</v>
      </c>
      <c r="E176" s="9" t="str">
        <f t="shared" si="23"/>
        <v>#if (defined(DIN47_PORT) &amp;&amp; defined(DIN47_BIT))
#define DIN47 177
#define DIN47_AHB1EN (__rccgpioen__(DIN47_PORT))
#define DIN47_GPIO (__gpio__(DIN47_PORT))
#define DIO177 177
#define DIO177_PORT DIN47_PORT
#define DIO177_BIT DIN47_BIT
#define DIO177_AHB1EN DIN47_AHB1EN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22"/>
        <v>DIO178</v>
      </c>
      <c r="C177" s="5" t="s">
        <v>561</v>
      </c>
      <c r="D177" s="4">
        <v>48</v>
      </c>
      <c r="E177" s="9" t="str">
        <f t="shared" si="23"/>
        <v>#if (defined(DIN48_PORT) &amp;&amp; defined(DIN48_BIT))
#define DIN48 178
#define DIN48_AHB1EN (__rccgpioen__(DIN48_PORT))
#define DIN48_GPIO (__gpio__(DIN48_PORT))
#define DIO178 178
#define DIO178_PORT DIN48_PORT
#define DIO178_BIT DIN48_BIT
#define DIO178_AHB1EN DIN48_AHB1EN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22"/>
        <v>DIO179</v>
      </c>
      <c r="C178" s="5" t="s">
        <v>562</v>
      </c>
      <c r="D178" s="4">
        <v>49</v>
      </c>
      <c r="E178" s="9" t="str">
        <f t="shared" si="23"/>
        <v>#if (defined(DIN49_PORT) &amp;&amp; defined(DIN49_BIT))
#define DIN49 179
#define DIN49_AHB1EN (__rccgpioen__(DIN49_PORT))
#define DIN49_GPIO (__gpio__(DIN49_PORT))
#define DIO179 179
#define DIO179_PORT DIN49_PORT
#define DIO179_BIT DIN49_BIT
#define DIO179_AHB1EN DIN49_AHB1EN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21"/>
        <v>#if (defined(TX_PORT) &amp;&amp; defined(TX_BIT))
#define TX 200
#define TX_AHB1EN (__rccgpioen__(TX_PORT))
#define TX_GPIO (__gpio__(TX_PORT))
#define DIO200 200
#define DIO200_PORT TX_PORT
#define DIO200_BIT TX_BIT
#define DIO200_AHB1EN TX_AHB1EN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21"/>
        <v>#if (defined(RX_PORT) &amp;&amp; defined(RX_BIT))
#define RX 201
#define RX_AHB1EN (__rccgpioen__(RX_PORT))
#define RX_GPIO (__gpio__(RX_PORT))
#define DIO201 201
#define DIO201_PORT RX_PORT
#define DIO201_BIT RX_BIT
#define DIO201_AHB1EN RX_AHB1EN
#define DIO201_GPIO RX_GPIO
#endif</v>
      </c>
      <c r="F180" s="9"/>
      <c r="G180" s="9"/>
      <c r="H180" s="9"/>
      <c r="I180" s="4" t="str">
        <f t="shared" ref="I180:I184" si="24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"/>
        <v>#if (defined(USB_DM_PORT) &amp;&amp; defined(USB_DM_BIT))
#define USB_DM 202
#define USB_DM_AHB1EN (__rccgpioen__(USB_DM_PORT))
#define USB_DM_GPIO (__gpio__(USB_DM_PORT))
#define DIO202 202
#define DIO202_PORT USB_DM_PORT
#define DIO202_BIT USB_DM_BIT
#define DIO202_AHB1EN USB_DM_AHB1EN
#define DIO202_GPIO USB_DM_GPIO
#endif</v>
      </c>
      <c r="F181" s="9"/>
      <c r="G181" s="9"/>
      <c r="H181" s="9"/>
      <c r="I181" s="4" t="str">
        <f t="shared" si="24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"/>
        <v>#if (defined(USB_DP_PORT) &amp;&amp; defined(USB_DP_BIT))
#define USB_DP 203
#define USB_DP_AHB1EN (__rccgpioen__(USB_DP_PORT))
#define USB_DP_GPIO (__gpio__(USB_DP_PORT))
#define DIO203 203
#define DIO203_PORT USB_DP_PORT
#define DIO203_BIT USB_DP_BIT
#define DIO203_AHB1EN USB_DP_AHB1EN
#define DIO203_GPIO USB_DP_GPIO
#endif</v>
      </c>
      <c r="F182" s="9"/>
      <c r="G182" s="9"/>
      <c r="H182" s="9"/>
      <c r="I182" s="4" t="str">
        <f t="shared" si="24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"/>
        <v>#if (defined(SPI_CLK_PORT) &amp;&amp; defined(SPI_CLK_BIT))
#define SPI_CLK 204
#define SPI_CLK_AHB1EN (__rccgpioen__(SPI_CLK_PORT))
#define SPI_CLK_GPIO (__gpio__(SPI_CLK_PORT))
#define DIO204 204
#define DIO204_PORT SPI_CLK_PORT
#define DIO204_BIT SPI_CLK_BIT
#define DIO204_AHB1EN SPI_CLK_AHB1EN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5">"DIO"&amp;A184</f>
        <v>DIO205</v>
      </c>
      <c r="C184" s="4" t="s">
        <v>224</v>
      </c>
      <c r="D184" s="4">
        <v>1</v>
      </c>
      <c r="E184" s="9" t="str">
        <f t="shared" si="1"/>
        <v>#if (defined(SPI_SDI_PORT) &amp;&amp; defined(SPI_SDI_BIT))
#define SPI_SDI 205
#define SPI_SDI_AHB1EN (__rccgpioen__(SPI_SDI_PORT))
#define SPI_SDI_GPIO (__gpio__(SPI_SDI_PORT))
#define DIO205 205
#define DIO205_PORT SPI_SDI_PORT
#define DIO205_BIT SPI_SDI_BIT
#define DIO205_AHB1EN SPI_SDI_AHB1EN
#define DIO205_GPIO SPI_SDI_GPIO
#endif</v>
      </c>
      <c r="F184" s="9"/>
      <c r="G184" s="9"/>
      <c r="H184" s="9"/>
      <c r="I184" s="4" t="str">
        <f t="shared" si="24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5"/>
        <v>DIO206</v>
      </c>
      <c r="C185" s="4" t="s">
        <v>225</v>
      </c>
      <c r="D185" s="5">
        <v>2</v>
      </c>
      <c r="E185" s="9" t="str">
        <f t="shared" ref="E185" si="26">"#if (defined("&amp;C185&amp;"_PORT) &amp;&amp; defined("&amp;C185&amp;"_BIT))
#define "&amp;C185&amp;" "&amp;A185&amp;"
#define "&amp;C185&amp;"_AHB1EN (__rccgpioen__("&amp;C185&amp;"_PORT))
#define "&amp;C185&amp;"_GPIO (__gpio__("&amp;C185&amp;"_PORT))
#define "&amp;B185&amp;" "&amp;A185&amp;"
#define "&amp;B185&amp;"_PORT "&amp;C185&amp;"_PORT
#define "&amp;B185&amp;"_BIT "&amp;C185&amp;"_BIT
#define "&amp;B185&amp;"_AHB1EN "&amp;C185&amp;"_AHB1EN
#define "&amp;B185&amp;"_GPIO "&amp;C185&amp;"_GPIO
#endif"</f>
        <v>#if (defined(SPI_SDO_PORT) &amp;&amp; defined(SPI_SDO_BIT))
#define SPI_SDO 206
#define SPI_SDO_AHB1EN (__rccgpioen__(SPI_SDO_PORT))
#define SPI_SDO_GPIO (__gpio__(SPI_SDO_PORT))
#define DIO206 206
#define DIO206_PORT SPI_SDO_PORT
#define DIO206_BIT SPI_SDO_BIT
#define DIO206_AHB1EN SPI_SDO_AHB1EN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5"/>
        <v>DIO207</v>
      </c>
      <c r="C186" s="4" t="s">
        <v>459</v>
      </c>
      <c r="D186" s="5">
        <v>3</v>
      </c>
      <c r="E186" s="9" t="str">
        <f t="shared" ref="E186:E193" si="27">"#if (defined("&amp;C186&amp;"_PORT) &amp;&amp; defined("&amp;C186&amp;"_BIT))
#define "&amp;C186&amp;" "&amp;A186&amp;"
#define "&amp;C186&amp;"_AHB1EN (__rccgpioen__("&amp;C186&amp;"_PORT))
#define "&amp;C186&amp;"_GPIO (__gpio__("&amp;C186&amp;"_PORT))
#define "&amp;B186&amp;" "&amp;A186&amp;"
#define "&amp;B186&amp;"_PORT "&amp;C186&amp;"_PORT
#define "&amp;B186&amp;"_BIT "&amp;C186&amp;"_BIT
#define "&amp;B186&amp;"_AHB1EN "&amp;C186&amp;"_AHB1EN
#define "&amp;B186&amp;"_GPIO "&amp;C186&amp;"_GPIO
#endif"</f>
        <v>#if (defined(SPI_CS_PORT) &amp;&amp; defined(SPI_CS_BIT))
#define SPI_CS 207
#define SPI_CS_AHB1EN (__rccgpioen__(SPI_CS_PORT))
#define SPI_CS_GPIO (__gpio__(SPI_CS_PORT))
#define DIO207 207
#define DIO207_PORT SPI_CS_PORT
#define DIO207_BIT SPI_CS_BIT
#define DIO207_AHB1EN SPI_CS_AHB1EN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5"/>
        <v>DIO208</v>
      </c>
      <c r="C187" s="4" t="s">
        <v>237</v>
      </c>
      <c r="D187" s="5">
        <v>4</v>
      </c>
      <c r="E187" s="9" t="str">
        <f t="shared" si="27"/>
        <v>#if (defined(I2C_SCL_PORT) &amp;&amp; defined(I2C_SCL_BIT))
#define I2C_SCL 208
#define I2C_SCL_AHB1EN (__rccgpioen__(I2C_SCL_PORT))
#define I2C_SCL_GPIO (__gpio__(I2C_SCL_PORT))
#define DIO208 208
#define DIO208_PORT I2C_SCL_PORT
#define DIO208_BIT I2C_SCL_BIT
#define DIO208_AHB1EN I2C_SCL_AHB1EN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5"/>
        <v>DIO209</v>
      </c>
      <c r="C188" s="4" t="s">
        <v>238</v>
      </c>
      <c r="D188" s="6"/>
      <c r="E188" s="9" t="str">
        <f t="shared" si="27"/>
        <v>#if (defined(I2C_SDA_PORT) &amp;&amp; defined(I2C_SDA_BIT))
#define I2C_SDA 209
#define I2C_SDA_AHB1EN (__rccgpioen__(I2C_SDA_PORT))
#define I2C_SDA_GPIO (__gpio__(I2C_SDA_PORT))
#define DIO209 209
#define DIO209_PORT I2C_SDA_PORT
#define DIO209_BIT I2C_SDA_BIT
#define DIO209_AHB1EN I2C_SDA_AHB1EN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5"/>
        <v>DIO210</v>
      </c>
      <c r="C189" s="4" t="s">
        <v>467</v>
      </c>
      <c r="D189" s="4">
        <v>0</v>
      </c>
      <c r="E189" s="9" t="str">
        <f t="shared" si="27"/>
        <v>#if (defined(TX2_PORT) &amp;&amp; defined(TX2_BIT))
#define TX2 210
#define TX2_AHB1EN (__rccgpioen__(TX2_PORT))
#define TX2_GPIO (__gpio__(TX2_PORT))
#define DIO210 210
#define DIO210_PORT TX2_PORT
#define DIO210_BIT TX2_BIT
#define DIO210_AHB1EN TX2_AHB1EN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5"/>
        <v>DIO211</v>
      </c>
      <c r="C190" s="4" t="s">
        <v>468</v>
      </c>
      <c r="D190" s="4">
        <v>1</v>
      </c>
      <c r="E190" s="9" t="str">
        <f t="shared" si="27"/>
        <v>#if (defined(RX2_PORT) &amp;&amp; defined(RX2_BIT))
#define RX2 211
#define RX2_AHB1EN (__rccgpioen__(RX2_PORT))
#define RX2_GPIO (__gpio__(RX2_PORT))
#define DIO211 211
#define DIO211_PORT RX2_PORT
#define DIO211_BIT RX2_BIT
#define DIO211_AHB1EN RX2_AHB1EN
#define DIO211_GPIO RX2_GPIO
#endif</v>
      </c>
      <c r="F190" s="9"/>
      <c r="G190" s="9"/>
      <c r="H190" s="9"/>
      <c r="I190" s="4" t="str">
        <f t="shared" ref="I190" si="28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27"/>
        <v>#if (defined(SPI2_CLK_PORT) &amp;&amp; defined(SPI2_CLK_BIT))
#define SPI2_CLK 212
#define SPI2_CLK_AHB1EN (__rccgpioen__(SPI2_CLK_PORT))
#define SPI2_CLK_GPIO (__gpio__(SPI2_CLK_PORT))
#define DIO212 212
#define DIO212_PORT SPI2_CLK_PORT
#define DIO212_BIT SPI2_CLK_BIT
#define DIO212_AHB1EN SPI2_CLK_AHB1EN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27"/>
        <v>#if (defined(SPI2_SDI_PORT) &amp;&amp; defined(SPI2_SDI_BIT))
#define SPI2_SDI 213
#define SPI2_SDI_AHB1EN (__rccgpioen__(SPI2_SDI_PORT))
#define SPI2_SDI_GPIO (__gpio__(SPI2_SDI_PORT))
#define DIO213 213
#define DIO213_PORT SPI2_SDI_PORT
#define DIO213_BIT SPI2_SDI_BIT
#define DIO213_AHB1EN SPI2_SDI_AHB1EN
#define DIO213_GPIO SPI2_SDI_GPIO
#endif</v>
      </c>
      <c r="F192" s="9"/>
      <c r="G192" s="9"/>
      <c r="H192" s="9"/>
      <c r="I192" s="4" t="str">
        <f t="shared" ref="I192" si="29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27"/>
        <v>#if (defined(SPI2_SDO_PORT) &amp;&amp; defined(SPI2_SDO_BIT))
#define SPI2_SDO 214
#define SPI2_SDO_AHB1EN (__rccgpioen__(SPI2_SDO_PORT))
#define SPI2_SDO_GPIO (__gpio__(SPI2_SDO_PORT))
#define DIO214 214
#define DIO214_PORT SPI2_SDO_PORT
#define DIO214_BIT SPI2_SDO_BIT
#define DIO214_AHB1EN SPI2_SDO_AHB1EN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ref="E194" si="30">"#if (defined("&amp;C194&amp;"_PORT) &amp;&amp; defined("&amp;C194&amp;"_BIT))
#define "&amp;C194&amp;" "&amp;A194&amp;"
#define "&amp;C194&amp;"_AHB1EN (__rccgpioen__("&amp;C194&amp;"_PORT))
#define "&amp;C194&amp;"_GPIO (__gpio__("&amp;C194&amp;"_PORT))
#define "&amp;B194&amp;" "&amp;A194&amp;"
#define "&amp;B194&amp;"_PORT "&amp;C194&amp;"_PORT
#define "&amp;B194&amp;"_BIT "&amp;C194&amp;"_BIT
#define "&amp;B194&amp;"_AHB1EN "&amp;C194&amp;"_AHB1EN
#define "&amp;B194&amp;"_GPIO "&amp;C194&amp;"_GPIO
#endif"</f>
        <v>#if (defined(SPI2_CS_PORT) &amp;&amp; defined(SPI2_CS_BIT))
#define SPI2_CS 215
#define SPI2_CS_AHB1EN (__rccgpioen__(SPI2_CS_PORT))
#define SPI2_CS_GPIO (__gpio__(SPI2_CS_PORT))
#define DIO215 215
#define DIO215_PORT SPI2_CS_PORT
#define DIO215_BIT SPI2_CS_BIT
#define DIO215_AHB1EN SPI2_CS_AHB1EN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honeticPr fontId="7" type="noConversion"/>
  <pageMargins left="0.7" right="0.7" top="0.75" bottom="0.75" header="0" footer="0"/>
  <pageSetup orientation="landscape" r:id="rId1"/>
  <customProperties>
    <customPr name="_pios_id" r:id="rId2"/>
  </customPropertie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0827A-6EB3-4EC2-9CA2-15BCDAA17338}">
  <dimension ref="A1:I1072"/>
  <sheetViews>
    <sheetView topLeftCell="A100" workbookViewId="0">
      <selection activeCell="H113" sqref="H113:H12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8" width="22.140625" customWidth="1"/>
    <col min="9" max="9" width="46.140625" customWidth="1"/>
    <col min="10" max="24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>"#if (defined("&amp;C3&amp;"_PORT) &amp;&amp; defined("&amp;C3&amp;"_BIT))
#define "&amp;C3&amp;" "&amp;A3&amp;"
#define "&amp;C3&amp;"_RCCEN (__rccgpioen__("&amp;C3&amp;"_PORT))
#define "&amp;C3&amp;"_GPIO (__gpio__("&amp;C3&amp;"_PORT))
#define "&amp;B3&amp;" "&amp;A3&amp;"
#define "&amp;B3&amp;"_PORT "&amp;C3&amp;"_PORT
#define "&amp;B3&amp;"_BIT "&amp;C3&amp;"_BIT
#define "&amp;B3&amp;"_RCCEN "&amp;C3&amp;"_RCCEN
#define "&amp;B3&amp;"_GPIO "&amp;C3&amp;"_GPIO
#endif"</f>
        <v>#if (defined(STEP0_PORT) &amp;&amp; defined(STEP0_BIT))
#define STEP0 1
#define STEP0_RCCEN (__rccgpioen__(STEP0_PORT))
#define STEP0_GPIO (__gpio__(STEP0_PORT))
#define DIO1 1
#define DIO1_PORT STEP0_PORT
#define DIO1_BIT STEP0_BIT
#define DIO1_RCCEN STEP0_RCCEN
#define DIO1_GPIO STEP0_GPIO
#endif</v>
      </c>
      <c r="F3" s="9"/>
      <c r="G3" s="9"/>
      <c r="H3" s="9"/>
      <c r="I3" s="4" t="str">
        <f t="shared" ref="I3:I26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 (defined("&amp;C4&amp;"_PORT) &amp;&amp; defined("&amp;C4&amp;"_BIT))
#define "&amp;C4&amp;" "&amp;A4&amp;"
#define "&amp;C4&amp;"_RCCEN (__rccgpioen__("&amp;C4&amp;"_PORT))
#define "&amp;C4&amp;"_GPIO (__gpio__("&amp;C4&amp;"_PORT))
#define "&amp;B4&amp;" "&amp;A4&amp;"
#define "&amp;B4&amp;"_PORT "&amp;C4&amp;"_PORT
#define "&amp;B4&amp;"_BIT "&amp;C4&amp;"_BIT
#define "&amp;B4&amp;"_RCCEN "&amp;C4&amp;"_RCCEN
#define "&amp;B4&amp;"_GPIO "&amp;C4&amp;"_GPIO
#endif"</f>
        <v>#if (defined(STEP1_PORT) &amp;&amp; defined(STEP1_BIT))
#define STEP1 2
#define STEP1_RCCEN (__rccgpioen__(STEP1_PORT))
#define STEP1_GPIO (__gpio__(STEP1_PORT))
#define DIO2 2
#define DIO2_PORT STEP1_PORT
#define DIO2_BIT STEP1_BIT
#define DIO2_RCCEN STEP1_RCCEN
#define DIO2_GPIO STEP1_GPIO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 (defined(STEP2_PORT) &amp;&amp; defined(STEP2_BIT))
#define STEP2 3
#define STEP2_RCCEN (__rccgpioen__(STEP2_PORT))
#define STEP2_GPIO (__gpio__(STEP2_PORT))
#define DIO3 3
#define DIO3_PORT STEP2_PORT
#define DIO3_BIT STEP2_BIT
#define DIO3_RCCEN STEP2_RCCEN
#define DIO3_GPIO STEP2_GPIO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 (defined(STEP3_PORT) &amp;&amp; defined(STEP3_BIT))
#define STEP3 4
#define STEP3_RCCEN (__rccgpioen__(STEP3_PORT))
#define STEP3_GPIO (__gpio__(STEP3_PORT))
#define DIO4 4
#define DIO4_PORT STEP3_PORT
#define DIO4_BIT STEP3_BIT
#define DIO4_RCCEN STEP3_RCCEN
#define DIO4_GPIO STEP3_GPIO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 (defined(STEP4_PORT) &amp;&amp; defined(STEP4_BIT))
#define STEP4 5
#define STEP4_RCCEN (__rccgpioen__(STEP4_PORT))
#define STEP4_GPIO (__gpio__(STEP4_PORT))
#define DIO5 5
#define DIO5_PORT STEP4_PORT
#define DIO5_BIT STEP4_BIT
#define DIO5_RCCEN STEP4_RCCEN
#define DIO5_GPIO STEP4_GPIO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 (defined(STEP5_PORT) &amp;&amp; defined(STEP5_BIT))
#define STEP5 6
#define STEP5_RCCEN (__rccgpioen__(STEP5_PORT))
#define STEP5_GPIO (__gpio__(STEP5_PORT))
#define DIO6 6
#define DIO6_PORT STEP5_PORT
#define DIO6_BIT STEP5_BIT
#define DIO6_RCCEN STEP5_RCCEN
#define DIO6_GPIO STEP5_GPIO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 (defined(STEP6_PORT) &amp;&amp; defined(STEP6_BIT))
#define STEP6 7
#define STEP6_RCCEN (__rccgpioen__(STEP6_PORT))
#define STEP6_GPIO (__gpio__(STEP6_PORT))
#define DIO7 7
#define DIO7_PORT STEP6_PORT
#define DIO7_BIT STEP6_BIT
#define DIO7_RCCEN STEP6_RCCEN
#define DIO7_GPIO STEP6_GPIO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 (defined(STEP7_PORT) &amp;&amp; defined(STEP7_BIT))
#define STEP7 8
#define STEP7_RCCEN (__rccgpioen__(STEP7_PORT))
#define STEP7_GPIO (__gpio__(STEP7_PORT))
#define DIO8 8
#define DIO8_PORT STEP7_PORT
#define DIO8_BIT STEP7_BIT
#define DIO8_RCCEN STEP7_RCCEN
#define DIO8_GPIO STEP7_GPIO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 (defined(DIR0_PORT) &amp;&amp; defined(DIR0_BIT))
#define DIR0 9
#define DIR0_RCCEN (__rccgpioen__(DIR0_PORT))
#define DIR0_GPIO (__gpio__(DIR0_PORT))
#define DIO9 9
#define DIO9_PORT DIR0_PORT
#define DIO9_BIT DIR0_BIT
#define DIO9_RCCEN DIR0_RCCEN
#define DIO9_GPIO DIR0_GPIO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 (defined(DIR1_PORT) &amp;&amp; defined(DIR1_BIT))
#define DIR1 10
#define DIR1_RCCEN (__rccgpioen__(DIR1_PORT))
#define DIR1_GPIO (__gpio__(DIR1_PORT))
#define DIO10 10
#define DIO10_PORT DIR1_PORT
#define DIO10_BIT DIR1_BIT
#define DIO10_RCCEN DIR1_RCCEN
#define DIO10_GPIO DIR1_GPIO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 (defined(DIR2_PORT) &amp;&amp; defined(DIR2_BIT))
#define DIR2 11
#define DIR2_RCCEN (__rccgpioen__(DIR2_PORT))
#define DIR2_GPIO (__gpio__(DIR2_PORT))
#define DIO11 11
#define DIO11_PORT DIR2_PORT
#define DIO11_BIT DIR2_BIT
#define DIO11_RCCEN DIR2_RCCEN
#define DIO11_GPIO DIR2_GPIO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 (defined(DIR3_PORT) &amp;&amp; defined(DIR3_BIT))
#define DIR3 12
#define DIR3_RCCEN (__rccgpioen__(DIR3_PORT))
#define DIR3_GPIO (__gpio__(DIR3_PORT))
#define DIO12 12
#define DIO12_PORT DIR3_PORT
#define DIO12_BIT DIR3_BIT
#define DIO12_RCCEN DIR3_RCCEN
#define DIO12_GPIO DIR3_GPIO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 (defined(DIR4_PORT) &amp;&amp; defined(DIR4_BIT))
#define DIR4 13
#define DIR4_RCCEN (__rccgpioen__(DIR4_PORT))
#define DIR4_GPIO (__gpio__(DIR4_PORT))
#define DIO13 13
#define DIO13_PORT DIR4_PORT
#define DIO13_BIT DIR4_BIT
#define DIO13_RCCEN DIR4_RCCEN
#define DIO13_GPIO DIR4_GPIO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 (defined(DIR5_PORT) &amp;&amp; defined(DIR5_BIT))
#define DIR5 14
#define DIR5_RCCEN (__rccgpioen__(DIR5_PORT))
#define DIR5_GPIO (__gpio__(DIR5_PORT))
#define DIO14 14
#define DIO14_PORT DIR5_PORT
#define DIO14_BIT DIR5_BIT
#define DIO14_RCCEN DIR5_RCCEN
#define DIO14_GPIO DIR5_GPIO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6</v>
      </c>
      <c r="E17" s="9" t="str">
        <f t="shared" si="2"/>
        <v>#if (defined(DIR6_PORT) &amp;&amp; defined(DIR6_BIT))
#define DIR6 15
#define DIR6_RCCEN (__rccgpioen__(DIR6_PORT))
#define DIR6_GPIO (__gpio__(DIR6_PORT))
#define DIO15 15
#define DIO15_PORT DIR6_PORT
#define DIO15_BIT DIR6_BIT
#define DIO15_RCCEN DIR6_RCCEN
#define DIO15_GPIO DIR6_GPIO
#endif</v>
      </c>
      <c r="F17" s="9"/>
      <c r="G17" s="9"/>
      <c r="H17" s="9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7</v>
      </c>
      <c r="E18" s="9" t="str">
        <f t="shared" si="2"/>
        <v>#if (defined(DIR7_PORT) &amp;&amp; defined(DIR7_BIT))
#define DIR7 16
#define DIR7_RCCEN (__rccgpioen__(DIR7_PORT))
#define DIR7_GPIO (__gpio__(DIR7_PORT))
#define DIO16 16
#define DIO16_PORT DIR7_PORT
#define DIO16_BIT DIR7_BIT
#define DIO16_RCCEN DIR7_RCCEN
#define DIO16_GPIO DIR7_GPIO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0</v>
      </c>
      <c r="E19" s="9" t="str">
        <f t="shared" si="2"/>
        <v>#if (defined(STEP0_EN_PORT) &amp;&amp; defined(STEP0_EN_BIT))
#define STEP0_EN 17
#define STEP0_EN_RCCEN (__rccgpioen__(STEP0_EN_PORT))
#define STEP0_EN_GPIO (__gpio__(STEP0_EN_PORT))
#define DIO17 17
#define DIO17_PORT STEP0_EN_PORT
#define DIO17_BIT STEP0_EN_BIT
#define DIO17_RCCEN STEP0_EN_RCCEN
#define DIO17_GPIO STEP0_EN_GPIO
#endif</v>
      </c>
      <c r="F19" s="9"/>
      <c r="G19" s="9"/>
      <c r="H19" s="10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1</v>
      </c>
      <c r="E20" s="9" t="str">
        <f t="shared" si="2"/>
        <v>#if (defined(STEP1_EN_PORT) &amp;&amp; defined(STEP1_EN_BIT))
#define STEP1_EN 18
#define STEP1_EN_RCCEN (__rccgpioen__(STEP1_EN_PORT))
#define STEP1_EN_GPIO (__gpio__(STEP1_EN_PORT))
#define DIO18 18
#define DIO18_PORT STEP1_EN_PORT
#define DIO18_BIT STEP1_EN_BIT
#define DIO18_RCCEN STEP1_EN_RCCEN
#define DIO18_GPIO STEP1_EN_GPIO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2</v>
      </c>
      <c r="E21" s="9" t="str">
        <f t="shared" si="2"/>
        <v>#if (defined(STEP2_EN_PORT) &amp;&amp; defined(STEP2_EN_BIT))
#define STEP2_EN 19
#define STEP2_EN_RCCEN (__rccgpioen__(STEP2_EN_PORT))
#define STEP2_EN_GPIO (__gpio__(STEP2_EN_PORT))
#define DIO19 19
#define DIO19_PORT STEP2_EN_PORT
#define DIO19_BIT STEP2_EN_BIT
#define DIO19_RCCEN STEP2_EN_RCCEN
#define DIO19_GPIO STEP2_EN_GPIO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3</v>
      </c>
      <c r="E22" s="9" t="str">
        <f t="shared" si="2"/>
        <v>#if (defined(STEP3_EN_PORT) &amp;&amp; defined(STEP3_EN_BIT))
#define STEP3_EN 20
#define STEP3_EN_RCCEN (__rccgpioen__(STEP3_EN_PORT))
#define STEP3_EN_GPIO (__gpio__(STEP3_EN_PORT))
#define DIO20 20
#define DIO20_PORT STEP3_EN_PORT
#define DIO20_BIT STEP3_EN_BIT
#define DIO20_RCCEN STEP3_EN_RCCEN
#define DIO20_GPIO STEP3_EN_GPIO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4</v>
      </c>
      <c r="E23" s="9" t="str">
        <f t="shared" si="2"/>
        <v>#if (defined(STEP4_EN_PORT) &amp;&amp; defined(STEP4_EN_BIT))
#define STEP4_EN 21
#define STEP4_EN_RCCEN (__rccgpioen__(STEP4_EN_PORT))
#define STEP4_EN_GPIO (__gpio__(STEP4_EN_PORT))
#define DIO21 21
#define DIO21_PORT STEP4_EN_PORT
#define DIO21_BIT STEP4_EN_BIT
#define DIO21_RCCEN STEP4_EN_RCCEN
#define DIO21_GPIO STEP4_EN_GPIO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5</v>
      </c>
      <c r="E24" s="9" t="str">
        <f t="shared" si="2"/>
        <v>#if (defined(STEP5_EN_PORT) &amp;&amp; defined(STEP5_EN_BIT))
#define STEP5_EN 22
#define STEP5_EN_RCCEN (__rccgpioen__(STEP5_EN_PORT))
#define STEP5_EN_GPIO (__gpio__(STEP5_EN_PORT))
#define DIO22 22
#define DIO22_PORT STEP5_EN_PORT
#define DIO22_BIT STEP5_EN_BIT
#define DIO22_RCCEN STEP5_EN_RCCEN
#define DIO22_GPIO STEP5_EN_GPIO
#endif</v>
      </c>
      <c r="F24" s="9"/>
      <c r="G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6</v>
      </c>
      <c r="E25" s="9" t="str">
        <f t="shared" si="2"/>
        <v>#if (defined(STEP6_EN_PORT) &amp;&amp; defined(STEP6_EN_BIT))
#define STEP6_EN 23
#define STEP6_EN_RCCEN (__rccgpioen__(STEP6_EN_PORT))
#define STEP6_EN_GPIO (__gpio__(STEP6_EN_PORT))
#define DIO23 23
#define DIO23_PORT STEP6_EN_PORT
#define DIO23_BIT STEP6_EN_BIT
#define DIO23_RCCEN STEP6_EN_RCCEN
#define DIO23_GPIO STEP6_EN_GPIO
#endif</v>
      </c>
      <c r="F25" s="9"/>
      <c r="G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7</v>
      </c>
      <c r="E26" s="9" t="str">
        <f t="shared" si="2"/>
        <v>#if (defined(STEP7_EN_PORT) &amp;&amp; defined(STEP7_EN_BIT))
#define STEP7_EN 24
#define STEP7_EN_RCCEN (__rccgpioen__(STEP7_EN_PORT))
#define STEP7_EN_GPIO (__gpio__(STEP7_EN_PORT))
#define DIO24 24
#define DIO24_PORT STEP7_EN_PORT
#define DIO24_BIT STEP7_EN_BIT
#define DIO24_RCCEN STEP7_EN_RCCEN
#define DIO24_GPIO STEP7_EN_GPIO
#endif</v>
      </c>
      <c r="F26" s="9"/>
      <c r="G26" s="9"/>
      <c r="H26" s="11" t="s">
        <v>125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0</v>
      </c>
      <c r="E27" s="9" t="str">
        <f t="shared" si="2"/>
        <v>#if (defined(PWM0_PORT) &amp;&amp; defined(PWM0_BIT))
#define PWM0 25
#define PWM0_RCCEN (__rccgpioen__(PWM0_PORT))
#define PWM0_GPIO (__gpio__(PWM0_PORT))
#define DIO25 25
#define DIO25_PORT PWM0_PORT
#define DIO25_BIT PWM0_BIT
#define DIO25_RCCEN PWM0_RCCEN
#define DIO25_GPIO PWM0_GPIO
#endif</v>
      </c>
      <c r="F27" s="9"/>
      <c r="G27" s="9"/>
      <c r="H27" s="9" t="str">
        <f>"#if (defined("&amp;C27&amp;"_CHANNEL) &amp;&amp; defined("&amp;C27&amp;"_TIMER) &amp;&amp; defined("&amp;C27&amp;"))
#if ("&amp;C27&amp;"_TIMER==1 || ("&amp;C27&amp;"_TIMER&gt;=8 &amp; "&amp;C27&amp;"_TIMER&lt;=11) || ("&amp;C27&amp;"_TIMER &gt;= 15 &amp; "&amp;C27&amp;"_TIMER &lt;= 17))
#define "&amp;C27&amp;"_ENREG RCC-&gt;APB2ENR
#define "&amp;C27&amp;"_APBEN __helper__(RCC_APB2ENR_TIM,"&amp;C27&amp;"_TIMER, EN)
#define "&amp;C27&amp;"_CLOCK HAL_RCC_GetPCLK2Freq()
#else
#define "&amp;C27&amp;"_ENREG RCC-&gt;APB1LENR
#define "&amp;C27&amp;"_APBEN __helper__(RCC_APB1LENR_TIM,"&amp;C27&amp;"_TIMER, EN)
#define "&amp;C27&amp;"_CLOCK HAL_RCC_GetPCLK1Freq()
#endif
#define "&amp;C27&amp;"_TIMREG (__tim__("&amp;C27&amp;"_TIMER))
#ifndef "&amp;C27&amp;"_FREQ
#define "&amp;C27&amp;"_FREQ 1000
#endif
#if ("&amp;C27&amp;"_CHANNEL &amp; 0x01)
#define "&amp;C27&amp;"_MODE 0x0064
#else
#define "&amp;C27&amp;"_MODE 0x6400
#endif
#if ("&amp;C27&amp;"_CHANNEL &gt; 2)
#define "&amp;C27&amp;"_CCMREG CCMR2
#else
#define "&amp;C27&amp;"_CCMREG CCMR1
#endif
#if ("&amp;C27&amp;"_TIMER==1)
#define "&amp;C27&amp;"_ENOUTPUT {TIM1-&gt;BDTR |= (1 &lt;&lt; 15);}
#elif ("&amp;C27&amp;"_TIMER==8)
#define "&amp;C27&amp;"_ENOUTPUT {TIM8-&gt;BDTR |= (1 &lt;&lt; 15);}
#else
#define "&amp;C27&amp;"_ENOUTPUT {}
#endif
#if ("&amp;C27&amp;"_TIMER==1) || ("&amp;C27&amp;"_TIMER==2) || ("&amp;C27&amp;"_TIMER==16)
#define "&amp;C27&amp;"_AF 0x01
#elif ("&amp;C27&amp;"_TIMER==3) || ("&amp;C27&amp;"_TIMER==4) || ("&amp;C27&amp;"_TIMER==5) || ("&amp;C27&amp;"_TIMER==12)
#define "&amp;C27&amp;"_AF 0x02
#elif ("&amp;C27&amp;"_TIMER==8)
#define "&amp;C27&amp;"_AF 0x03
#elif ("&amp;C27&amp;"_TIMER==15)
#define "&amp;C27&amp;"_AF 0x04
#elif ("&amp;C27&amp;"_TIMER==13) || ("&amp;C27&amp;"_TIMER==14)
#define "&amp;C27&amp;"_AF 0x09
#else
#error 'Invalid PWM timer'
#endif
#define "&amp;C27&amp;"_CCR __ccr__("&amp;C27&amp;"_CHANNEL)
#define "&amp;B27&amp;"_TIMER "&amp;C27&amp;"_TIMER
#define "&amp;B27&amp;"_CHANNEL "&amp;C27&amp;"_CHANNEL
#define "&amp;B27&amp;"_ENREG "&amp;C27&amp;"_ENREG
#define "&amp;B27&amp;"_APBEN "&amp;C27&amp;"_APBEN
#define "&amp;B27&amp;"_TIMREG "&amp;C27&amp;"_TIMREG
#define "&amp;B27&amp;"_APBEN "&amp;C27&amp;"_APBEN
#define "&amp;B27&amp;"_FREQ "&amp;C27&amp;"_FREQ
#define "&amp;B27&amp;"_MODE "&amp;C27&amp;"_MODE
#define "&amp;B27&amp;"_CCMREG "&amp;C27&amp;"_CCMREG
#define "&amp;B27&amp;"_CCR "&amp;C27&amp;"_CCR
#define "&amp;B27&amp;"_ENOUTPUT "&amp;C27&amp;"_ENOUTPUT
#define "&amp;B27&amp;"_AF "&amp;C27&amp;"_AF
#define "&amp;B27&amp;"_CLOCK "&amp;C27&amp;"_CLOCK
#endif"</f>
        <v>#if (defined(PWM0_CHANNEL) &amp;&amp; defined(PWM0_TIMER) &amp;&amp; defined(PWM0))
#if (PWM0_TIMER==1 || (PWM0_TIMER&gt;=8 &amp; PWM0_TIMER&lt;=11) || (PWM0_TIMER &gt;= 15 &amp; PWM0_TIMER &lt;= 17))
#define PWM0_ENREG RCC-&gt;APB2ENR
#define PWM0_APBEN __helper__(RCC_APB2ENR_TIM,PWM0_TIMER, EN)
#define PWM0_CLOCK HAL_RCC_GetPCLK2Freq()
#else
#define PWM0_ENREG RCC-&gt;APB1LENR
#define PWM0_APBEN __helper__(RCC_APB1LENR_TIM,PWM0_TIMER, EN)
#define PWM0_CLOCK HAL_RCC_GetPCLK1Freq()
#endif
#define PWM0_TIMREG (__tim__(PWM0_TIMER))
#ifndef PWM0_FREQ
#define PWM0_FREQ 1000
#endif
#if (PWM0_CHANNEL &amp; 0x01)
#define PWM0_MODE 0x0064
#else
#define PWM0_MODE 0x6400
#endif
#if (PWM0_CHANNEL &gt; 2)
#define PWM0_CCMREG CCMR2
#else
#define PWM0_CCMREG CCMR1
#endif
#if (PWM0_TIMER==1)
#define PWM0_ENOUTPUT {TIM1-&gt;BDTR |= (1 &lt;&lt; 15);}
#elif (PWM0_TIMER==8)
#define PWM0_ENOUTPUT {TIM8-&gt;BDTR |= (1 &lt;&lt; 15);}
#else
#define PWM0_ENOUTPUT {}
#endif
#if (PWM0_TIMER==1) || (PWM0_TIMER==2) || (PWM0_TIMER==16)
#define PWM0_AF 0x01
#elif (PWM0_TIMER==3) || (PWM0_TIMER==4) || (PWM0_TIMER==5) || (PWM0_TIMER==12)
#define PWM0_AF 0x02
#elif (PWM0_TIMER==8)
#define PWM0_AF 0x03
#elif (PWM0_TIMER==15)
#define PWM0_AF 0x04
#elif (PWM0_TIMER==13) || (PWM0_TIMER==14)
#define PWM0_AF 0x09
#else
#error 'Invalid PWM timer'
#endif
#define PWM0_CCR __ccr__(PWM0_CHANNEL)
#define DIO25_TIMER PWM0_TIMER
#define DIO25_CHANNEL PWM0_CHANNEL
#define DIO25_ENREG PWM0_ENREG
#define DIO25_APBEN PWM0_APBEN
#define DIO25_TIMREG PWM0_TIMREG
#define DIO25_APBEN PWM0_APBEN
#define DIO25_FREQ PWM0_FREQ
#define DIO25_MODE PWM0_MODE
#define DIO25_CCMREG PWM0_CCMREG
#define DIO25_CCR PWM0_CCR
#define DIO25_ENOUTPUT PWM0_ENOUTPUT
#define DIO25_AF PWM0_AF
#define DIO25_CLOCK PWM0_CLOCK
#endif</v>
      </c>
      <c r="I27" s="4" t="str">
        <f t="shared" ref="I27:I42" si="3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1</v>
      </c>
      <c r="E28" s="9" t="str">
        <f t="shared" si="2"/>
        <v>#if (defined(PWM1_PORT) &amp;&amp; defined(PWM1_BIT))
#define PWM1 26
#define PWM1_RCCEN (__rccgpioen__(PWM1_PORT))
#define PWM1_GPIO (__gpio__(PWM1_PORT))
#define DIO26 26
#define DIO26_PORT PWM1_PORT
#define DIO26_BIT PWM1_BIT
#define DIO26_RCCEN PWM1_RCCEN
#define DIO26_GPIO PWM1_GPIO
#endif</v>
      </c>
      <c r="F28" s="9"/>
      <c r="G28" s="9"/>
      <c r="H28" s="9" t="str">
        <f t="shared" ref="H28:H42" si="4">"#if (defined("&amp;C28&amp;"_CHANNEL) &amp;&amp; defined("&amp;C28&amp;"_TIMER) &amp;&amp; defined("&amp;C28&amp;"))
#if ("&amp;C28&amp;"_TIMER==1 || ("&amp;C28&amp;"_TIMER&gt;=8 &amp; "&amp;C28&amp;"_TIMER&lt;=11) || ("&amp;C28&amp;"_TIMER &gt;= 15 &amp; "&amp;C28&amp;"_TIMER &lt;= 17))
#define "&amp;C28&amp;"_ENREG RCC-&gt;APB2ENR
#define "&amp;C28&amp;"_APBEN __helper__(RCC_APB2ENR_TIM,"&amp;C28&amp;"_TIMER, EN)
#define "&amp;C28&amp;"_CLOCK HAL_RCC_GetPCLK2Freq()
#else
#define "&amp;C28&amp;"_ENREG RCC-&gt;APB1LENR
#define "&amp;C28&amp;"_APBEN __helper__(RCC_APB1LENR_TIM,"&amp;C28&amp;"_TIMER, EN)
#define "&amp;C28&amp;"_CLOCK HAL_RCC_GetPCLK1Freq()
#endif
#define "&amp;C28&amp;"_TIMREG (__tim__("&amp;C28&amp;"_TIMER))
#ifndef "&amp;C28&amp;"_FREQ
#define "&amp;C28&amp;"_FREQ 1000
#endif
#if ("&amp;C28&amp;"_CHANNEL &amp; 0x01)
#define "&amp;C28&amp;"_MODE 0x0064
#else
#define "&amp;C28&amp;"_MODE 0x6400
#endif
#if ("&amp;C28&amp;"_CHANNEL &gt; 2)
#define "&amp;C28&amp;"_CCMREG CCMR2
#else
#define "&amp;C28&amp;"_CCMREG CCMR1
#endif
#if ("&amp;C28&amp;"_TIMER==1)
#define "&amp;C28&amp;"_ENOUTPUT {TIM1-&gt;BDTR |= (1 &lt;&lt; 15);}
#elif ("&amp;C28&amp;"_TIMER==8)
#define "&amp;C28&amp;"_ENOUTPUT {TIM8-&gt;BDTR |= (1 &lt;&lt; 15);}
#else
#define "&amp;C28&amp;"_ENOUTPUT {}
#endif
#if ("&amp;C28&amp;"_TIMER==1) || ("&amp;C28&amp;"_TIMER==2) || ("&amp;C28&amp;"_TIMER==16)
#define "&amp;C28&amp;"_AF 0x01
#elif ("&amp;C28&amp;"_TIMER==3) || ("&amp;C28&amp;"_TIMER==4) || ("&amp;C28&amp;"_TIMER==5) || ("&amp;C28&amp;"_TIMER==12)
#define "&amp;C28&amp;"_AF 0x02
#elif ("&amp;C28&amp;"_TIMER==8)
#define "&amp;C28&amp;"_AF 0x03
#elif ("&amp;C28&amp;"_TIMER==15)
#define "&amp;C28&amp;"_AF 0x04
#elif ("&amp;C28&amp;"_TIMER==13) || ("&amp;C28&amp;"_TIMER==14)
#define "&amp;C28&amp;"_AF 0x09
#else
#error 'Invalid PWM timer'
#endif
#define "&amp;C28&amp;"_CCR __ccr__("&amp;C28&amp;"_CHANNEL)
#define "&amp;B28&amp;"_TIMER "&amp;C28&amp;"_TIMER
#define "&amp;B28&amp;"_CHANNEL "&amp;C28&amp;"_CHANNEL
#define "&amp;B28&amp;"_ENREG "&amp;C28&amp;"_ENREG
#define "&amp;B28&amp;"_APBEN "&amp;C28&amp;"_APBEN
#define "&amp;B28&amp;"_TIMREG "&amp;C28&amp;"_TIMREG
#define "&amp;B28&amp;"_APBEN "&amp;C28&amp;"_APBEN
#define "&amp;B28&amp;"_FREQ "&amp;C28&amp;"_FREQ
#define "&amp;B28&amp;"_MODE "&amp;C28&amp;"_MODE
#define "&amp;B28&amp;"_CCMREG "&amp;C28&amp;"_CCMREG
#define "&amp;B28&amp;"_CCR "&amp;C28&amp;"_CCR
#define "&amp;B28&amp;"_ENOUTPUT "&amp;C28&amp;"_ENOUTPUT
#define "&amp;B28&amp;"_AF "&amp;C28&amp;"_AF
#define "&amp;B28&amp;"_CLOCK "&amp;C28&amp;"_CLOCK
#endif"</f>
        <v>#if (defined(PWM1_CHANNEL) &amp;&amp; defined(PWM1_TIMER) &amp;&amp; defined(PWM1))
#if (PWM1_TIMER==1 || (PWM1_TIMER&gt;=8 &amp; PWM1_TIMER&lt;=11) || (PWM1_TIMER &gt;= 15 &amp; PWM1_TIMER &lt;= 17))
#define PWM1_ENREG RCC-&gt;APB2ENR
#define PWM1_APBEN __helper__(RCC_APB2ENR_TIM,PWM1_TIMER, EN)
#define PWM1_CLOCK HAL_RCC_GetPCLK2Freq()
#else
#define PWM1_ENREG RCC-&gt;APB1LENR
#define PWM1_APBEN __helper__(RCC_APB1LENR_TIM,PWM1_TIMER, EN)
#define PWM1_CLOCK HAL_RCC_GetPCLK1Freq()
#endif
#define PWM1_TIMREG (__tim__(PWM1_TIMER))
#ifndef PWM1_FREQ
#define PWM1_FREQ 1000
#endif
#if (PWM1_CHANNEL &amp; 0x01)
#define PWM1_MODE 0x0064
#else
#define PWM1_MODE 0x6400
#endif
#if (PWM1_CHANNEL &gt; 2)
#define PWM1_CCMREG CCMR2
#else
#define PWM1_CCMREG CCMR1
#endif
#if (PWM1_TIMER==1)
#define PWM1_ENOUTPUT {TIM1-&gt;BDTR |= (1 &lt;&lt; 15);}
#elif (PWM1_TIMER==8)
#define PWM1_ENOUTPUT {TIM8-&gt;BDTR |= (1 &lt;&lt; 15);}
#else
#define PWM1_ENOUTPUT {}
#endif
#if (PWM1_TIMER==1) || (PWM1_TIMER==2) || (PWM1_TIMER==16)
#define PWM1_AF 0x01
#elif (PWM1_TIMER==3) || (PWM1_TIMER==4) || (PWM1_TIMER==5) || (PWM1_TIMER==12)
#define PWM1_AF 0x02
#elif (PWM1_TIMER==8)
#define PWM1_AF 0x03
#elif (PWM1_TIMER==15)
#define PWM1_AF 0x04
#elif (PWM1_TIMER==13) || (PWM1_TIMER==14)
#define PWM1_AF 0x09
#else
#error 'Invalid PWM timer'
#endif
#define PWM1_CCR __ccr__(PWM1_CHANNEL)
#define DIO26_TIMER PWM1_TIMER
#define DIO26_CHANNEL PWM1_CHANNEL
#define DIO26_ENREG PWM1_ENREG
#define DIO26_APBEN PWM1_APBEN
#define DIO26_TIMREG PWM1_TIMREG
#define DIO26_APBEN PWM1_APBEN
#define DIO26_FREQ PWM1_FREQ
#define DIO26_MODE PWM1_MODE
#define DIO26_CCMREG PWM1_CCMREG
#define DIO26_CCR PWM1_CCR
#define DIO26_ENOUTPUT PWM1_ENOUTPUT
#define DIO26_AF PWM1_AF
#define DIO26_CLOCK PWM1_CLOCK
#endif</v>
      </c>
      <c r="I28" s="4" t="str">
        <f t="shared" si="3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2</v>
      </c>
      <c r="E29" s="9" t="str">
        <f t="shared" si="2"/>
        <v>#if (defined(PWM2_PORT) &amp;&amp; defined(PWM2_BIT))
#define PWM2 27
#define PWM2_RCCEN (__rccgpioen__(PWM2_PORT))
#define PWM2_GPIO (__gpio__(PWM2_PORT))
#define DIO27 27
#define DIO27_PORT PWM2_PORT
#define DIO27_BIT PWM2_BIT
#define DIO27_RCCEN PWM2_RCCEN
#define DIO27_GPIO PWM2_GPIO
#endif</v>
      </c>
      <c r="F29" s="9"/>
      <c r="G29" s="9"/>
      <c r="H29" s="9" t="str">
        <f t="shared" si="4"/>
        <v>#if (defined(PWM2_CHANNEL) &amp;&amp; defined(PWM2_TIMER) &amp;&amp; defined(PWM2))
#if (PWM2_TIMER==1 || (PWM2_TIMER&gt;=8 &amp; PWM2_TIMER&lt;=11) || (PWM2_TIMER &gt;= 15 &amp; PWM2_TIMER &lt;= 17))
#define PWM2_ENREG RCC-&gt;APB2ENR
#define PWM2_APBEN __helper__(RCC_APB2ENR_TIM,PWM2_TIMER, EN)
#define PWM2_CLOCK HAL_RCC_GetPCLK2Freq()
#else
#define PWM2_ENREG RCC-&gt;APB1LENR
#define PWM2_APBEN __helper__(RCC_APB1LENR_TIM,PWM2_TIMER, EN)
#define PWM2_CLOCK HAL_RCC_GetPCLK1Freq()
#endif
#define PWM2_TIMREG (__tim__(PWM2_TIMER))
#ifndef PWM2_FREQ
#define PWM2_FREQ 1000
#endif
#if (PWM2_CHANNEL &amp; 0x01)
#define PWM2_MODE 0x0064
#else
#define PWM2_MODE 0x6400
#endif
#if (PWM2_CHANNEL &gt; 2)
#define PWM2_CCMREG CCMR2
#else
#define PWM2_CCMREG CCMR1
#endif
#if (PWM2_TIMER==1)
#define PWM2_ENOUTPUT {TIM1-&gt;BDTR |= (1 &lt;&lt; 15);}
#elif (PWM2_TIMER==8)
#define PWM2_ENOUTPUT {TIM8-&gt;BDTR |= (1 &lt;&lt; 15);}
#else
#define PWM2_ENOUTPUT {}
#endif
#if (PWM2_TIMER==1) || (PWM2_TIMER==2) || (PWM2_TIMER==16)
#define PWM2_AF 0x01
#elif (PWM2_TIMER==3) || (PWM2_TIMER==4) || (PWM2_TIMER==5) || (PWM2_TIMER==12)
#define PWM2_AF 0x02
#elif (PWM2_TIMER==8)
#define PWM2_AF 0x03
#elif (PWM2_TIMER==15)
#define PWM2_AF 0x04
#elif (PWM2_TIMER==13) || (PWM2_TIMER==14)
#define PWM2_AF 0x09
#else
#error 'Invalid PWM timer'
#endif
#define PWM2_CCR __ccr__(PWM2_CHANNEL)
#define DIO27_TIMER PWM2_TIMER
#define DIO27_CHANNEL PWM2_CHANNEL
#define DIO27_ENREG PWM2_ENREG
#define DIO27_APBEN PWM2_APBEN
#define DIO27_TIMREG PWM2_TIMREG
#define DIO27_APBEN PWM2_APBEN
#define DIO27_FREQ PWM2_FREQ
#define DIO27_MODE PWM2_MODE
#define DIO27_CCMREG PWM2_CCMREG
#define DIO27_CCR PWM2_CCR
#define DIO27_ENOUTPUT PWM2_ENOUTPUT
#define DIO27_AF PWM2_AF
#define DIO27_CLOCK PWM2_CLOCK
#endif</v>
      </c>
      <c r="I29" s="4" t="str">
        <f t="shared" si="3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3</v>
      </c>
      <c r="E30" s="9" t="str">
        <f t="shared" si="2"/>
        <v>#if (defined(PWM3_PORT) &amp;&amp; defined(PWM3_BIT))
#define PWM3 28
#define PWM3_RCCEN (__rccgpioen__(PWM3_PORT))
#define PWM3_GPIO (__gpio__(PWM3_PORT))
#define DIO28 28
#define DIO28_PORT PWM3_PORT
#define DIO28_BIT PWM3_BIT
#define DIO28_RCCEN PWM3_RCCEN
#define DIO28_GPIO PWM3_GPIO
#endif</v>
      </c>
      <c r="F30" s="9"/>
      <c r="G30" s="9"/>
      <c r="H30" s="9" t="str">
        <f t="shared" si="4"/>
        <v>#if (defined(PWM3_CHANNEL) &amp;&amp; defined(PWM3_TIMER) &amp;&amp; defined(PWM3))
#if (PWM3_TIMER==1 || (PWM3_TIMER&gt;=8 &amp; PWM3_TIMER&lt;=11) || (PWM3_TIMER &gt;= 15 &amp; PWM3_TIMER &lt;= 17))
#define PWM3_ENREG RCC-&gt;APB2ENR
#define PWM3_APBEN __helper__(RCC_APB2ENR_TIM,PWM3_TIMER, EN)
#define PWM3_CLOCK HAL_RCC_GetPCLK2Freq()
#else
#define PWM3_ENREG RCC-&gt;APB1LENR
#define PWM3_APBEN __helper__(RCC_APB1LENR_TIM,PWM3_TIMER, EN)
#define PWM3_CLOCK HAL_RCC_GetPCLK1Freq()
#endif
#define PWM3_TIMREG (__tim__(PWM3_TIMER))
#ifndef PWM3_FREQ
#define PWM3_FREQ 1000
#endif
#if (PWM3_CHANNEL &amp; 0x01)
#define PWM3_MODE 0x0064
#else
#define PWM3_MODE 0x6400
#endif
#if (PWM3_CHANNEL &gt; 2)
#define PWM3_CCMREG CCMR2
#else
#define PWM3_CCMREG CCMR1
#endif
#if (PWM3_TIMER==1)
#define PWM3_ENOUTPUT {TIM1-&gt;BDTR |= (1 &lt;&lt; 15);}
#elif (PWM3_TIMER==8)
#define PWM3_ENOUTPUT {TIM8-&gt;BDTR |= (1 &lt;&lt; 15);}
#else
#define PWM3_ENOUTPUT {}
#endif
#if (PWM3_TIMER==1) || (PWM3_TIMER==2) || (PWM3_TIMER==16)
#define PWM3_AF 0x01
#elif (PWM3_TIMER==3) || (PWM3_TIMER==4) || (PWM3_TIMER==5) || (PWM3_TIMER==12)
#define PWM3_AF 0x02
#elif (PWM3_TIMER==8)
#define PWM3_AF 0x03
#elif (PWM3_TIMER==15)
#define PWM3_AF 0x04
#elif (PWM3_TIMER==13) || (PWM3_TIMER==14)
#define PWM3_AF 0x09
#else
#error 'Invalid PWM timer'
#endif
#define PWM3_CCR __ccr__(PWM3_CHANNEL)
#define DIO28_TIMER PWM3_TIMER
#define DIO28_CHANNEL PWM3_CHANNEL
#define DIO28_ENREG PWM3_ENREG
#define DIO28_APBEN PWM3_APBEN
#define DIO28_TIMREG PWM3_TIMREG
#define DIO28_APBEN PWM3_APBEN
#define DIO28_FREQ PWM3_FREQ
#define DIO28_MODE PWM3_MODE
#define DIO28_CCMREG PWM3_CCMREG
#define DIO28_CCR PWM3_CCR
#define DIO28_ENOUTPUT PWM3_ENOUTPUT
#define DIO28_AF PWM3_AF
#define DIO28_CLOCK PWM3_CLOCK
#endif</v>
      </c>
      <c r="I30" s="4" t="str">
        <f t="shared" si="3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4</v>
      </c>
      <c r="E31" s="9" t="str">
        <f t="shared" si="2"/>
        <v>#if (defined(PWM4_PORT) &amp;&amp; defined(PWM4_BIT))
#define PWM4 29
#define PWM4_RCCEN (__rccgpioen__(PWM4_PORT))
#define PWM4_GPIO (__gpio__(PWM4_PORT))
#define DIO29 29
#define DIO29_PORT PWM4_PORT
#define DIO29_BIT PWM4_BIT
#define DIO29_RCCEN PWM4_RCCEN
#define DIO29_GPIO PWM4_GPIO
#endif</v>
      </c>
      <c r="F31" s="9"/>
      <c r="G31" s="9"/>
      <c r="H31" s="9" t="str">
        <f t="shared" si="4"/>
        <v>#if (defined(PWM4_CHANNEL) &amp;&amp; defined(PWM4_TIMER) &amp;&amp; defined(PWM4))
#if (PWM4_TIMER==1 || (PWM4_TIMER&gt;=8 &amp; PWM4_TIMER&lt;=11) || (PWM4_TIMER &gt;= 15 &amp; PWM4_TIMER &lt;= 17))
#define PWM4_ENREG RCC-&gt;APB2ENR
#define PWM4_APBEN __helper__(RCC_APB2ENR_TIM,PWM4_TIMER, EN)
#define PWM4_CLOCK HAL_RCC_GetPCLK2Freq()
#else
#define PWM4_ENREG RCC-&gt;APB1LENR
#define PWM4_APBEN __helper__(RCC_APB1LENR_TIM,PWM4_TIMER, EN)
#define PWM4_CLOCK HAL_RCC_GetPCLK1Freq()
#endif
#define PWM4_TIMREG (__tim__(PWM4_TIMER))
#ifndef PWM4_FREQ
#define PWM4_FREQ 1000
#endif
#if (PWM4_CHANNEL &amp; 0x01)
#define PWM4_MODE 0x0064
#else
#define PWM4_MODE 0x6400
#endif
#if (PWM4_CHANNEL &gt; 2)
#define PWM4_CCMREG CCMR2
#else
#define PWM4_CCMREG CCMR1
#endif
#if (PWM4_TIMER==1)
#define PWM4_ENOUTPUT {TIM1-&gt;BDTR |= (1 &lt;&lt; 15);}
#elif (PWM4_TIMER==8)
#define PWM4_ENOUTPUT {TIM8-&gt;BDTR |= (1 &lt;&lt; 15);}
#else
#define PWM4_ENOUTPUT {}
#endif
#if (PWM4_TIMER==1) || (PWM4_TIMER==2) || (PWM4_TIMER==16)
#define PWM4_AF 0x01
#elif (PWM4_TIMER==3) || (PWM4_TIMER==4) || (PWM4_TIMER==5) || (PWM4_TIMER==12)
#define PWM4_AF 0x02
#elif (PWM4_TIMER==8)
#define PWM4_AF 0x03
#elif (PWM4_TIMER==15)
#define PWM4_AF 0x04
#elif (PWM4_TIMER==13) || (PWM4_TIMER==14)
#define PWM4_AF 0x09
#else
#error 'Invalid PWM timer'
#endif
#define PWM4_CCR __ccr__(PWM4_CHANNEL)
#define DIO29_TIMER PWM4_TIMER
#define DIO29_CHANNEL PWM4_CHANNEL
#define DIO29_ENREG PWM4_ENREG
#define DIO29_APBEN PWM4_APBEN
#define DIO29_TIMREG PWM4_TIMREG
#define DIO29_APBEN PWM4_APBEN
#define DIO29_FREQ PWM4_FREQ
#define DIO29_MODE PWM4_MODE
#define DIO29_CCMREG PWM4_CCMREG
#define DIO29_CCR PWM4_CCR
#define DIO29_ENOUTPUT PWM4_ENOUTPUT
#define DIO29_AF PWM4_AF
#define DIO29_CLOCK PWM4_CLOCK
#endif</v>
      </c>
      <c r="I31" s="4" t="str">
        <f t="shared" si="3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5</v>
      </c>
      <c r="E32" s="9" t="str">
        <f t="shared" si="2"/>
        <v>#if (defined(PWM5_PORT) &amp;&amp; defined(PWM5_BIT))
#define PWM5 30
#define PWM5_RCCEN (__rccgpioen__(PWM5_PORT))
#define PWM5_GPIO (__gpio__(PWM5_PORT))
#define DIO30 30
#define DIO30_PORT PWM5_PORT
#define DIO30_BIT PWM5_BIT
#define DIO30_RCCEN PWM5_RCCEN
#define DIO30_GPIO PWM5_GPIO
#endif</v>
      </c>
      <c r="F32" s="9"/>
      <c r="G32" s="9"/>
      <c r="H32" s="9" t="str">
        <f t="shared" si="4"/>
        <v>#if (defined(PWM5_CHANNEL) &amp;&amp; defined(PWM5_TIMER) &amp;&amp; defined(PWM5))
#if (PWM5_TIMER==1 || (PWM5_TIMER&gt;=8 &amp; PWM5_TIMER&lt;=11) || (PWM5_TIMER &gt;= 15 &amp; PWM5_TIMER &lt;= 17))
#define PWM5_ENREG RCC-&gt;APB2ENR
#define PWM5_APBEN __helper__(RCC_APB2ENR_TIM,PWM5_TIMER, EN)
#define PWM5_CLOCK HAL_RCC_GetPCLK2Freq()
#else
#define PWM5_ENREG RCC-&gt;APB1LENR
#define PWM5_APBEN __helper__(RCC_APB1LENR_TIM,PWM5_TIMER, EN)
#define PWM5_CLOCK HAL_RCC_GetPCLK1Freq()
#endif
#define PWM5_TIMREG (__tim__(PWM5_TIMER))
#ifndef PWM5_FREQ
#define PWM5_FREQ 1000
#endif
#if (PWM5_CHANNEL &amp; 0x01)
#define PWM5_MODE 0x0064
#else
#define PWM5_MODE 0x6400
#endif
#if (PWM5_CHANNEL &gt; 2)
#define PWM5_CCMREG CCMR2
#else
#define PWM5_CCMREG CCMR1
#endif
#if (PWM5_TIMER==1)
#define PWM5_ENOUTPUT {TIM1-&gt;BDTR |= (1 &lt;&lt; 15);}
#elif (PWM5_TIMER==8)
#define PWM5_ENOUTPUT {TIM8-&gt;BDTR |= (1 &lt;&lt; 15);}
#else
#define PWM5_ENOUTPUT {}
#endif
#if (PWM5_TIMER==1) || (PWM5_TIMER==2) || (PWM5_TIMER==16)
#define PWM5_AF 0x01
#elif (PWM5_TIMER==3) || (PWM5_TIMER==4) || (PWM5_TIMER==5) || (PWM5_TIMER==12)
#define PWM5_AF 0x02
#elif (PWM5_TIMER==8)
#define PWM5_AF 0x03
#elif (PWM5_TIMER==15)
#define PWM5_AF 0x04
#elif (PWM5_TIMER==13) || (PWM5_TIMER==14)
#define PWM5_AF 0x09
#else
#error 'Invalid PWM timer'
#endif
#define PWM5_CCR __ccr__(PWM5_CHANNEL)
#define DIO30_TIMER PWM5_TIMER
#define DIO30_CHANNEL PWM5_CHANNEL
#define DIO30_ENREG PWM5_ENREG
#define DIO30_APBEN PWM5_APBEN
#define DIO30_TIMREG PWM5_TIMREG
#define DIO30_APBEN PWM5_APBEN
#define DIO30_FREQ PWM5_FREQ
#define DIO30_MODE PWM5_MODE
#define DIO30_CCMREG PWM5_CCMREG
#define DIO30_CCR PWM5_CCR
#define DIO30_ENOUTPUT PWM5_ENOUTPUT
#define DIO30_AF PWM5_AF
#define DIO30_CLOCK PWM5_CLOCK
#endif</v>
      </c>
      <c r="I32" s="4" t="str">
        <f t="shared" si="3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6</v>
      </c>
      <c r="E33" s="9" t="str">
        <f t="shared" si="2"/>
        <v>#if (defined(PWM6_PORT) &amp;&amp; defined(PWM6_BIT))
#define PWM6 31
#define PWM6_RCCEN (__rccgpioen__(PWM6_PORT))
#define PWM6_GPIO (__gpio__(PWM6_PORT))
#define DIO31 31
#define DIO31_PORT PWM6_PORT
#define DIO31_BIT PWM6_BIT
#define DIO31_RCCEN PWM6_RCCEN
#define DIO31_GPIO PWM6_GPIO
#endif</v>
      </c>
      <c r="F33" s="9"/>
      <c r="G33" s="9"/>
      <c r="H33" s="9" t="str">
        <f t="shared" si="4"/>
        <v>#if (defined(PWM6_CHANNEL) &amp;&amp; defined(PWM6_TIMER) &amp;&amp; defined(PWM6))
#if (PWM6_TIMER==1 || (PWM6_TIMER&gt;=8 &amp; PWM6_TIMER&lt;=11) || (PWM6_TIMER &gt;= 15 &amp; PWM6_TIMER &lt;= 17))
#define PWM6_ENREG RCC-&gt;APB2ENR
#define PWM6_APBEN __helper__(RCC_APB2ENR_TIM,PWM6_TIMER, EN)
#define PWM6_CLOCK HAL_RCC_GetPCLK2Freq()
#else
#define PWM6_ENREG RCC-&gt;APB1LENR
#define PWM6_APBEN __helper__(RCC_APB1LENR_TIM,PWM6_TIMER, EN)
#define PWM6_CLOCK HAL_RCC_GetPCLK1Freq()
#endif
#define PWM6_TIMREG (__tim__(PWM6_TIMER))
#ifndef PWM6_FREQ
#define PWM6_FREQ 1000
#endif
#if (PWM6_CHANNEL &amp; 0x01)
#define PWM6_MODE 0x0064
#else
#define PWM6_MODE 0x6400
#endif
#if (PWM6_CHANNEL &gt; 2)
#define PWM6_CCMREG CCMR2
#else
#define PWM6_CCMREG CCMR1
#endif
#if (PWM6_TIMER==1)
#define PWM6_ENOUTPUT {TIM1-&gt;BDTR |= (1 &lt;&lt; 15);}
#elif (PWM6_TIMER==8)
#define PWM6_ENOUTPUT {TIM8-&gt;BDTR |= (1 &lt;&lt; 15);}
#else
#define PWM6_ENOUTPUT {}
#endif
#if (PWM6_TIMER==1) || (PWM6_TIMER==2) || (PWM6_TIMER==16)
#define PWM6_AF 0x01
#elif (PWM6_TIMER==3) || (PWM6_TIMER==4) || (PWM6_TIMER==5) || (PWM6_TIMER==12)
#define PWM6_AF 0x02
#elif (PWM6_TIMER==8)
#define PWM6_AF 0x03
#elif (PWM6_TIMER==15)
#define PWM6_AF 0x04
#elif (PWM6_TIMER==13) || (PWM6_TIMER==14)
#define PWM6_AF 0x09
#else
#error 'Invalid PWM timer'
#endif
#define PWM6_CCR __ccr__(PWM6_CHANNEL)
#define DIO31_TIMER PWM6_TIMER
#define DIO31_CHANNEL PWM6_CHANNEL
#define DIO31_ENREG PWM6_ENREG
#define DIO31_APBEN PWM6_APBEN
#define DIO31_TIMREG PWM6_TIMREG
#define DIO31_APBEN PWM6_APBEN
#define DIO31_FREQ PWM6_FREQ
#define DIO31_MODE PWM6_MODE
#define DIO31_CCMREG PWM6_CCMREG
#define DIO31_CCR PWM6_CCR
#define DIO31_ENOUTPUT PWM6_ENOUTPUT
#define DIO31_AF PWM6_AF
#define DIO31_CLOCK PWM6_CLOCK
#endif</v>
      </c>
      <c r="I33" s="4" t="str">
        <f t="shared" si="3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7</v>
      </c>
      <c r="E34" s="9" t="str">
        <f t="shared" si="2"/>
        <v>#if (defined(PWM7_PORT) &amp;&amp; defined(PWM7_BIT))
#define PWM7 32
#define PWM7_RCCEN (__rccgpioen__(PWM7_PORT))
#define PWM7_GPIO (__gpio__(PWM7_PORT))
#define DIO32 32
#define DIO32_PORT PWM7_PORT
#define DIO32_BIT PWM7_BIT
#define DIO32_RCCEN PWM7_RCCEN
#define DIO32_GPIO PWM7_GPIO
#endif</v>
      </c>
      <c r="F34" s="9"/>
      <c r="G34" s="9"/>
      <c r="H34" s="9" t="str">
        <f t="shared" si="4"/>
        <v>#if (defined(PWM7_CHANNEL) &amp;&amp; defined(PWM7_TIMER) &amp;&amp; defined(PWM7))
#if (PWM7_TIMER==1 || (PWM7_TIMER&gt;=8 &amp; PWM7_TIMER&lt;=11) || (PWM7_TIMER &gt;= 15 &amp; PWM7_TIMER &lt;= 17))
#define PWM7_ENREG RCC-&gt;APB2ENR
#define PWM7_APBEN __helper__(RCC_APB2ENR_TIM,PWM7_TIMER, EN)
#define PWM7_CLOCK HAL_RCC_GetPCLK2Freq()
#else
#define PWM7_ENREG RCC-&gt;APB1LENR
#define PWM7_APBEN __helper__(RCC_APB1LENR_TIM,PWM7_TIMER, EN)
#define PWM7_CLOCK HAL_RCC_GetPCLK1Freq()
#endif
#define PWM7_TIMREG (__tim__(PWM7_TIMER))
#ifndef PWM7_FREQ
#define PWM7_FREQ 1000
#endif
#if (PWM7_CHANNEL &amp; 0x01)
#define PWM7_MODE 0x0064
#else
#define PWM7_MODE 0x6400
#endif
#if (PWM7_CHANNEL &gt; 2)
#define PWM7_CCMREG CCMR2
#else
#define PWM7_CCMREG CCMR1
#endif
#if (PWM7_TIMER==1)
#define PWM7_ENOUTPUT {TIM1-&gt;BDTR |= (1 &lt;&lt; 15);}
#elif (PWM7_TIMER==8)
#define PWM7_ENOUTPUT {TIM8-&gt;BDTR |= (1 &lt;&lt; 15);}
#else
#define PWM7_ENOUTPUT {}
#endif
#if (PWM7_TIMER==1) || (PWM7_TIMER==2) || (PWM7_TIMER==16)
#define PWM7_AF 0x01
#elif (PWM7_TIMER==3) || (PWM7_TIMER==4) || (PWM7_TIMER==5) || (PWM7_TIMER==12)
#define PWM7_AF 0x02
#elif (PWM7_TIMER==8)
#define PWM7_AF 0x03
#elif (PWM7_TIMER==15)
#define PWM7_AF 0x04
#elif (PWM7_TIMER==13) || (PWM7_TIMER==14)
#define PWM7_AF 0x09
#else
#error 'Invalid PWM timer'
#endif
#define PWM7_CCR __ccr__(PWM7_CHANNEL)
#define DIO32_TIMER PWM7_TIMER
#define DIO32_CHANNEL PWM7_CHANNEL
#define DIO32_ENREG PWM7_ENREG
#define DIO32_APBEN PWM7_APBEN
#define DIO32_TIMREG PWM7_TIMREG
#define DIO32_APBEN PWM7_APBEN
#define DIO32_FREQ PWM7_FREQ
#define DIO32_MODE PWM7_MODE
#define DIO32_CCMREG PWM7_CCMREG
#define DIO32_CCR PWM7_CCR
#define DIO32_ENOUTPUT PWM7_ENOUTPUT
#define DIO32_AF PWM7_AF
#define DIO32_CLOCK PWM7_CLOCK
#endif</v>
      </c>
      <c r="I34" s="4" t="str">
        <f t="shared" si="3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8</v>
      </c>
      <c r="E35" s="9" t="str">
        <f t="shared" si="2"/>
        <v>#if (defined(PWM8_PORT) &amp;&amp; defined(PWM8_BIT))
#define PWM8 33
#define PWM8_RCCEN (__rccgpioen__(PWM8_PORT))
#define PWM8_GPIO (__gpio__(PWM8_PORT))
#define DIO33 33
#define DIO33_PORT PWM8_PORT
#define DIO33_BIT PWM8_BIT
#define DIO33_RCCEN PWM8_RCCEN
#define DIO33_GPIO PWM8_GPIO
#endif</v>
      </c>
      <c r="F35" s="9"/>
      <c r="G35" s="9"/>
      <c r="H35" s="9" t="str">
        <f t="shared" si="4"/>
        <v>#if (defined(PWM8_CHANNEL) &amp;&amp; defined(PWM8_TIMER) &amp;&amp; defined(PWM8))
#if (PWM8_TIMER==1 || (PWM8_TIMER&gt;=8 &amp; PWM8_TIMER&lt;=11) || (PWM8_TIMER &gt;= 15 &amp; PWM8_TIMER &lt;= 17))
#define PWM8_ENREG RCC-&gt;APB2ENR
#define PWM8_APBEN __helper__(RCC_APB2ENR_TIM,PWM8_TIMER, EN)
#define PWM8_CLOCK HAL_RCC_GetPCLK2Freq()
#else
#define PWM8_ENREG RCC-&gt;APB1LENR
#define PWM8_APBEN __helper__(RCC_APB1LENR_TIM,PWM8_TIMER, EN)
#define PWM8_CLOCK HAL_RCC_GetPCLK1Freq()
#endif
#define PWM8_TIMREG (__tim__(PWM8_TIMER))
#ifndef PWM8_FREQ
#define PWM8_FREQ 1000
#endif
#if (PWM8_CHANNEL &amp; 0x01)
#define PWM8_MODE 0x0064
#else
#define PWM8_MODE 0x6400
#endif
#if (PWM8_CHANNEL &gt; 2)
#define PWM8_CCMREG CCMR2
#else
#define PWM8_CCMREG CCMR1
#endif
#if (PWM8_TIMER==1)
#define PWM8_ENOUTPUT {TIM1-&gt;BDTR |= (1 &lt;&lt; 15);}
#elif (PWM8_TIMER==8)
#define PWM8_ENOUTPUT {TIM8-&gt;BDTR |= (1 &lt;&lt; 15);}
#else
#define PWM8_ENOUTPUT {}
#endif
#if (PWM8_TIMER==1) || (PWM8_TIMER==2) || (PWM8_TIMER==16)
#define PWM8_AF 0x01
#elif (PWM8_TIMER==3) || (PWM8_TIMER==4) || (PWM8_TIMER==5) || (PWM8_TIMER==12)
#define PWM8_AF 0x02
#elif (PWM8_TIMER==8)
#define PWM8_AF 0x03
#elif (PWM8_TIMER==15)
#define PWM8_AF 0x04
#elif (PWM8_TIMER==13) || (PWM8_TIMER==14)
#define PWM8_AF 0x09
#else
#error 'Invalid PWM timer'
#endif
#define PWM8_CCR __ccr__(PWM8_CHANNEL)
#define DIO33_TIMER PWM8_TIMER
#define DIO33_CHANNEL PWM8_CHANNEL
#define DIO33_ENREG PWM8_ENREG
#define DIO33_APBEN PWM8_APBEN
#define DIO33_TIMREG PWM8_TIMREG
#define DIO33_APBEN PWM8_APBEN
#define DIO33_FREQ PWM8_FREQ
#define DIO33_MODE PWM8_MODE
#define DIO33_CCMREG PWM8_CCMREG
#define DIO33_CCR PWM8_CCR
#define DIO33_ENOUTPUT PWM8_ENOUTPUT
#define DIO33_AF PWM8_AF
#define DIO33_CLOCK PWM8_CLOCK
#endif</v>
      </c>
      <c r="I35" s="4" t="str">
        <f t="shared" si="3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9</v>
      </c>
      <c r="E36" s="9" t="str">
        <f t="shared" si="2"/>
        <v>#if (defined(PWM9_PORT) &amp;&amp; defined(PWM9_BIT))
#define PWM9 34
#define PWM9_RCCEN (__rccgpioen__(PWM9_PORT))
#define PWM9_GPIO (__gpio__(PWM9_PORT))
#define DIO34 34
#define DIO34_PORT PWM9_PORT
#define DIO34_BIT PWM9_BIT
#define DIO34_RCCEN PWM9_RCCEN
#define DIO34_GPIO PWM9_GPIO
#endif</v>
      </c>
      <c r="F36" s="9"/>
      <c r="G36" s="9"/>
      <c r="H36" s="9" t="str">
        <f t="shared" si="4"/>
        <v>#if (defined(PWM9_CHANNEL) &amp;&amp; defined(PWM9_TIMER) &amp;&amp; defined(PWM9))
#if (PWM9_TIMER==1 || (PWM9_TIMER&gt;=8 &amp; PWM9_TIMER&lt;=11) || (PWM9_TIMER &gt;= 15 &amp; PWM9_TIMER &lt;= 17))
#define PWM9_ENREG RCC-&gt;APB2ENR
#define PWM9_APBEN __helper__(RCC_APB2ENR_TIM,PWM9_TIMER, EN)
#define PWM9_CLOCK HAL_RCC_GetPCLK2Freq()
#else
#define PWM9_ENREG RCC-&gt;APB1LENR
#define PWM9_APBEN __helper__(RCC_APB1LENR_TIM,PWM9_TIMER, EN)
#define PWM9_CLOCK HAL_RCC_GetPCLK1Freq()
#endif
#define PWM9_TIMREG (__tim__(PWM9_TIMER))
#ifndef PWM9_FREQ
#define PWM9_FREQ 1000
#endif
#if (PWM9_CHANNEL &amp; 0x01)
#define PWM9_MODE 0x0064
#else
#define PWM9_MODE 0x6400
#endif
#if (PWM9_CHANNEL &gt; 2)
#define PWM9_CCMREG CCMR2
#else
#define PWM9_CCMREG CCMR1
#endif
#if (PWM9_TIMER==1)
#define PWM9_ENOUTPUT {TIM1-&gt;BDTR |= (1 &lt;&lt; 15);}
#elif (PWM9_TIMER==8)
#define PWM9_ENOUTPUT {TIM8-&gt;BDTR |= (1 &lt;&lt; 15);}
#else
#define PWM9_ENOUTPUT {}
#endif
#if (PWM9_TIMER==1) || (PWM9_TIMER==2) || (PWM9_TIMER==16)
#define PWM9_AF 0x01
#elif (PWM9_TIMER==3) || (PWM9_TIMER==4) || (PWM9_TIMER==5) || (PWM9_TIMER==12)
#define PWM9_AF 0x02
#elif (PWM9_TIMER==8)
#define PWM9_AF 0x03
#elif (PWM9_TIMER==15)
#define PWM9_AF 0x04
#elif (PWM9_TIMER==13) || (PWM9_TIMER==14)
#define PWM9_AF 0x09
#else
#error 'Invalid PWM timer'
#endif
#define PWM9_CCR __ccr__(PWM9_CHANNEL)
#define DIO34_TIMER PWM9_TIMER
#define DIO34_CHANNEL PWM9_CHANNEL
#define DIO34_ENREG PWM9_ENREG
#define DIO34_APBEN PWM9_APBEN
#define DIO34_TIMREG PWM9_TIMREG
#define DIO34_APBEN PWM9_APBEN
#define DIO34_FREQ PWM9_FREQ
#define DIO34_MODE PWM9_MODE
#define DIO34_CCMREG PWM9_CCMREG
#define DIO34_CCR PWM9_CCR
#define DIO34_ENOUTPUT PWM9_ENOUTPUT
#define DIO34_AF PWM9_AF
#define DIO34_CLOCK PWM9_CLOCK
#endif</v>
      </c>
      <c r="I36" s="4" t="str">
        <f t="shared" si="3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10</v>
      </c>
      <c r="E37" s="9" t="str">
        <f t="shared" si="2"/>
        <v>#if (defined(PWM10_PORT) &amp;&amp; defined(PWM10_BIT))
#define PWM10 35
#define PWM10_RCCEN (__rccgpioen__(PWM10_PORT))
#define PWM10_GPIO (__gpio__(PWM10_PORT))
#define DIO35 35
#define DIO35_PORT PWM10_PORT
#define DIO35_BIT PWM10_BIT
#define DIO35_RCCEN PWM10_RCCEN
#define DIO35_GPIO PWM10_GPIO
#endif</v>
      </c>
      <c r="F37" s="9"/>
      <c r="G37" s="9"/>
      <c r="H37" s="9" t="str">
        <f t="shared" si="4"/>
        <v>#if (defined(PWM10_CHANNEL) &amp;&amp; defined(PWM10_TIMER) &amp;&amp; defined(PWM10))
#if (PWM10_TIMER==1 || (PWM10_TIMER&gt;=8 &amp; PWM10_TIMER&lt;=11) || (PWM10_TIMER &gt;= 15 &amp; PWM10_TIMER &lt;= 17))
#define PWM10_ENREG RCC-&gt;APB2ENR
#define PWM10_APBEN __helper__(RCC_APB2ENR_TIM,PWM10_TIMER, EN)
#define PWM10_CLOCK HAL_RCC_GetPCLK2Freq()
#else
#define PWM10_ENREG RCC-&gt;APB1LENR
#define PWM10_APBEN __helper__(RCC_APB1LENR_TIM,PWM10_TIMER, EN)
#define PWM10_CLOCK HAL_RCC_GetPCLK1Freq()
#endif
#define PWM10_TIMREG (__tim__(PWM10_TIMER))
#ifndef PWM10_FREQ
#define PWM10_FREQ 1000
#endif
#if (PWM10_CHANNEL &amp; 0x01)
#define PWM10_MODE 0x0064
#else
#define PWM10_MODE 0x6400
#endif
#if (PWM10_CHANNEL &gt; 2)
#define PWM10_CCMREG CCMR2
#else
#define PWM10_CCMREG CCMR1
#endif
#if (PWM10_TIMER==1)
#define PWM10_ENOUTPUT {TIM1-&gt;BDTR |= (1 &lt;&lt; 15);}
#elif (PWM10_TIMER==8)
#define PWM10_ENOUTPUT {TIM8-&gt;BDTR |= (1 &lt;&lt; 15);}
#else
#define PWM10_ENOUTPUT {}
#endif
#if (PWM10_TIMER==1) || (PWM10_TIMER==2) || (PWM10_TIMER==16)
#define PWM10_AF 0x01
#elif (PWM10_TIMER==3) || (PWM10_TIMER==4) || (PWM10_TIMER==5) || (PWM10_TIMER==12)
#define PWM10_AF 0x02
#elif (PWM10_TIMER==8)
#define PWM10_AF 0x03
#elif (PWM10_TIMER==15)
#define PWM10_AF 0x04
#elif (PWM10_TIMER==13) || (PWM10_TIMER==14)
#define PWM10_AF 0x09
#else
#error 'Invalid PWM timer'
#endif
#define PWM10_CCR __ccr__(PWM10_CHANNEL)
#define DIO35_TIMER PWM10_TIMER
#define DIO35_CHANNEL PWM10_CHANNEL
#define DIO35_ENREG PWM10_ENREG
#define DIO35_APBEN PWM10_APBEN
#define DIO35_TIMREG PWM10_TIMREG
#define DIO35_APBEN PWM10_APBEN
#define DIO35_FREQ PWM10_FREQ
#define DIO35_MODE PWM10_MODE
#define DIO35_CCMREG PWM10_CCMREG
#define DIO35_CCR PWM10_CCR
#define DIO35_ENOUTPUT PWM10_ENOUTPUT
#define DIO35_AF PWM10_AF
#define DIO35_CLOCK PWM10_CLOCK
#endif</v>
      </c>
      <c r="I37" s="4" t="str">
        <f t="shared" si="3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11</v>
      </c>
      <c r="E38" s="9" t="str">
        <f t="shared" si="2"/>
        <v>#if (defined(PWM11_PORT) &amp;&amp; defined(PWM11_BIT))
#define PWM11 36
#define PWM11_RCCEN (__rccgpioen__(PWM11_PORT))
#define PWM11_GPIO (__gpio__(PWM11_PORT))
#define DIO36 36
#define DIO36_PORT PWM11_PORT
#define DIO36_BIT PWM11_BIT
#define DIO36_RCCEN PWM11_RCCEN
#define DIO36_GPIO PWM11_GPIO
#endif</v>
      </c>
      <c r="F38" s="9"/>
      <c r="G38" s="9"/>
      <c r="H38" s="9" t="str">
        <f t="shared" si="4"/>
        <v>#if (defined(PWM11_CHANNEL) &amp;&amp; defined(PWM11_TIMER) &amp;&amp; defined(PWM11))
#if (PWM11_TIMER==1 || (PWM11_TIMER&gt;=8 &amp; PWM11_TIMER&lt;=11) || (PWM11_TIMER &gt;= 15 &amp; PWM11_TIMER &lt;= 17))
#define PWM11_ENREG RCC-&gt;APB2ENR
#define PWM11_APBEN __helper__(RCC_APB2ENR_TIM,PWM11_TIMER, EN)
#define PWM11_CLOCK HAL_RCC_GetPCLK2Freq()
#else
#define PWM11_ENREG RCC-&gt;APB1LENR
#define PWM11_APBEN __helper__(RCC_APB1LENR_TIM,PWM11_TIMER, EN)
#define PWM11_CLOCK HAL_RCC_GetPCLK1Freq()
#endif
#define PWM11_TIMREG (__tim__(PWM11_TIMER))
#ifndef PWM11_FREQ
#define PWM11_FREQ 1000
#endif
#if (PWM11_CHANNEL &amp; 0x01)
#define PWM11_MODE 0x0064
#else
#define PWM11_MODE 0x6400
#endif
#if (PWM11_CHANNEL &gt; 2)
#define PWM11_CCMREG CCMR2
#else
#define PWM11_CCMREG CCMR1
#endif
#if (PWM11_TIMER==1)
#define PWM11_ENOUTPUT {TIM1-&gt;BDTR |= (1 &lt;&lt; 15);}
#elif (PWM11_TIMER==8)
#define PWM11_ENOUTPUT {TIM8-&gt;BDTR |= (1 &lt;&lt; 15);}
#else
#define PWM11_ENOUTPUT {}
#endif
#if (PWM11_TIMER==1) || (PWM11_TIMER==2) || (PWM11_TIMER==16)
#define PWM11_AF 0x01
#elif (PWM11_TIMER==3) || (PWM11_TIMER==4) || (PWM11_TIMER==5) || (PWM11_TIMER==12)
#define PWM11_AF 0x02
#elif (PWM11_TIMER==8)
#define PWM11_AF 0x03
#elif (PWM11_TIMER==15)
#define PWM11_AF 0x04
#elif (PWM11_TIMER==13) || (PWM11_TIMER==14)
#define PWM11_AF 0x09
#else
#error 'Invalid PWM timer'
#endif
#define PWM11_CCR __ccr__(PWM11_CHANNEL)
#define DIO36_TIMER PWM11_TIMER
#define DIO36_CHANNEL PWM11_CHANNEL
#define DIO36_ENREG PWM11_ENREG
#define DIO36_APBEN PWM11_APBEN
#define DIO36_TIMREG PWM11_TIMREG
#define DIO36_APBEN PWM11_APBEN
#define DIO36_FREQ PWM11_FREQ
#define DIO36_MODE PWM11_MODE
#define DIO36_CCMREG PWM11_CCMREG
#define DIO36_CCR PWM11_CCR
#define DIO36_ENOUTPUT PWM11_ENOUTPUT
#define DIO36_AF PWM11_AF
#define DIO36_CLOCK PWM11_CLOCK
#endif</v>
      </c>
      <c r="I38" s="4" t="str">
        <f t="shared" si="3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12</v>
      </c>
      <c r="E39" s="9" t="str">
        <f t="shared" si="2"/>
        <v>#if (defined(PWM12_PORT) &amp;&amp; defined(PWM12_BIT))
#define PWM12 37
#define PWM12_RCCEN (__rccgpioen__(PWM12_PORT))
#define PWM12_GPIO (__gpio__(PWM12_PORT))
#define DIO37 37
#define DIO37_PORT PWM12_PORT
#define DIO37_BIT PWM12_BIT
#define DIO37_RCCEN PWM12_RCCEN
#define DIO37_GPIO PWM12_GPIO
#endif</v>
      </c>
      <c r="F39" s="9"/>
      <c r="G39" s="9"/>
      <c r="H39" s="9" t="str">
        <f t="shared" si="4"/>
        <v>#if (defined(PWM12_CHANNEL) &amp;&amp; defined(PWM12_TIMER) &amp;&amp; defined(PWM12))
#if (PWM12_TIMER==1 || (PWM12_TIMER&gt;=8 &amp; PWM12_TIMER&lt;=11) || (PWM12_TIMER &gt;= 15 &amp; PWM12_TIMER &lt;= 17))
#define PWM12_ENREG RCC-&gt;APB2ENR
#define PWM12_APBEN __helper__(RCC_APB2ENR_TIM,PWM12_TIMER, EN)
#define PWM12_CLOCK HAL_RCC_GetPCLK2Freq()
#else
#define PWM12_ENREG RCC-&gt;APB1LENR
#define PWM12_APBEN __helper__(RCC_APB1LENR_TIM,PWM12_TIMER, EN)
#define PWM12_CLOCK HAL_RCC_GetPCLK1Freq()
#endif
#define PWM12_TIMREG (__tim__(PWM12_TIMER))
#ifndef PWM12_FREQ
#define PWM12_FREQ 1000
#endif
#if (PWM12_CHANNEL &amp; 0x01)
#define PWM12_MODE 0x0064
#else
#define PWM12_MODE 0x6400
#endif
#if (PWM12_CHANNEL &gt; 2)
#define PWM12_CCMREG CCMR2
#else
#define PWM12_CCMREG CCMR1
#endif
#if (PWM12_TIMER==1)
#define PWM12_ENOUTPUT {TIM1-&gt;BDTR |= (1 &lt;&lt; 15);}
#elif (PWM12_TIMER==8)
#define PWM12_ENOUTPUT {TIM8-&gt;BDTR |= (1 &lt;&lt; 15);}
#else
#define PWM12_ENOUTPUT {}
#endif
#if (PWM12_TIMER==1) || (PWM12_TIMER==2) || (PWM12_TIMER==16)
#define PWM12_AF 0x01
#elif (PWM12_TIMER==3) || (PWM12_TIMER==4) || (PWM12_TIMER==5) || (PWM12_TIMER==12)
#define PWM12_AF 0x02
#elif (PWM12_TIMER==8)
#define PWM12_AF 0x03
#elif (PWM12_TIMER==15)
#define PWM12_AF 0x04
#elif (PWM12_TIMER==13) || (PWM12_TIMER==14)
#define PWM12_AF 0x09
#else
#error 'Invalid PWM timer'
#endif
#define PWM12_CCR __ccr__(PWM12_CHANNEL)
#define DIO37_TIMER PWM12_TIMER
#define DIO37_CHANNEL PWM12_CHANNEL
#define DIO37_ENREG PWM12_ENREG
#define DIO37_APBEN PWM12_APBEN
#define DIO37_TIMREG PWM12_TIMREG
#define DIO37_APBEN PWM12_APBEN
#define DIO37_FREQ PWM12_FREQ
#define DIO37_MODE PWM12_MODE
#define DIO37_CCMREG PWM12_CCMREG
#define DIO37_CCR PWM12_CCR
#define DIO37_ENOUTPUT PWM12_ENOUTPUT
#define DIO37_AF PWM12_AF
#define DIO37_CLOCK PWM12_CLOCK
#endif</v>
      </c>
      <c r="I39" s="4" t="str">
        <f t="shared" si="3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13</v>
      </c>
      <c r="E40" s="9" t="str">
        <f t="shared" si="2"/>
        <v>#if (defined(PWM13_PORT) &amp;&amp; defined(PWM13_BIT))
#define PWM13 38
#define PWM13_RCCEN (__rccgpioen__(PWM13_PORT))
#define PWM13_GPIO (__gpio__(PWM13_PORT))
#define DIO38 38
#define DIO38_PORT PWM13_PORT
#define DIO38_BIT PWM13_BIT
#define DIO38_RCCEN PWM13_RCCEN
#define DIO38_GPIO PWM13_GPIO
#endif</v>
      </c>
      <c r="F40" s="9"/>
      <c r="G40" s="9"/>
      <c r="H40" s="9" t="str">
        <f t="shared" si="4"/>
        <v>#if (defined(PWM13_CHANNEL) &amp;&amp; defined(PWM13_TIMER) &amp;&amp; defined(PWM13))
#if (PWM13_TIMER==1 || (PWM13_TIMER&gt;=8 &amp; PWM13_TIMER&lt;=11) || (PWM13_TIMER &gt;= 15 &amp; PWM13_TIMER &lt;= 17))
#define PWM13_ENREG RCC-&gt;APB2ENR
#define PWM13_APBEN __helper__(RCC_APB2ENR_TIM,PWM13_TIMER, EN)
#define PWM13_CLOCK HAL_RCC_GetPCLK2Freq()
#else
#define PWM13_ENREG RCC-&gt;APB1LENR
#define PWM13_APBEN __helper__(RCC_APB1LENR_TIM,PWM13_TIMER, EN)
#define PWM13_CLOCK HAL_RCC_GetPCLK1Freq()
#endif
#define PWM13_TIMREG (__tim__(PWM13_TIMER))
#ifndef PWM13_FREQ
#define PWM13_FREQ 1000
#endif
#if (PWM13_CHANNEL &amp; 0x01)
#define PWM13_MODE 0x0064
#else
#define PWM13_MODE 0x6400
#endif
#if (PWM13_CHANNEL &gt; 2)
#define PWM13_CCMREG CCMR2
#else
#define PWM13_CCMREG CCMR1
#endif
#if (PWM13_TIMER==1)
#define PWM13_ENOUTPUT {TIM1-&gt;BDTR |= (1 &lt;&lt; 15);}
#elif (PWM13_TIMER==8)
#define PWM13_ENOUTPUT {TIM8-&gt;BDTR |= (1 &lt;&lt; 15);}
#else
#define PWM13_ENOUTPUT {}
#endif
#if (PWM13_TIMER==1) || (PWM13_TIMER==2) || (PWM13_TIMER==16)
#define PWM13_AF 0x01
#elif (PWM13_TIMER==3) || (PWM13_TIMER==4) || (PWM13_TIMER==5) || (PWM13_TIMER==12)
#define PWM13_AF 0x02
#elif (PWM13_TIMER==8)
#define PWM13_AF 0x03
#elif (PWM13_TIMER==15)
#define PWM13_AF 0x04
#elif (PWM13_TIMER==13) || (PWM13_TIMER==14)
#define PWM13_AF 0x09
#else
#error 'Invalid PWM timer'
#endif
#define PWM13_CCR __ccr__(PWM13_CHANNEL)
#define DIO38_TIMER PWM13_TIMER
#define DIO38_CHANNEL PWM13_CHANNEL
#define DIO38_ENREG PWM13_ENREG
#define DIO38_APBEN PWM13_APBEN
#define DIO38_TIMREG PWM13_TIMREG
#define DIO38_APBEN PWM13_APBEN
#define DIO38_FREQ PWM13_FREQ
#define DIO38_MODE PWM13_MODE
#define DIO38_CCMREG PWM13_CCMREG
#define DIO38_CCR PWM13_CCR
#define DIO38_ENOUTPUT PWM13_ENOUTPUT
#define DIO38_AF PWM13_AF
#define DIO38_CLOCK PWM13_CLOCK
#endif</v>
      </c>
      <c r="I40" s="4" t="str">
        <f t="shared" si="3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14</v>
      </c>
      <c r="E41" s="9" t="str">
        <f t="shared" si="2"/>
        <v>#if (defined(PWM14_PORT) &amp;&amp; defined(PWM14_BIT))
#define PWM14 39
#define PWM14_RCCEN (__rccgpioen__(PWM14_PORT))
#define PWM14_GPIO (__gpio__(PWM14_PORT))
#define DIO39 39
#define DIO39_PORT PWM14_PORT
#define DIO39_BIT PWM14_BIT
#define DIO39_RCCEN PWM14_RCCEN
#define DIO39_GPIO PWM14_GPIO
#endif</v>
      </c>
      <c r="F41" s="9"/>
      <c r="G41" s="9"/>
      <c r="H41" s="9" t="str">
        <f t="shared" si="4"/>
        <v>#if (defined(PWM14_CHANNEL) &amp;&amp; defined(PWM14_TIMER) &amp;&amp; defined(PWM14))
#if (PWM14_TIMER==1 || (PWM14_TIMER&gt;=8 &amp; PWM14_TIMER&lt;=11) || (PWM14_TIMER &gt;= 15 &amp; PWM14_TIMER &lt;= 17))
#define PWM14_ENREG RCC-&gt;APB2ENR
#define PWM14_APBEN __helper__(RCC_APB2ENR_TIM,PWM14_TIMER, EN)
#define PWM14_CLOCK HAL_RCC_GetPCLK2Freq()
#else
#define PWM14_ENREG RCC-&gt;APB1LENR
#define PWM14_APBEN __helper__(RCC_APB1LENR_TIM,PWM14_TIMER, EN)
#define PWM14_CLOCK HAL_RCC_GetPCLK1Freq()
#endif
#define PWM14_TIMREG (__tim__(PWM14_TIMER))
#ifndef PWM14_FREQ
#define PWM14_FREQ 1000
#endif
#if (PWM14_CHANNEL &amp; 0x01)
#define PWM14_MODE 0x0064
#else
#define PWM14_MODE 0x6400
#endif
#if (PWM14_CHANNEL &gt; 2)
#define PWM14_CCMREG CCMR2
#else
#define PWM14_CCMREG CCMR1
#endif
#if (PWM14_TIMER==1)
#define PWM14_ENOUTPUT {TIM1-&gt;BDTR |= (1 &lt;&lt; 15);}
#elif (PWM14_TIMER==8)
#define PWM14_ENOUTPUT {TIM8-&gt;BDTR |= (1 &lt;&lt; 15);}
#else
#define PWM14_ENOUTPUT {}
#endif
#if (PWM14_TIMER==1) || (PWM14_TIMER==2) || (PWM14_TIMER==16)
#define PWM14_AF 0x01
#elif (PWM14_TIMER==3) || (PWM14_TIMER==4) || (PWM14_TIMER==5) || (PWM14_TIMER==12)
#define PWM14_AF 0x02
#elif (PWM14_TIMER==8)
#define PWM14_AF 0x03
#elif (PWM14_TIMER==15)
#define PWM14_AF 0x04
#elif (PWM14_TIMER==13) || (PWM14_TIMER==14)
#define PWM14_AF 0x09
#else
#error 'Invalid PWM timer'
#endif
#define PWM14_CCR __ccr__(PWM14_CHANNEL)
#define DIO39_TIMER PWM14_TIMER
#define DIO39_CHANNEL PWM14_CHANNEL
#define DIO39_ENREG PWM14_ENREG
#define DIO39_APBEN PWM14_APBEN
#define DIO39_TIMREG PWM14_TIMREG
#define DIO39_APBEN PWM14_APBEN
#define DIO39_FREQ PWM14_FREQ
#define DIO39_MODE PWM14_MODE
#define DIO39_CCMREG PWM14_CCMREG
#define DIO39_CCR PWM14_CCR
#define DIO39_ENOUTPUT PWM14_ENOUTPUT
#define DIO39_AF PWM14_AF
#define DIO39_CLOCK PWM14_CLOCK
#endif</v>
      </c>
      <c r="I41" s="4" t="str">
        <f t="shared" si="3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15</v>
      </c>
      <c r="E42" s="9" t="str">
        <f t="shared" si="2"/>
        <v>#if (defined(PWM15_PORT) &amp;&amp; defined(PWM15_BIT))
#define PWM15 40
#define PWM15_RCCEN (__rccgpioen__(PWM15_PORT))
#define PWM15_GPIO (__gpio__(PWM15_PORT))
#define DIO40 40
#define DIO40_PORT PWM15_PORT
#define DIO40_BIT PWM15_BIT
#define DIO40_RCCEN PWM15_RCCEN
#define DIO40_GPIO PWM15_GPIO
#endif</v>
      </c>
      <c r="F42" s="9"/>
      <c r="G42" s="9"/>
      <c r="H42" s="9" t="str">
        <f t="shared" si="4"/>
        <v>#if (defined(PWM15_CHANNEL) &amp;&amp; defined(PWM15_TIMER) &amp;&amp; defined(PWM15))
#if (PWM15_TIMER==1 || (PWM15_TIMER&gt;=8 &amp; PWM15_TIMER&lt;=11) || (PWM15_TIMER &gt;= 15 &amp; PWM15_TIMER &lt;= 17))
#define PWM15_ENREG RCC-&gt;APB2ENR
#define PWM15_APBEN __helper__(RCC_APB2ENR_TIM,PWM15_TIMER, EN)
#define PWM15_CLOCK HAL_RCC_GetPCLK2Freq()
#else
#define PWM15_ENREG RCC-&gt;APB1LENR
#define PWM15_APBEN __helper__(RCC_APB1LENR_TIM,PWM15_TIMER, EN)
#define PWM15_CLOCK HAL_RCC_GetPCLK1Freq()
#endif
#define PWM15_TIMREG (__tim__(PWM15_TIMER))
#ifndef PWM15_FREQ
#define PWM15_FREQ 1000
#endif
#if (PWM15_CHANNEL &amp; 0x01)
#define PWM15_MODE 0x0064
#else
#define PWM15_MODE 0x6400
#endif
#if (PWM15_CHANNEL &gt; 2)
#define PWM15_CCMREG CCMR2
#else
#define PWM15_CCMREG CCMR1
#endif
#if (PWM15_TIMER==1)
#define PWM15_ENOUTPUT {TIM1-&gt;BDTR |= (1 &lt;&lt; 15);}
#elif (PWM15_TIMER==8)
#define PWM15_ENOUTPUT {TIM8-&gt;BDTR |= (1 &lt;&lt; 15);}
#else
#define PWM15_ENOUTPUT {}
#endif
#if (PWM15_TIMER==1) || (PWM15_TIMER==2) || (PWM15_TIMER==16)
#define PWM15_AF 0x01
#elif (PWM15_TIMER==3) || (PWM15_TIMER==4) || (PWM15_TIMER==5) || (PWM15_TIMER==12)
#define PWM15_AF 0x02
#elif (PWM15_TIMER==8)
#define PWM15_AF 0x03
#elif (PWM15_TIMER==15)
#define PWM15_AF 0x04
#elif (PWM15_TIMER==13) || (PWM15_TIMER==14)
#define PWM15_AF 0x09
#else
#error 'Invalid PWM timer'
#endif
#define PWM15_CCR __ccr__(PWM15_CHANNEL)
#define DIO40_TIMER PWM15_TIMER
#define DIO40_CHANNEL PWM15_CHANNEL
#define DIO40_ENREG PWM15_ENREG
#define DIO40_APBEN PWM15_APBEN
#define DIO40_TIMREG PWM15_TIMREG
#define DIO40_APBEN PWM15_APBEN
#define DIO40_FREQ PWM15_FREQ
#define DIO40_MODE PWM15_MODE
#define DIO40_CCMREG PWM15_CCMREG
#define DIO40_CCR PWM15_CCR
#define DIO40_ENOUTPUT PWM15_ENOUTPUT
#define DIO40_AF PWM15_AF
#define DIO40_CLOCK PWM15_CLOCK
#endif</v>
      </c>
      <c r="I42" s="4" t="str">
        <f t="shared" si="3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0</v>
      </c>
      <c r="E43" s="9" t="str">
        <f t="shared" si="2"/>
        <v>#if (defined(SERVO0_PORT) &amp;&amp; defined(SERVO0_BIT))
#define SERVO0 41
#define SERVO0_RCCEN (__rccgpioen__(SERVO0_PORT))
#define SERVO0_GPIO (__gpio__(SERVO0_PORT))
#define DIO41 41
#define DIO41_PORT SERVO0_PORT
#define DIO41_BIT SERVO0_BIT
#define DIO41_RCCEN SERVO0_RCCEN
#define DIO41_GPIO SERVO0_GPIO
#endif</v>
      </c>
      <c r="F43" s="9" t="str">
        <f t="shared" ref="F43:F48" si="5">"#ifdef SERVO"&amp;D43&amp;"
#define SERVO"&amp;D43&amp;"_MASK (1U&lt;&lt;"&amp;D43&amp;")
#else
#define SERVO"&amp;D43&amp;"_MASK 0
#endif"</f>
        <v>#ifdef SERVO0
#define SERVO0_MASK (1U&lt;&lt;0)
#else
#define SERVO0_MASK 0
#endif</v>
      </c>
      <c r="G43" s="9" t="str">
        <f t="shared" ref="G43:G48" si="6">"#if SERVO"&amp;D43&amp;" &gt;= 0
case "&amp;D43&amp;":
mcu_set_ouput(SERVO"&amp;D43&amp;");
RTC_OCRB = mcu_servos["&amp;D43&amp;"];
#endif"</f>
        <v>#if SERVO0 &gt;= 0
case 0:
mcu_set_ouput(SERVO0);
RTC_OCRB = mcu_servos[0];
#endif</v>
      </c>
      <c r="H43" s="9"/>
      <c r="I43" s="4" t="str">
        <f t="shared" ref="I43:I80" si="7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1</v>
      </c>
      <c r="E44" s="9" t="str">
        <f t="shared" si="2"/>
        <v>#if (defined(SERVO1_PORT) &amp;&amp; defined(SERVO1_BIT))
#define SERVO1 42
#define SERVO1_RCCEN (__rccgpioen__(SERVO1_PORT))
#define SERVO1_GPIO (__gpio__(SERVO1_PORT))
#define DIO42 42
#define DIO42_PORT SERVO1_PORT
#define DIO42_BIT SERVO1_BIT
#define DIO42_RCCEN SERVO1_RCCEN
#define DIO42_GPIO SERVO1_GPIO
#endif</v>
      </c>
      <c r="F44" s="9" t="str">
        <f t="shared" si="5"/>
        <v>#ifdef SERVO1
#define SERVO1_MASK (1U&lt;&lt;1)
#else
#define SERVO1_MASK 0
#endif</v>
      </c>
      <c r="G44" s="9" t="str">
        <f t="shared" si="6"/>
        <v>#if SERVO1 &gt;= 0
case 1:
mcu_set_ouput(SERVO1);
RTC_OCRB = mcu_servos[1];
#endif</v>
      </c>
      <c r="H44" s="9"/>
      <c r="I44" s="4" t="str">
        <f t="shared" si="7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2</v>
      </c>
      <c r="E45" s="9" t="str">
        <f t="shared" si="2"/>
        <v>#if (defined(SERVO2_PORT) &amp;&amp; defined(SERVO2_BIT))
#define SERVO2 43
#define SERVO2_RCCEN (__rccgpioen__(SERVO2_PORT))
#define SERVO2_GPIO (__gpio__(SERVO2_PORT))
#define DIO43 43
#define DIO43_PORT SERVO2_PORT
#define DIO43_BIT SERVO2_BIT
#define DIO43_RCCEN SERVO2_RCCEN
#define DIO43_GPIO SERVO2_GPIO
#endif</v>
      </c>
      <c r="F45" s="9" t="str">
        <f t="shared" si="5"/>
        <v>#ifdef SERVO2
#define SERVO2_MASK (1U&lt;&lt;2)
#else
#define SERVO2_MASK 0
#endif</v>
      </c>
      <c r="G45" s="9" t="str">
        <f t="shared" si="6"/>
        <v>#if SERVO2 &gt;= 0
case 2:
mcu_set_ouput(SERVO2);
RTC_OCRB = mcu_servos[2];
#endif</v>
      </c>
      <c r="H45" s="9"/>
      <c r="I45" s="4" t="str">
        <f t="shared" si="7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3</v>
      </c>
      <c r="E46" s="9" t="str">
        <f t="shared" si="2"/>
        <v>#if (defined(SERVO3_PORT) &amp;&amp; defined(SERVO3_BIT))
#define SERVO3 44
#define SERVO3_RCCEN (__rccgpioen__(SERVO3_PORT))
#define SERVO3_GPIO (__gpio__(SERVO3_PORT))
#define DIO44 44
#define DIO44_PORT SERVO3_PORT
#define DIO44_BIT SERVO3_BIT
#define DIO44_RCCEN SERVO3_RCCEN
#define DIO44_GPIO SERVO3_GPIO
#endif</v>
      </c>
      <c r="F46" s="9" t="str">
        <f t="shared" si="5"/>
        <v>#ifdef SERVO3
#define SERVO3_MASK (1U&lt;&lt;3)
#else
#define SERVO3_MASK 0
#endif</v>
      </c>
      <c r="G46" s="9" t="str">
        <f t="shared" si="6"/>
        <v>#if SERVO3 &gt;= 0
case 3:
mcu_set_ouput(SERVO3);
RTC_OCRB = mcu_servos[3];
#endif</v>
      </c>
      <c r="H46" s="9"/>
      <c r="I46" s="4" t="str">
        <f t="shared" si="7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4</v>
      </c>
      <c r="E47" s="9" t="str">
        <f t="shared" si="2"/>
        <v>#if (defined(SERVO4_PORT) &amp;&amp; defined(SERVO4_BIT))
#define SERVO4 45
#define SERVO4_RCCEN (__rccgpioen__(SERVO4_PORT))
#define SERVO4_GPIO (__gpio__(SERVO4_PORT))
#define DIO45 45
#define DIO45_PORT SERVO4_PORT
#define DIO45_BIT SERVO4_BIT
#define DIO45_RCCEN SERVO4_RCCEN
#define DIO45_GPIO SERVO4_GPIO
#endif</v>
      </c>
      <c r="F47" s="9" t="str">
        <f t="shared" si="5"/>
        <v>#ifdef SERVO4
#define SERVO4_MASK (1U&lt;&lt;4)
#else
#define SERVO4_MASK 0
#endif</v>
      </c>
      <c r="G47" s="9" t="str">
        <f t="shared" si="6"/>
        <v>#if SERVO4 &gt;= 0
case 4:
mcu_set_ouput(SERVO4);
RTC_OCRB = mcu_servos[4];
#endif</v>
      </c>
      <c r="H47" s="9"/>
      <c r="I47" s="4" t="str">
        <f t="shared" si="7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5</v>
      </c>
      <c r="E48" s="9" t="str">
        <f t="shared" si="2"/>
        <v>#if (defined(SERVO5_PORT) &amp;&amp; defined(SERVO5_BIT))
#define SERVO5 46
#define SERVO5_RCCEN (__rccgpioen__(SERVO5_PORT))
#define SERVO5_GPIO (__gpio__(SERVO5_PORT))
#define DIO46 46
#define DIO46_PORT SERVO5_PORT
#define DIO46_BIT SERVO5_BIT
#define DIO46_RCCEN SERVO5_RCCEN
#define DIO46_GPIO SERVO5_GPIO
#endif</v>
      </c>
      <c r="F48" s="9" t="str">
        <f t="shared" si="5"/>
        <v>#ifdef SERVO5
#define SERVO5_MASK (1U&lt;&lt;5)
#else
#define SERVO5_MASK 0
#endif</v>
      </c>
      <c r="G48" s="9" t="str">
        <f t="shared" si="6"/>
        <v>#if SERVO5 &gt;= 0
case 5:
mcu_set_ouput(SERVO5);
RTC_OCRB = mcu_servos[5];
#endif</v>
      </c>
      <c r="H48" s="9"/>
      <c r="I48" s="4" t="str">
        <f t="shared" si="7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0</v>
      </c>
      <c r="E49" s="9" t="str">
        <f t="shared" si="2"/>
        <v>#if (defined(DOUT0_PORT) &amp;&amp; defined(DOUT0_BIT))
#define DOUT0 47
#define DOUT0_RCCEN (__rccgpioen__(DOUT0_PORT))
#define DOUT0_GPIO (__gpio__(DOUT0_PORT))
#define DIO47 47
#define DIO47_PORT DOUT0_PORT
#define DIO47_BIT DOUT0_BIT
#define DIO47_RCCEN DOUT0_RCCEN
#define DIO47_GPIO DOUT0_GPIO
#endif</v>
      </c>
      <c r="F49" s="9"/>
      <c r="G49" s="9"/>
      <c r="H49" s="9"/>
      <c r="I49" s="4" t="str">
        <f t="shared" si="7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</v>
      </c>
      <c r="E50" s="9" t="str">
        <f t="shared" si="2"/>
        <v>#if (defined(DOUT1_PORT) &amp;&amp; defined(DOUT1_BIT))
#define DOUT1 48
#define DOUT1_RCCEN (__rccgpioen__(DOUT1_PORT))
#define DOUT1_GPIO (__gpio__(DOUT1_PORT))
#define DIO48 48
#define DIO48_PORT DOUT1_PORT
#define DIO48_BIT DOUT1_BIT
#define DIO48_RCCEN DOUT1_RCCEN
#define DIO48_GPIO DOUT1_GPIO
#endif</v>
      </c>
      <c r="F50" s="9"/>
      <c r="G50" s="9"/>
      <c r="H50" s="9"/>
      <c r="I50" s="4" t="str">
        <f t="shared" si="7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2</v>
      </c>
      <c r="E51" s="9" t="str">
        <f t="shared" si="2"/>
        <v>#if (defined(DOUT2_PORT) &amp;&amp; defined(DOUT2_BIT))
#define DOUT2 49
#define DOUT2_RCCEN (__rccgpioen__(DOUT2_PORT))
#define DOUT2_GPIO (__gpio__(DOUT2_PORT))
#define DIO49 49
#define DIO49_PORT DOUT2_PORT
#define DIO49_BIT DOUT2_BIT
#define DIO49_RCCEN DOUT2_RCCEN
#define DIO49_GPIO DOUT2_GPIO
#endif</v>
      </c>
      <c r="F51" s="9"/>
      <c r="G51" s="9"/>
      <c r="H51" s="9"/>
      <c r="I51" s="4" t="str">
        <f t="shared" si="7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3</v>
      </c>
      <c r="E52" s="9" t="str">
        <f t="shared" si="2"/>
        <v>#if (defined(DOUT3_PORT) &amp;&amp; defined(DOUT3_BIT))
#define DOUT3 50
#define DOUT3_RCCEN (__rccgpioen__(DOUT3_PORT))
#define DOUT3_GPIO (__gpio__(DOUT3_PORT))
#define DIO50 50
#define DIO50_PORT DOUT3_PORT
#define DIO50_BIT DOUT3_BIT
#define DIO50_RCCEN DOUT3_RCCEN
#define DIO50_GPIO DOUT3_GPIO
#endif</v>
      </c>
      <c r="F52" s="9"/>
      <c r="G52" s="9"/>
      <c r="H52" s="9"/>
      <c r="I52" s="4" t="str">
        <f t="shared" si="7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4</v>
      </c>
      <c r="E53" s="9" t="str">
        <f t="shared" si="2"/>
        <v>#if (defined(DOUT4_PORT) &amp;&amp; defined(DOUT4_BIT))
#define DOUT4 51
#define DOUT4_RCCEN (__rccgpioen__(DOUT4_PORT))
#define DOUT4_GPIO (__gpio__(DOUT4_PORT))
#define DIO51 51
#define DIO51_PORT DOUT4_PORT
#define DIO51_BIT DOUT4_BIT
#define DIO51_RCCEN DOUT4_RCCEN
#define DIO51_GPIO DOUT4_GPIO
#endif</v>
      </c>
      <c r="F53" s="9"/>
      <c r="G53" s="9"/>
      <c r="H53" s="9"/>
      <c r="I53" s="4" t="str">
        <f t="shared" si="7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5</v>
      </c>
      <c r="E54" s="9" t="str">
        <f t="shared" si="2"/>
        <v>#if (defined(DOUT5_PORT) &amp;&amp; defined(DOUT5_BIT))
#define DOUT5 52
#define DOUT5_RCCEN (__rccgpioen__(DOUT5_PORT))
#define DOUT5_GPIO (__gpio__(DOUT5_PORT))
#define DIO52 52
#define DIO52_PORT DOUT5_PORT
#define DIO52_BIT DOUT5_BIT
#define DIO52_RCCEN DOUT5_RCCEN
#define DIO52_GPIO DOUT5_GPIO
#endif</v>
      </c>
      <c r="F54" s="9"/>
      <c r="G54" s="9"/>
      <c r="H54" s="9"/>
      <c r="I54" s="4" t="str">
        <f t="shared" si="7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6</v>
      </c>
      <c r="E55" s="9" t="str">
        <f t="shared" si="2"/>
        <v>#if (defined(DOUT6_PORT) &amp;&amp; defined(DOUT6_BIT))
#define DOUT6 53
#define DOUT6_RCCEN (__rccgpioen__(DOUT6_PORT))
#define DOUT6_GPIO (__gpio__(DOUT6_PORT))
#define DIO53 53
#define DIO53_PORT DOUT6_PORT
#define DIO53_BIT DOUT6_BIT
#define DIO53_RCCEN DOUT6_RCCEN
#define DIO53_GPIO DOUT6_GPIO
#endif</v>
      </c>
      <c r="F55" s="9"/>
      <c r="G55" s="9"/>
      <c r="H55" s="9"/>
      <c r="I55" s="4" t="str">
        <f t="shared" si="7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7</v>
      </c>
      <c r="E56" s="9" t="str">
        <f t="shared" si="2"/>
        <v>#if (defined(DOUT7_PORT) &amp;&amp; defined(DOUT7_BIT))
#define DOUT7 54
#define DOUT7_RCCEN (__rccgpioen__(DOUT7_PORT))
#define DOUT7_GPIO (__gpio__(DOUT7_PORT))
#define DIO54 54
#define DIO54_PORT DOUT7_PORT
#define DIO54_BIT DOUT7_BIT
#define DIO54_RCCEN DOUT7_RCCEN
#define DIO54_GPIO DOUT7_GPIO
#endif</v>
      </c>
      <c r="F56" s="9"/>
      <c r="G56" s="9"/>
      <c r="H56" s="9"/>
      <c r="I56" s="4" t="str">
        <f t="shared" si="7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8</v>
      </c>
      <c r="E57" s="9" t="str">
        <f t="shared" si="2"/>
        <v>#if (defined(DOUT8_PORT) &amp;&amp; defined(DOUT8_BIT))
#define DOUT8 55
#define DOUT8_RCCEN (__rccgpioen__(DOUT8_PORT))
#define DOUT8_GPIO (__gpio__(DOUT8_PORT))
#define DIO55 55
#define DIO55_PORT DOUT8_PORT
#define DIO55_BIT DOUT8_BIT
#define DIO55_RCCEN DOUT8_RCCEN
#define DIO55_GPIO DOUT8_GPIO
#endif</v>
      </c>
      <c r="F57" s="9"/>
      <c r="G57" s="9"/>
      <c r="H57" s="9"/>
      <c r="I57" s="4" t="str">
        <f t="shared" si="7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9</v>
      </c>
      <c r="E58" s="9" t="str">
        <f t="shared" si="2"/>
        <v>#if (defined(DOUT9_PORT) &amp;&amp; defined(DOUT9_BIT))
#define DOUT9 56
#define DOUT9_RCCEN (__rccgpioen__(DOUT9_PORT))
#define DOUT9_GPIO (__gpio__(DOUT9_PORT))
#define DIO56 56
#define DIO56_PORT DOUT9_PORT
#define DIO56_BIT DOUT9_BIT
#define DIO56_RCCEN DOUT9_RCCEN
#define DIO56_GPIO DOUT9_GPIO
#endif</v>
      </c>
      <c r="F58" s="9"/>
      <c r="G58" s="9"/>
      <c r="H58" s="9"/>
      <c r="I58" s="4" t="str">
        <f t="shared" si="7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10</v>
      </c>
      <c r="E59" s="9" t="str">
        <f t="shared" si="2"/>
        <v>#if (defined(DOUT10_PORT) &amp;&amp; defined(DOUT10_BIT))
#define DOUT10 57
#define DOUT10_RCCEN (__rccgpioen__(DOUT10_PORT))
#define DOUT10_GPIO (__gpio__(DOUT10_PORT))
#define DIO57 57
#define DIO57_PORT DOUT10_PORT
#define DIO57_BIT DOUT10_BIT
#define DIO57_RCCEN DOUT10_RCCEN
#define DIO57_GPIO DOUT10_GPIO
#endif</v>
      </c>
      <c r="F59" s="9"/>
      <c r="G59" s="9"/>
      <c r="H59" s="9"/>
      <c r="I59" s="4" t="str">
        <f t="shared" si="7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11</v>
      </c>
      <c r="E60" s="9" t="str">
        <f t="shared" si="2"/>
        <v>#if (defined(DOUT11_PORT) &amp;&amp; defined(DOUT11_BIT))
#define DOUT11 58
#define DOUT11_RCCEN (__rccgpioen__(DOUT11_PORT))
#define DOUT11_GPIO (__gpio__(DOUT11_PORT))
#define DIO58 58
#define DIO58_PORT DOUT11_PORT
#define DIO58_BIT DOUT11_BIT
#define DIO58_RCCEN DOUT11_RCCEN
#define DIO58_GPIO DOUT11_GPIO
#endif</v>
      </c>
      <c r="F60" s="9"/>
      <c r="G60" s="9"/>
      <c r="H60" s="9"/>
      <c r="I60" s="4" t="str">
        <f t="shared" si="7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12</v>
      </c>
      <c r="E61" s="9" t="str">
        <f t="shared" si="2"/>
        <v>#if (defined(DOUT12_PORT) &amp;&amp; defined(DOUT12_BIT))
#define DOUT12 59
#define DOUT12_RCCEN (__rccgpioen__(DOUT12_PORT))
#define DOUT12_GPIO (__gpio__(DOUT12_PORT))
#define DIO59 59
#define DIO59_PORT DOUT12_PORT
#define DIO59_BIT DOUT12_BIT
#define DIO59_RCCEN DOUT12_RCCEN
#define DIO59_GPIO DOUT12_GPIO
#endif</v>
      </c>
      <c r="F61" s="10"/>
      <c r="G61" s="10"/>
      <c r="H61" s="9"/>
      <c r="I61" s="4" t="str">
        <f t="shared" si="7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13</v>
      </c>
      <c r="E62" s="9" t="str">
        <f t="shared" si="2"/>
        <v>#if (defined(DOUT13_PORT) &amp;&amp; defined(DOUT13_BIT))
#define DOUT13 60
#define DOUT13_RCCEN (__rccgpioen__(DOUT13_PORT))
#define DOUT13_GPIO (__gpio__(DOUT13_PORT))
#define DIO60 60
#define DIO60_PORT DOUT13_PORT
#define DIO60_BIT DOUT13_BIT
#define DIO60_RCCEN DOUT13_RCCEN
#define DIO60_GPIO DOUT13_GPIO
#endif</v>
      </c>
      <c r="F62" s="12"/>
      <c r="G62" s="9"/>
      <c r="H62" s="9"/>
      <c r="I62" s="4" t="str">
        <f t="shared" si="7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14</v>
      </c>
      <c r="E63" s="9" t="str">
        <f t="shared" si="2"/>
        <v>#if (defined(DOUT14_PORT) &amp;&amp; defined(DOUT14_BIT))
#define DOUT14 61
#define DOUT14_RCCEN (__rccgpioen__(DOUT14_PORT))
#define DOUT14_GPIO (__gpio__(DOUT14_PORT))
#define DIO61 61
#define DIO61_PORT DOUT14_PORT
#define DIO61_BIT DOUT14_BIT
#define DIO61_RCCEN DOUT14_RCCEN
#define DIO61_GPIO DOUT14_GPIO
#endif</v>
      </c>
      <c r="F63" s="10"/>
      <c r="G63" s="9"/>
      <c r="H63" s="9"/>
      <c r="I63" s="4" t="str">
        <f t="shared" si="7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15</v>
      </c>
      <c r="E64" s="9" t="str">
        <f t="shared" si="2"/>
        <v>#if (defined(DOUT15_PORT) &amp;&amp; defined(DOUT15_BIT))
#define DOUT15 62
#define DOUT15_RCCEN (__rccgpioen__(DOUT15_PORT))
#define DOUT15_GPIO (__gpio__(DOUT15_PORT))
#define DIO62 62
#define DIO62_PORT DOUT15_PORT
#define DIO62_BIT DOUT15_BIT
#define DIO62_RCCEN DOUT15_RCCEN
#define DIO62_GPIO DOUT15_GPIO
#endif</v>
      </c>
      <c r="F64" s="10"/>
      <c r="G64" s="9"/>
      <c r="H64" s="9"/>
      <c r="I64" s="4" t="str">
        <f t="shared" si="7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16</v>
      </c>
      <c r="E65" s="9" t="str">
        <f t="shared" si="2"/>
        <v>#if (defined(DOUT16_PORT) &amp;&amp; defined(DOUT16_BIT))
#define DOUT16 63
#define DOUT16_RCCEN (__rccgpioen__(DOUT16_PORT))
#define DOUT16_GPIO (__gpio__(DOUT16_PORT))
#define DIO63 63
#define DIO63_PORT DOUT16_PORT
#define DIO63_BIT DOUT16_BIT
#define DIO63_RCCEN DOUT16_RCCEN
#define DIO63_GPIO DOUT16_GPIO
#endif</v>
      </c>
      <c r="F65" s="10"/>
      <c r="G65" s="9"/>
      <c r="H65" s="9"/>
      <c r="I65" s="4" t="str">
        <f t="shared" si="7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17</v>
      </c>
      <c r="E66" s="9" t="str">
        <f t="shared" si="2"/>
        <v>#if (defined(DOUT17_PORT) &amp;&amp; defined(DOUT17_BIT))
#define DOUT17 64
#define DOUT17_RCCEN (__rccgpioen__(DOUT17_PORT))
#define DOUT17_GPIO (__gpio__(DOUT17_PORT))
#define DIO64 64
#define DIO64_PORT DOUT17_PORT
#define DIO64_BIT DOUT17_BIT
#define DIO64_RCCEN DOUT17_RCCEN
#define DIO64_GPIO DOUT17_GPIO
#endif</v>
      </c>
      <c r="F66" s="9"/>
      <c r="G66" s="9"/>
      <c r="H66" s="9"/>
      <c r="I66" s="4" t="str">
        <f t="shared" si="7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18</v>
      </c>
      <c r="E67" s="9" t="str">
        <f t="shared" si="2"/>
        <v>#if (defined(DOUT18_PORT) &amp;&amp; defined(DOUT18_BIT))
#define DOUT18 65
#define DOUT18_RCCEN (__rccgpioen__(DOUT18_PORT))
#define DOUT18_GPIO (__gpio__(DOUT18_PORT))
#define DIO65 65
#define DIO65_PORT DOUT18_PORT
#define DIO65_BIT DOUT18_BIT
#define DIO65_RCCEN DOUT18_RCCEN
#define DIO65_GPIO DOUT18_GPIO
#endif</v>
      </c>
      <c r="F67" s="9"/>
      <c r="G67" s="9"/>
      <c r="H67" s="9"/>
      <c r="I67" s="4" t="str">
        <f t="shared" si="7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19</v>
      </c>
      <c r="E68" s="9" t="str">
        <f t="shared" ref="E68:E131" si="8">"#if (defined("&amp;C68&amp;"_PORT) &amp;&amp; defined("&amp;C68&amp;"_BIT))
#define "&amp;C68&amp;" "&amp;A68&amp;"
#define "&amp;C68&amp;"_RCCEN (__rccgpioen__("&amp;C68&amp;"_PORT))
#define "&amp;C68&amp;"_GPIO (__gpio__("&amp;C68&amp;"_PORT))
#define "&amp;B68&amp;" "&amp;A68&amp;"
#define "&amp;B68&amp;"_PORT "&amp;C68&amp;"_PORT
#define "&amp;B68&amp;"_BIT "&amp;C68&amp;"_BIT
#define "&amp;B68&amp;"_RCCEN "&amp;C68&amp;"_RCCEN
#define "&amp;B68&amp;"_GPIO "&amp;C68&amp;"_GPIO
#endif"</f>
        <v>#if (defined(DOUT19_PORT) &amp;&amp; defined(DOUT19_BIT))
#define DOUT19 66
#define DOUT19_RCCEN (__rccgpioen__(DOUT19_PORT))
#define DOUT19_GPIO (__gpio__(DOUT19_PORT))
#define DIO66 66
#define DIO66_PORT DOUT19_PORT
#define DIO66_BIT DOUT19_BIT
#define DIO66_RCCEN DOUT19_RCCEN
#define DIO66_GPIO DOUT19_GPIO
#endif</v>
      </c>
      <c r="F68" s="9"/>
      <c r="G68" s="9"/>
      <c r="H68" s="9"/>
      <c r="I68" s="4" t="str">
        <f t="shared" si="7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20</v>
      </c>
      <c r="E69" s="9" t="str">
        <f t="shared" si="8"/>
        <v>#if (defined(DOUT20_PORT) &amp;&amp; defined(DOUT20_BIT))
#define DOUT20 67
#define DOUT20_RCCEN (__rccgpioen__(DOUT20_PORT))
#define DOUT20_GPIO (__gpio__(DOUT20_PORT))
#define DIO67 67
#define DIO67_PORT DOUT20_PORT
#define DIO67_BIT DOUT20_BIT
#define DIO67_RCCEN DOUT20_RCCEN
#define DIO67_GPIO DOUT20_GPIO
#endif</v>
      </c>
      <c r="F69" s="9"/>
      <c r="G69" s="9"/>
      <c r="H69" s="9"/>
      <c r="I69" s="4" t="str">
        <f t="shared" si="7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21</v>
      </c>
      <c r="E70" s="9" t="str">
        <f t="shared" si="8"/>
        <v>#if (defined(DOUT21_PORT) &amp;&amp; defined(DOUT21_BIT))
#define DOUT21 68
#define DOUT21_RCCEN (__rccgpioen__(DOUT21_PORT))
#define DOUT21_GPIO (__gpio__(DOUT21_PORT))
#define DIO68 68
#define DIO68_PORT DOUT21_PORT
#define DIO68_BIT DOUT21_BIT
#define DIO68_RCCEN DOUT21_RCCEN
#define DIO68_GPIO DOUT21_GPIO
#endif</v>
      </c>
      <c r="F70" s="9"/>
      <c r="G70" s="9"/>
      <c r="H70" s="9"/>
      <c r="I70" s="4" t="str">
        <f t="shared" si="7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22</v>
      </c>
      <c r="E71" s="9" t="str">
        <f t="shared" si="8"/>
        <v>#if (defined(DOUT22_PORT) &amp;&amp; defined(DOUT22_BIT))
#define DOUT22 69
#define DOUT22_RCCEN (__rccgpioen__(DOUT22_PORT))
#define DOUT22_GPIO (__gpio__(DOUT22_PORT))
#define DIO69 69
#define DIO69_PORT DOUT22_PORT
#define DIO69_BIT DOUT22_BIT
#define DIO69_RCCEN DOUT22_RCCEN
#define DIO69_GPIO DOUT22_GPIO
#endif</v>
      </c>
      <c r="F71" s="9"/>
      <c r="G71" s="9"/>
      <c r="H71" s="9"/>
      <c r="I71" s="4" t="str">
        <f t="shared" si="7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23</v>
      </c>
      <c r="E72" s="9" t="str">
        <f t="shared" si="8"/>
        <v>#if (defined(DOUT23_PORT) &amp;&amp; defined(DOUT23_BIT))
#define DOUT23 70
#define DOUT23_RCCEN (__rccgpioen__(DOUT23_PORT))
#define DOUT23_GPIO (__gpio__(DOUT23_PORT))
#define DIO70 70
#define DIO70_PORT DOUT23_PORT
#define DIO70_BIT DOUT23_BIT
#define DIO70_RCCEN DOUT23_RCCEN
#define DIO70_GPIO DOUT23_GPIO
#endif</v>
      </c>
      <c r="F72" s="9"/>
      <c r="G72" s="9"/>
      <c r="H72" s="9"/>
      <c r="I72" s="4" t="str">
        <f t="shared" si="7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24</v>
      </c>
      <c r="E73" s="9" t="str">
        <f t="shared" si="8"/>
        <v>#if (defined(DOUT24_PORT) &amp;&amp; defined(DOUT24_BIT))
#define DOUT24 71
#define DOUT24_RCCEN (__rccgpioen__(DOUT24_PORT))
#define DOUT24_GPIO (__gpio__(DOUT24_PORT))
#define DIO71 71
#define DIO71_PORT DOUT24_PORT
#define DIO71_BIT DOUT24_BIT
#define DIO71_RCCEN DOUT24_RCCEN
#define DIO71_GPIO DOUT24_GPIO
#endif</v>
      </c>
      <c r="F73" s="9"/>
      <c r="G73" s="9"/>
      <c r="H73" s="9"/>
      <c r="I73" s="4" t="str">
        <f t="shared" si="7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25</v>
      </c>
      <c r="E74" s="9" t="str">
        <f t="shared" si="8"/>
        <v>#if (defined(DOUT25_PORT) &amp;&amp; defined(DOUT25_BIT))
#define DOUT25 72
#define DOUT25_RCCEN (__rccgpioen__(DOUT25_PORT))
#define DOUT25_GPIO (__gpio__(DOUT25_PORT))
#define DIO72 72
#define DIO72_PORT DOUT25_PORT
#define DIO72_BIT DOUT25_BIT
#define DIO72_RCCEN DOUT25_RCCEN
#define DIO72_GPIO DOUT25_GPIO
#endif</v>
      </c>
      <c r="F74" s="9"/>
      <c r="G74" s="9"/>
      <c r="H74" s="9"/>
      <c r="I74" s="4" t="str">
        <f t="shared" si="7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26</v>
      </c>
      <c r="E75" s="9" t="str">
        <f t="shared" si="8"/>
        <v>#if (defined(DOUT26_PORT) &amp;&amp; defined(DOUT26_BIT))
#define DOUT26 73
#define DOUT26_RCCEN (__rccgpioen__(DOUT26_PORT))
#define DOUT26_GPIO (__gpio__(DOUT26_PORT))
#define DIO73 73
#define DIO73_PORT DOUT26_PORT
#define DIO73_BIT DOUT26_BIT
#define DIO73_RCCEN DOUT26_RCCEN
#define DIO73_GPIO DOUT26_GPIO
#endif</v>
      </c>
      <c r="F75" s="9"/>
      <c r="G75" s="9"/>
      <c r="H75" s="9"/>
      <c r="I75" s="4" t="str">
        <f t="shared" si="7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27</v>
      </c>
      <c r="E76" s="9" t="str">
        <f t="shared" si="8"/>
        <v>#if (defined(DOUT27_PORT) &amp;&amp; defined(DOUT27_BIT))
#define DOUT27 74
#define DOUT27_RCCEN (__rccgpioen__(DOUT27_PORT))
#define DOUT27_GPIO (__gpio__(DOUT27_PORT))
#define DIO74 74
#define DIO74_PORT DOUT27_PORT
#define DIO74_BIT DOUT27_BIT
#define DIO74_RCCEN DOUT27_RCCEN
#define DIO74_GPIO DOUT27_GPIO
#endif</v>
      </c>
      <c r="F76" s="9"/>
      <c r="G76" s="9"/>
      <c r="H76" s="9"/>
      <c r="I76" s="4" t="str">
        <f t="shared" si="7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28</v>
      </c>
      <c r="E77" s="9" t="str">
        <f t="shared" si="8"/>
        <v>#if (defined(DOUT28_PORT) &amp;&amp; defined(DOUT28_BIT))
#define DOUT28 75
#define DOUT28_RCCEN (__rccgpioen__(DOUT28_PORT))
#define DOUT28_GPIO (__gpio__(DOUT28_PORT))
#define DIO75 75
#define DIO75_PORT DOUT28_PORT
#define DIO75_BIT DOUT28_BIT
#define DIO75_RCCEN DOUT28_RCCEN
#define DIO75_GPIO DOUT28_GPIO
#endif</v>
      </c>
      <c r="F77" s="10"/>
      <c r="G77" s="10"/>
      <c r="H77" s="9"/>
      <c r="I77" s="4" t="str">
        <f t="shared" si="7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29</v>
      </c>
      <c r="E78" s="9" t="str">
        <f t="shared" si="8"/>
        <v>#if (defined(DOUT29_PORT) &amp;&amp; defined(DOUT29_BIT))
#define DOUT29 76
#define DOUT29_RCCEN (__rccgpioen__(DOUT29_PORT))
#define DOUT29_GPIO (__gpio__(DOUT29_PORT))
#define DIO76 76
#define DIO76_PORT DOUT29_PORT
#define DIO76_BIT DOUT29_BIT
#define DIO76_RCCEN DOUT29_RCCEN
#define DIO76_GPIO DOUT29_GPIO
#endif</v>
      </c>
      <c r="F78" s="12"/>
      <c r="G78" s="9"/>
      <c r="H78" s="9"/>
      <c r="I78" s="4" t="str">
        <f t="shared" si="7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30</v>
      </c>
      <c r="E79" s="9" t="str">
        <f t="shared" si="8"/>
        <v>#if (defined(DOUT30_PORT) &amp;&amp; defined(DOUT30_BIT))
#define DOUT30 77
#define DOUT30_RCCEN (__rccgpioen__(DOUT30_PORT))
#define DOUT30_GPIO (__gpio__(DOUT30_PORT))
#define DIO77 77
#define DIO77_PORT DOUT30_PORT
#define DIO77_BIT DOUT30_BIT
#define DIO77_RCCEN DOUT30_RCCEN
#define DIO77_GPIO DOUT30_GPIO
#endif</v>
      </c>
      <c r="F79" s="10"/>
      <c r="G79" s="9"/>
      <c r="H79" s="9"/>
      <c r="I79" s="4" t="str">
        <f t="shared" si="7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31</v>
      </c>
      <c r="E80" s="9" t="str">
        <f t="shared" si="8"/>
        <v>#if (defined(DOUT31_PORT) &amp;&amp; defined(DOUT31_BIT))
#define DOUT31 78
#define DOUT31_RCCEN (__rccgpioen__(DOUT31_PORT))
#define DOUT31_GPIO (__gpio__(DOUT31_PORT))
#define DIO78 78
#define DIO78_PORT DOUT31_PORT
#define DIO78_BIT DOUT31_BIT
#define DIO78_RCCEN DOUT31_RCCEN
#define DIO78_GPIO DOUT31_GPIO
#endif</v>
      </c>
      <c r="F80" s="11" t="s">
        <v>126</v>
      </c>
      <c r="G80" s="11" t="s">
        <v>123</v>
      </c>
      <c r="H80" s="9"/>
      <c r="I80" s="4" t="str">
        <f t="shared" si="7"/>
        <v>#if DOUT31&gt;=0
mcu_config_output(DOUT31);
#endif</v>
      </c>
    </row>
    <row r="81" spans="1:9" ht="15" customHeight="1" x14ac:dyDescent="0.25">
      <c r="A81" s="4">
        <v>79</v>
      </c>
      <c r="B81" s="4" t="str">
        <f t="shared" si="0"/>
        <v>DIO79</v>
      </c>
      <c r="C81" s="4" t="s">
        <v>527</v>
      </c>
      <c r="D81" s="4">
        <v>32</v>
      </c>
      <c r="E81" s="9" t="str">
        <f t="shared" si="8"/>
        <v>#if (defined(DOUT32_PORT) &amp;&amp; defined(DOUT32_BIT))
#define DOUT32 79
#define DOUT32_RCCEN (__rccgpioen__(DOUT32_PORT))
#define DOUT32_GPIO (__gpio__(DOUT32_PORT))
#define DIO79 79
#define DIO79_PORT DOUT32_PORT
#define DIO79_BIT DOUT32_BIT
#define DIO79_RCCEN DOUT32_RCCEN
#define DIO79_GPIO DOUT32_GPIO
#endif</v>
      </c>
      <c r="F81" s="11"/>
      <c r="G81" s="11"/>
      <c r="H81" s="9"/>
      <c r="I81" s="4"/>
    </row>
    <row r="82" spans="1:9" ht="15" customHeight="1" x14ac:dyDescent="0.25">
      <c r="A82" s="4">
        <v>80</v>
      </c>
      <c r="B82" s="4" t="str">
        <f t="shared" si="0"/>
        <v>DIO80</v>
      </c>
      <c r="C82" s="4" t="s">
        <v>528</v>
      </c>
      <c r="D82" s="4">
        <v>33</v>
      </c>
      <c r="E82" s="9" t="str">
        <f t="shared" si="8"/>
        <v>#if (defined(DOUT33_PORT) &amp;&amp; defined(DOUT33_BIT))
#define DOUT33 80
#define DOUT33_RCCEN (__rccgpioen__(DOUT33_PORT))
#define DOUT33_GPIO (__gpio__(DOUT33_PORT))
#define DIO80 80
#define DIO80_PORT DOUT33_PORT
#define DIO80_BIT DOUT33_BIT
#define DIO80_RCCEN DOUT33_RCCEN
#define DIO80_GPIO DOUT33_GPIO
#endif</v>
      </c>
      <c r="F82" s="11"/>
      <c r="G82" s="11"/>
      <c r="H82" s="9"/>
      <c r="I82" s="4"/>
    </row>
    <row r="83" spans="1:9" ht="15" customHeight="1" x14ac:dyDescent="0.25">
      <c r="A83" s="4">
        <v>81</v>
      </c>
      <c r="B83" s="4" t="str">
        <f t="shared" si="0"/>
        <v>DIO81</v>
      </c>
      <c r="C83" s="4" t="s">
        <v>529</v>
      </c>
      <c r="D83" s="4">
        <v>34</v>
      </c>
      <c r="E83" s="9" t="str">
        <f t="shared" si="8"/>
        <v>#if (defined(DOUT34_PORT) &amp;&amp; defined(DOUT34_BIT))
#define DOUT34 81
#define DOUT34_RCCEN (__rccgpioen__(DOUT34_PORT))
#define DOUT34_GPIO (__gpio__(DOUT34_PORT))
#define DIO81 81
#define DIO81_PORT DOUT34_PORT
#define DIO81_BIT DOUT34_BIT
#define DIO81_RCCEN DOUT34_RCCEN
#define DIO81_GPIO DOUT34_GPIO
#endif</v>
      </c>
      <c r="F83" s="11"/>
      <c r="G83" s="11"/>
      <c r="H83" s="9"/>
      <c r="I83" s="4"/>
    </row>
    <row r="84" spans="1:9" ht="15" customHeight="1" x14ac:dyDescent="0.25">
      <c r="A84" s="4">
        <v>82</v>
      </c>
      <c r="B84" s="4" t="str">
        <f t="shared" si="0"/>
        <v>DIO82</v>
      </c>
      <c r="C84" s="4" t="s">
        <v>530</v>
      </c>
      <c r="D84" s="4">
        <v>35</v>
      </c>
      <c r="E84" s="9" t="str">
        <f t="shared" si="8"/>
        <v>#if (defined(DOUT35_PORT) &amp;&amp; defined(DOUT35_BIT))
#define DOUT35 82
#define DOUT35_RCCEN (__rccgpioen__(DOUT35_PORT))
#define DOUT35_GPIO (__gpio__(DOUT35_PORT))
#define DIO82 82
#define DIO82_PORT DOUT35_PORT
#define DIO82_BIT DOUT35_BIT
#define DIO82_RCCEN DOUT35_RCCEN
#define DIO82_GPIO DOUT35_GPIO
#endif</v>
      </c>
      <c r="F84" s="11"/>
      <c r="G84" s="11"/>
      <c r="H84" s="9"/>
      <c r="I84" s="4"/>
    </row>
    <row r="85" spans="1:9" ht="15" customHeight="1" x14ac:dyDescent="0.25">
      <c r="A85" s="4">
        <v>83</v>
      </c>
      <c r="B85" s="4" t="str">
        <f t="shared" si="0"/>
        <v>DIO83</v>
      </c>
      <c r="C85" s="4" t="s">
        <v>531</v>
      </c>
      <c r="D85" s="4">
        <v>36</v>
      </c>
      <c r="E85" s="9" t="str">
        <f t="shared" si="8"/>
        <v>#if (defined(DOUT36_PORT) &amp;&amp; defined(DOUT36_BIT))
#define DOUT36 83
#define DOUT36_RCCEN (__rccgpioen__(DOUT36_PORT))
#define DOUT36_GPIO (__gpio__(DOUT36_PORT))
#define DIO83 83
#define DIO83_PORT DOUT36_PORT
#define DIO83_BIT DOUT36_BIT
#define DIO83_RCCEN DOUT36_RCCEN
#define DIO83_GPIO DOUT36_GPIO
#endif</v>
      </c>
      <c r="F85" s="11"/>
      <c r="G85" s="11"/>
      <c r="H85" s="9"/>
      <c r="I85" s="4"/>
    </row>
    <row r="86" spans="1:9" ht="15" customHeight="1" x14ac:dyDescent="0.25">
      <c r="A86" s="4">
        <v>84</v>
      </c>
      <c r="B86" s="4" t="str">
        <f t="shared" si="0"/>
        <v>DIO84</v>
      </c>
      <c r="C86" s="4" t="s">
        <v>532</v>
      </c>
      <c r="D86" s="4">
        <v>37</v>
      </c>
      <c r="E86" s="9" t="str">
        <f t="shared" si="8"/>
        <v>#if (defined(DOUT37_PORT) &amp;&amp; defined(DOUT37_BIT))
#define DOUT37 84
#define DOUT37_RCCEN (__rccgpioen__(DOUT37_PORT))
#define DOUT37_GPIO (__gpio__(DOUT37_PORT))
#define DIO84 84
#define DIO84_PORT DOUT37_PORT
#define DIO84_BIT DOUT37_BIT
#define DIO84_RCCEN DOUT37_RCCEN
#define DIO84_GPIO DOUT37_GPIO
#endif</v>
      </c>
      <c r="F86" s="11"/>
      <c r="G86" s="11"/>
      <c r="H86" s="9"/>
      <c r="I86" s="4"/>
    </row>
    <row r="87" spans="1:9" ht="15" customHeight="1" x14ac:dyDescent="0.25">
      <c r="A87" s="4">
        <v>85</v>
      </c>
      <c r="B87" s="4" t="str">
        <f t="shared" si="0"/>
        <v>DIO85</v>
      </c>
      <c r="C87" s="4" t="s">
        <v>533</v>
      </c>
      <c r="D87" s="4">
        <v>38</v>
      </c>
      <c r="E87" s="9" t="str">
        <f t="shared" si="8"/>
        <v>#if (defined(DOUT38_PORT) &amp;&amp; defined(DOUT38_BIT))
#define DOUT38 85
#define DOUT38_RCCEN (__rccgpioen__(DOUT38_PORT))
#define DOUT38_GPIO (__gpio__(DOUT38_PORT))
#define DIO85 85
#define DIO85_PORT DOUT38_PORT
#define DIO85_BIT DOUT38_BIT
#define DIO85_RCCEN DOUT38_RCCEN
#define DIO85_GPIO DOUT38_GPIO
#endif</v>
      </c>
      <c r="F87" s="11"/>
      <c r="G87" s="11"/>
      <c r="H87" s="9"/>
      <c r="I87" s="4"/>
    </row>
    <row r="88" spans="1:9" ht="15" customHeight="1" x14ac:dyDescent="0.25">
      <c r="A88" s="4">
        <v>86</v>
      </c>
      <c r="B88" s="4" t="str">
        <f t="shared" si="0"/>
        <v>DIO86</v>
      </c>
      <c r="C88" s="4" t="s">
        <v>534</v>
      </c>
      <c r="D88" s="4">
        <v>39</v>
      </c>
      <c r="E88" s="9" t="str">
        <f t="shared" si="8"/>
        <v>#if (defined(DOUT39_PORT) &amp;&amp; defined(DOUT39_BIT))
#define DOUT39 86
#define DOUT39_RCCEN (__rccgpioen__(DOUT39_PORT))
#define DOUT39_GPIO (__gpio__(DOUT39_PORT))
#define DIO86 86
#define DIO86_PORT DOUT39_PORT
#define DIO86_BIT DOUT39_BIT
#define DIO86_RCCEN DOUT39_RCCEN
#define DIO86_GPIO DOUT39_GPIO
#endif</v>
      </c>
      <c r="F88" s="11"/>
      <c r="G88" s="11"/>
      <c r="H88" s="9"/>
      <c r="I88" s="4"/>
    </row>
    <row r="89" spans="1:9" ht="15" customHeight="1" x14ac:dyDescent="0.25">
      <c r="A89" s="4">
        <v>87</v>
      </c>
      <c r="B89" s="4" t="str">
        <f t="shared" si="0"/>
        <v>DIO87</v>
      </c>
      <c r="C89" s="4" t="s">
        <v>535</v>
      </c>
      <c r="D89" s="4">
        <v>40</v>
      </c>
      <c r="E89" s="9" t="str">
        <f t="shared" si="8"/>
        <v>#if (defined(DOUT40_PORT) &amp;&amp; defined(DOUT40_BIT))
#define DOUT40 87
#define DOUT40_RCCEN (__rccgpioen__(DOUT40_PORT))
#define DOUT40_GPIO (__gpio__(DOUT40_PORT))
#define DIO87 87
#define DIO87_PORT DOUT40_PORT
#define DIO87_BIT DOUT40_BIT
#define DIO87_RCCEN DOUT40_RCCEN
#define DIO87_GPIO DOUT40_GPIO
#endif</v>
      </c>
      <c r="F89" s="11"/>
      <c r="G89" s="11"/>
      <c r="H89" s="9"/>
      <c r="I89" s="4"/>
    </row>
    <row r="90" spans="1:9" ht="15" customHeight="1" x14ac:dyDescent="0.25">
      <c r="A90" s="4">
        <v>88</v>
      </c>
      <c r="B90" s="4" t="str">
        <f t="shared" si="0"/>
        <v>DIO88</v>
      </c>
      <c r="C90" s="4" t="s">
        <v>536</v>
      </c>
      <c r="D90" s="4">
        <v>41</v>
      </c>
      <c r="E90" s="9" t="str">
        <f t="shared" si="8"/>
        <v>#if (defined(DOUT41_PORT) &amp;&amp; defined(DOUT41_BIT))
#define DOUT41 88
#define DOUT41_RCCEN (__rccgpioen__(DOUT41_PORT))
#define DOUT41_GPIO (__gpio__(DOUT41_PORT))
#define DIO88 88
#define DIO88_PORT DOUT41_PORT
#define DIO88_BIT DOUT41_BIT
#define DIO88_RCCEN DOUT41_RCCEN
#define DIO88_GPIO DOUT41_GPIO
#endif</v>
      </c>
      <c r="F90" s="11"/>
      <c r="G90" s="11"/>
      <c r="H90" s="9"/>
      <c r="I90" s="4"/>
    </row>
    <row r="91" spans="1:9" ht="15" customHeight="1" x14ac:dyDescent="0.25">
      <c r="A91" s="4">
        <v>89</v>
      </c>
      <c r="B91" s="4" t="str">
        <f t="shared" si="0"/>
        <v>DIO89</v>
      </c>
      <c r="C91" s="4" t="s">
        <v>537</v>
      </c>
      <c r="D91" s="4">
        <v>42</v>
      </c>
      <c r="E91" s="9" t="str">
        <f t="shared" si="8"/>
        <v>#if (defined(DOUT42_PORT) &amp;&amp; defined(DOUT42_BIT))
#define DOUT42 89
#define DOUT42_RCCEN (__rccgpioen__(DOUT42_PORT))
#define DOUT42_GPIO (__gpio__(DOUT42_PORT))
#define DIO89 89
#define DIO89_PORT DOUT42_PORT
#define DIO89_BIT DOUT42_BIT
#define DIO89_RCCEN DOUT42_RCCEN
#define DIO89_GPIO DOUT42_GPIO
#endif</v>
      </c>
      <c r="F91" s="11"/>
      <c r="G91" s="11"/>
      <c r="H91" s="9"/>
      <c r="I91" s="4"/>
    </row>
    <row r="92" spans="1:9" ht="15" customHeight="1" x14ac:dyDescent="0.25">
      <c r="A92" s="4">
        <v>90</v>
      </c>
      <c r="B92" s="4" t="str">
        <f t="shared" si="0"/>
        <v>DIO90</v>
      </c>
      <c r="C92" s="4" t="s">
        <v>538</v>
      </c>
      <c r="D92" s="4">
        <v>43</v>
      </c>
      <c r="E92" s="9" t="str">
        <f t="shared" si="8"/>
        <v>#if (defined(DOUT43_PORT) &amp;&amp; defined(DOUT43_BIT))
#define DOUT43 90
#define DOUT43_RCCEN (__rccgpioen__(DOUT43_PORT))
#define DOUT43_GPIO (__gpio__(DOUT43_PORT))
#define DIO90 90
#define DIO90_PORT DOUT43_PORT
#define DIO90_BIT DOUT43_BIT
#define DIO90_RCCEN DOUT43_RCCEN
#define DIO90_GPIO DOUT43_GPIO
#endif</v>
      </c>
      <c r="F92" s="11"/>
      <c r="G92" s="11"/>
      <c r="H92" s="9"/>
      <c r="I92" s="4"/>
    </row>
    <row r="93" spans="1:9" ht="15" customHeight="1" x14ac:dyDescent="0.25">
      <c r="A93" s="4">
        <v>91</v>
      </c>
      <c r="B93" s="4" t="str">
        <f t="shared" si="0"/>
        <v>DIO91</v>
      </c>
      <c r="C93" s="4" t="s">
        <v>539</v>
      </c>
      <c r="D93" s="4">
        <v>44</v>
      </c>
      <c r="E93" s="9" t="str">
        <f t="shared" si="8"/>
        <v>#if (defined(DOUT44_PORT) &amp;&amp; defined(DOUT44_BIT))
#define DOUT44 91
#define DOUT44_RCCEN (__rccgpioen__(DOUT44_PORT))
#define DOUT44_GPIO (__gpio__(DOUT44_PORT))
#define DIO91 91
#define DIO91_PORT DOUT44_PORT
#define DIO91_BIT DOUT44_BIT
#define DIO91_RCCEN DOUT44_RCCEN
#define DIO91_GPIO DOUT44_GPIO
#endif</v>
      </c>
      <c r="F93" s="11"/>
      <c r="G93" s="11"/>
      <c r="H93" s="9"/>
      <c r="I93" s="4"/>
    </row>
    <row r="94" spans="1:9" ht="15" customHeight="1" x14ac:dyDescent="0.25">
      <c r="A94" s="4">
        <v>92</v>
      </c>
      <c r="B94" s="4" t="str">
        <f t="shared" si="0"/>
        <v>DIO92</v>
      </c>
      <c r="C94" s="4" t="s">
        <v>540</v>
      </c>
      <c r="D94" s="4">
        <v>45</v>
      </c>
      <c r="E94" s="9" t="str">
        <f t="shared" si="8"/>
        <v>#if (defined(DOUT45_PORT) &amp;&amp; defined(DOUT45_BIT))
#define DOUT45 92
#define DOUT45_RCCEN (__rccgpioen__(DOUT45_PORT))
#define DOUT45_GPIO (__gpio__(DOUT45_PORT))
#define DIO92 92
#define DIO92_PORT DOUT45_PORT
#define DIO92_BIT DOUT45_BIT
#define DIO92_RCCEN DOUT45_RCCEN
#define DIO92_GPIO DOUT45_GPIO
#endif</v>
      </c>
      <c r="F94" s="11"/>
      <c r="G94" s="11"/>
      <c r="H94" s="9"/>
      <c r="I94" s="4"/>
    </row>
    <row r="95" spans="1:9" ht="15" customHeight="1" x14ac:dyDescent="0.25">
      <c r="A95" s="4">
        <v>93</v>
      </c>
      <c r="B95" s="4" t="str">
        <f t="shared" si="0"/>
        <v>DIO93</v>
      </c>
      <c r="C95" s="4" t="s">
        <v>541</v>
      </c>
      <c r="D95" s="4">
        <v>46</v>
      </c>
      <c r="E95" s="9" t="str">
        <f t="shared" si="8"/>
        <v>#if (defined(DOUT46_PORT) &amp;&amp; defined(DOUT46_BIT))
#define DOUT46 93
#define DOUT46_RCCEN (__rccgpioen__(DOUT46_PORT))
#define DOUT46_GPIO (__gpio__(DOUT46_PORT))
#define DIO93 93
#define DIO93_PORT DOUT46_PORT
#define DIO93_BIT DOUT46_BIT
#define DIO93_RCCEN DOUT46_RCCEN
#define DIO93_GPIO DOUT46_GPIO
#endif</v>
      </c>
      <c r="F95" s="11"/>
      <c r="G95" s="11"/>
      <c r="H95" s="9"/>
      <c r="I95" s="4"/>
    </row>
    <row r="96" spans="1:9" ht="15" customHeight="1" x14ac:dyDescent="0.25">
      <c r="A96" s="4">
        <v>94</v>
      </c>
      <c r="B96" s="4" t="str">
        <f t="shared" si="0"/>
        <v>DIO94</v>
      </c>
      <c r="C96" s="4" t="s">
        <v>542</v>
      </c>
      <c r="D96" s="4">
        <v>47</v>
      </c>
      <c r="E96" s="9" t="str">
        <f t="shared" si="8"/>
        <v>#if (defined(DOUT47_PORT) &amp;&amp; defined(DOUT47_BIT))
#define DOUT47 94
#define DOUT47_RCCEN (__rccgpioen__(DOUT47_PORT))
#define DOUT47_GPIO (__gpio__(DOUT47_PORT))
#define DIO94 94
#define DIO94_PORT DOUT47_PORT
#define DIO94_BIT DOUT47_BIT
#define DIO94_RCCEN DOUT47_RCCEN
#define DIO94_GPIO DOUT47_GPIO
#endif</v>
      </c>
      <c r="F96" s="11"/>
      <c r="G96" s="11"/>
      <c r="H96" s="9"/>
      <c r="I96" s="4"/>
    </row>
    <row r="97" spans="1:9" ht="15" customHeight="1" x14ac:dyDescent="0.25">
      <c r="A97" s="4">
        <v>95</v>
      </c>
      <c r="B97" s="4" t="str">
        <f t="shared" si="0"/>
        <v>DIO95</v>
      </c>
      <c r="C97" s="4" t="s">
        <v>543</v>
      </c>
      <c r="D97" s="4">
        <v>48</v>
      </c>
      <c r="E97" s="9" t="str">
        <f t="shared" si="8"/>
        <v>#if (defined(DOUT48_PORT) &amp;&amp; defined(DOUT48_BIT))
#define DOUT48 95
#define DOUT48_RCCEN (__rccgpioen__(DOUT48_PORT))
#define DOUT48_GPIO (__gpio__(DOUT48_PORT))
#define DIO95 95
#define DIO95_PORT DOUT48_PORT
#define DIO95_BIT DOUT48_BIT
#define DIO95_RCCEN DOUT48_RCCEN
#define DIO95_GPIO DOUT48_GPIO
#endif</v>
      </c>
      <c r="F97" s="11"/>
      <c r="G97" s="11"/>
      <c r="H97" s="9"/>
      <c r="I97" s="4"/>
    </row>
    <row r="98" spans="1:9" ht="15" customHeight="1" x14ac:dyDescent="0.25">
      <c r="A98" s="4">
        <v>96</v>
      </c>
      <c r="B98" s="4" t="str">
        <f t="shared" si="0"/>
        <v>DIO96</v>
      </c>
      <c r="C98" s="4" t="s">
        <v>544</v>
      </c>
      <c r="D98" s="4">
        <v>49</v>
      </c>
      <c r="E98" s="9" t="str">
        <f t="shared" si="8"/>
        <v>#if (defined(DOUT49_PORT) &amp;&amp; defined(DOUT49_BIT))
#define DOUT49 96
#define DOUT49_RCCEN (__rccgpioen__(DOUT49_PORT))
#define DOUT49_GPIO (__gpio__(DOUT49_PORT))
#define DIO96 96
#define DIO96_PORT DOUT49_PORT
#define DIO96_BIT DOUT49_BIT
#define DIO96_RCCEN DOUT49_RCCEN
#define DIO96_GPIO DOUT49_GPIO
#endif</v>
      </c>
      <c r="F98" s="11"/>
      <c r="G98" s="11"/>
      <c r="H98" s="9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0</v>
      </c>
      <c r="E99" s="9" t="str">
        <f t="shared" si="8"/>
        <v>#if (defined(LIMIT_X_PORT) &amp;&amp; defined(LIMIT_X_BIT))
#define LIMIT_X 100
#define LIMIT_X_RCCEN (__rccgpioen__(LIMIT_X_PORT))
#define LIMIT_X_GPIO (__gpio__(LIMIT_X_PORT))
#define DIO100 100
#define DIO100_PORT LIMIT_X_PORT
#define DIO100_BIT LIMIT_X_BIT
#define DIO100_RCCEN LIMIT_X_RCCEN
#define DIO100_GPIO LIMIT_X_GPIO
#endif</v>
      </c>
      <c r="F99" s="12" t="str">
        <f>"#if (defined("&amp;C99&amp;"_ISR) &amp;&amp; defined("&amp;C99&amp;"))
#define "&amp;C99&amp;"_EXTIREG ("&amp;C99&amp;"_BIT &gt;&gt; 2)
#define "&amp;C99&amp;"_EXTIBITMASK (1&lt;&lt;"&amp;C99&amp;"_BIT)
#define "&amp;C99&amp;"_IRQ EXTIRQ("&amp;C99&amp;"_BIT)
#define "&amp;C99&amp;"_EXTIVAL ((EXTINT("&amp;C99&amp;"_PORT)) &lt;&lt; (("&amp;C99&amp;"_BIT &amp; 0x03)&lt;&lt;2))
#define "&amp;B99&amp;"_EXTIREG "&amp;C99&amp;"_EXTIREG
#define "&amp;B99&amp;"_EXTIVAL "&amp;C99&amp;"_EXTIVAL
#define "&amp;B99&amp;"_IRQ "&amp;C99&amp;"_IRQ
#define "&amp;B99&amp;"_EXTIBITMASK "&amp;C99&amp;"_EXTIBITMASK
#else
#define "&amp;C99&amp;"_EXTIMASK 0
#define "&amp;C99&amp;"_EXTIBITMASK 0
#endif"</f>
        <v>#if (defined(LIMIT_X_ISR) &amp;&amp; defined(LIMIT_X))
#define LIMIT_X_EXTIREG (LIMIT_X_BIT &gt;&gt; 2)
#define LIMIT_X_EXTIBITMASK (1&lt;&lt;LIMIT_X_BIT)
#define LIMIT_X_IRQ EXTIRQ(LIMIT_X_BIT)
#define LIMIT_X_EXTIVAL ((EXTINT(LIMIT_X_PORT)) &lt;&lt; ((LIMIT_X_BIT &amp; 0x03)&lt;&lt;2))
#define DIO100_EXTIREG LIMIT_X_EXTIREG
#define DIO100_EXTIVAL LIMIT_X_EXTIVAL
#define DIO100_IRQ LIMIT_X_IRQ
#define DIO100_EXTIBITMASK LIMIT_X_EXTIBITMASK
#else
#define LIMIT_X_EXTIMASK 0
#define LIMIT_X_EXTIBITMASK 0
#endif</v>
      </c>
      <c r="G99" s="9"/>
      <c r="H99" s="9"/>
      <c r="I99" s="4" t="str">
        <f t="shared" ref="I99:I112" si="9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</v>
      </c>
      <c r="E100" s="9" t="str">
        <f t="shared" si="8"/>
        <v>#if (defined(LIMIT_Y_PORT) &amp;&amp; defined(LIMIT_Y_BIT))
#define LIMIT_Y 101
#define LIMIT_Y_RCCEN (__rccgpioen__(LIMIT_Y_PORT))
#define LIMIT_Y_GPIO (__gpio__(LIMIT_Y_PORT))
#define DIO101 101
#define DIO101_PORT LIMIT_Y_PORT
#define DIO101_BIT LIMIT_Y_BIT
#define DIO101_RCCEN LIMIT_Y_RCCEN
#define DIO101_GPIO LIMIT_Y_GPIO
#endif</v>
      </c>
      <c r="F100" s="12" t="str">
        <f t="shared" ref="F100:F112" si="10">"#if (defined("&amp;C100&amp;"_ISR) &amp;&amp; defined("&amp;C100&amp;"))
#define "&amp;C100&amp;"_EXTIREG ("&amp;C100&amp;"_BIT &gt;&gt; 2)
#define "&amp;C100&amp;"_EXTIBITMASK (1&lt;&lt;"&amp;C100&amp;"_BIT)
#define "&amp;C100&amp;"_IRQ EXTIRQ("&amp;C100&amp;"_BIT)
#define "&amp;C100&amp;"_EXTIVAL ((EXTINT("&amp;C100&amp;"_PORT)) &lt;&lt; (("&amp;C100&amp;"_BIT &amp; 0x03)&lt;&lt;2))
#define "&amp;B100&amp;"_EXTIREG "&amp;C100&amp;"_EXTIREG
#define "&amp;B100&amp;"_EXTIVAL "&amp;C100&amp;"_EXTIVAL
#define "&amp;B100&amp;"_IRQ "&amp;C100&amp;"_IRQ
#define "&amp;B100&amp;"_EXTIBITMASK "&amp;C100&amp;"_EXTIBITMASK
#else
#define "&amp;C100&amp;"_EXTIMASK 0
#define "&amp;C100&amp;"_EXTIBITMASK 0
#endif"</f>
        <v>#if (defined(LIMIT_Y_ISR) &amp;&amp; defined(LIMIT_Y))
#define LIMIT_Y_EXTIREG (LIMIT_Y_BIT &gt;&gt; 2)
#define LIMIT_Y_EXTIBITMASK (1&lt;&lt;LIMIT_Y_BIT)
#define LIMIT_Y_IRQ EXTIRQ(LIMIT_Y_BIT)
#define LIMIT_Y_EXTIVAL ((EXTINT(LIMIT_Y_PORT)) &lt;&lt; ((LIMIT_Y_BIT &amp; 0x03)&lt;&lt;2))
#define DIO101_EXTIREG LIMIT_Y_EXTIREG
#define DIO101_EXTIVAL LIMIT_Y_EXTIVAL
#define DIO101_IRQ LIMIT_Y_IRQ
#define DIO101_EXTIBITMASK LIMIT_Y_EXTIBITMASK
#else
#define LIMIT_Y_EXTIMASK 0
#define LIMIT_Y_EXTIBITMASK 0
#endif</v>
      </c>
      <c r="G100" s="9"/>
      <c r="H100" s="9"/>
      <c r="I100" s="4" t="str">
        <f t="shared" si="9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2</v>
      </c>
      <c r="E101" s="9" t="str">
        <f t="shared" si="8"/>
        <v>#if (defined(LIMIT_Z_PORT) &amp;&amp; defined(LIMIT_Z_BIT))
#define LIMIT_Z 102
#define LIMIT_Z_RCCEN (__rccgpioen__(LIMIT_Z_PORT))
#define LIMIT_Z_GPIO (__gpio__(LIMIT_Z_PORT))
#define DIO102 102
#define DIO102_PORT LIMIT_Z_PORT
#define DIO102_BIT LIMIT_Z_BIT
#define DIO102_RCCEN LIMIT_Z_RCCEN
#define DIO102_GPIO LIMIT_Z_GPIO
#endif</v>
      </c>
      <c r="F101" s="12" t="str">
        <f t="shared" si="10"/>
        <v>#if (defined(LIMIT_Z_ISR) &amp;&amp; defined(LIMIT_Z))
#define LIMIT_Z_EXTIREG (LIMIT_Z_BIT &gt;&gt; 2)
#define LIMIT_Z_EXTIBITMASK (1&lt;&lt;LIMIT_Z_BIT)
#define LIMIT_Z_IRQ EXTIRQ(LIMIT_Z_BIT)
#define LIMIT_Z_EXTIVAL ((EXTINT(LIMIT_Z_PORT)) &lt;&lt; ((LIMIT_Z_BIT &amp; 0x03)&lt;&lt;2))
#define DIO102_EXTIREG LIMIT_Z_EXTIREG
#define DIO102_EXTIVAL LIMIT_Z_EXTIVAL
#define DIO102_IRQ LIMIT_Z_IRQ
#define DIO102_EXTIBITMASK LIMIT_Z_EXTIBITMASK
#else
#define LIMIT_Z_EXTIMASK 0
#define LIMIT_Z_EXTIBITMASK 0
#endif</v>
      </c>
      <c r="G101" s="9"/>
      <c r="H101" s="9"/>
      <c r="I101" s="4" t="str">
        <f t="shared" si="9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3</v>
      </c>
      <c r="E102" s="9" t="str">
        <f t="shared" si="8"/>
        <v>#if (defined(LIMIT_X2_PORT) &amp;&amp; defined(LIMIT_X2_BIT))
#define LIMIT_X2 103
#define LIMIT_X2_RCCEN (__rccgpioen__(LIMIT_X2_PORT))
#define LIMIT_X2_GPIO (__gpio__(LIMIT_X2_PORT))
#define DIO103 103
#define DIO103_PORT LIMIT_X2_PORT
#define DIO103_BIT LIMIT_X2_BIT
#define DIO103_RCCEN LIMIT_X2_RCCEN
#define DIO103_GPIO LIMIT_X2_GPIO
#endif</v>
      </c>
      <c r="F102" s="12" t="str">
        <f t="shared" si="10"/>
        <v>#if (defined(LIMIT_X2_ISR) &amp;&amp; defined(LIMIT_X2))
#define LIMIT_X2_EXTIREG (LIMIT_X2_BIT &gt;&gt; 2)
#define LIMIT_X2_EXTIBITMASK (1&lt;&lt;LIMIT_X2_BIT)
#define LIMIT_X2_IRQ EXTIRQ(LIMIT_X2_BIT)
#define LIMIT_X2_EXTIVAL ((EXTINT(LIMIT_X2_PORT)) &lt;&lt; ((LIMIT_X2_BIT &amp; 0x03)&lt;&lt;2))
#define DIO103_EXTIREG LIMIT_X2_EXTIREG
#define DIO103_EXTIVAL LIMIT_X2_EXTIVAL
#define DIO103_IRQ LIMIT_X2_IRQ
#define DIO103_EXTIBITMASK LIMIT_X2_EXTIBITMASK
#else
#define LIMIT_X2_EXTIMASK 0
#define LIMIT_X2_EXTIBITMASK 0
#endif</v>
      </c>
      <c r="G102" s="9"/>
      <c r="H102" s="9"/>
      <c r="I102" s="4" t="str">
        <f t="shared" si="9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4</v>
      </c>
      <c r="E103" s="9" t="str">
        <f t="shared" si="8"/>
        <v>#if (defined(LIMIT_Y2_PORT) &amp;&amp; defined(LIMIT_Y2_BIT))
#define LIMIT_Y2 104
#define LIMIT_Y2_RCCEN (__rccgpioen__(LIMIT_Y2_PORT))
#define LIMIT_Y2_GPIO (__gpio__(LIMIT_Y2_PORT))
#define DIO104 104
#define DIO104_PORT LIMIT_Y2_PORT
#define DIO104_BIT LIMIT_Y2_BIT
#define DIO104_RCCEN LIMIT_Y2_RCCEN
#define DIO104_GPIO LIMIT_Y2_GPIO
#endif</v>
      </c>
      <c r="F103" s="12" t="str">
        <f t="shared" si="10"/>
        <v>#if (defined(LIMIT_Y2_ISR) &amp;&amp; defined(LIMIT_Y2))
#define LIMIT_Y2_EXTIREG (LIMIT_Y2_BIT &gt;&gt; 2)
#define LIMIT_Y2_EXTIBITMASK (1&lt;&lt;LIMIT_Y2_BIT)
#define LIMIT_Y2_IRQ EXTIRQ(LIMIT_Y2_BIT)
#define LIMIT_Y2_EXTIVAL ((EXTINT(LIMIT_Y2_PORT)) &lt;&lt; ((LIMIT_Y2_BIT &amp; 0x03)&lt;&lt;2))
#define DIO104_EXTIREG LIMIT_Y2_EXTIREG
#define DIO104_EXTIVAL LIMIT_Y2_EXTIVAL
#define DIO104_IRQ LIMIT_Y2_IRQ
#define DIO104_EXTIBITMASK LIMIT_Y2_EXTIBITMASK
#else
#define LIMIT_Y2_EXTIMASK 0
#define LIMIT_Y2_EXTIBITMASK 0
#endif</v>
      </c>
      <c r="G103" s="9"/>
      <c r="H103" s="9"/>
      <c r="I103" s="4" t="str">
        <f t="shared" si="9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5</v>
      </c>
      <c r="E104" s="9" t="str">
        <f t="shared" si="8"/>
        <v>#if (defined(LIMIT_Z2_PORT) &amp;&amp; defined(LIMIT_Z2_BIT))
#define LIMIT_Z2 105
#define LIMIT_Z2_RCCEN (__rccgpioen__(LIMIT_Z2_PORT))
#define LIMIT_Z2_GPIO (__gpio__(LIMIT_Z2_PORT))
#define DIO105 105
#define DIO105_PORT LIMIT_Z2_PORT
#define DIO105_BIT LIMIT_Z2_BIT
#define DIO105_RCCEN LIMIT_Z2_RCCEN
#define DIO105_GPIO LIMIT_Z2_GPIO
#endif</v>
      </c>
      <c r="F104" s="12" t="str">
        <f t="shared" si="10"/>
        <v>#if (defined(LIMIT_Z2_ISR) &amp;&amp; defined(LIMIT_Z2))
#define LIMIT_Z2_EXTIREG (LIMIT_Z2_BIT &gt;&gt; 2)
#define LIMIT_Z2_EXTIBITMASK (1&lt;&lt;LIMIT_Z2_BIT)
#define LIMIT_Z2_IRQ EXTIRQ(LIMIT_Z2_BIT)
#define LIMIT_Z2_EXTIVAL ((EXTINT(LIMIT_Z2_PORT)) &lt;&lt; ((LIMIT_Z2_BIT &amp; 0x03)&lt;&lt;2))
#define DIO105_EXTIREG LIMIT_Z2_EXTIREG
#define DIO105_EXTIVAL LIMIT_Z2_EXTIVAL
#define DIO105_IRQ LIMIT_Z2_IRQ
#define DIO105_EXTIBITMASK LIMIT_Z2_EXTIBITMASK
#else
#define LIMIT_Z2_EXTIMASK 0
#define LIMIT_Z2_EXTIBITMASK 0
#endif</v>
      </c>
      <c r="G104" s="9"/>
      <c r="H104" s="9"/>
      <c r="I104" s="4" t="str">
        <f t="shared" si="9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6</v>
      </c>
      <c r="E105" s="9" t="str">
        <f t="shared" si="8"/>
        <v>#if (defined(LIMIT_A_PORT) &amp;&amp; defined(LIMIT_A_BIT))
#define LIMIT_A 106
#define LIMIT_A_RCCEN (__rccgpioen__(LIMIT_A_PORT))
#define LIMIT_A_GPIO (__gpio__(LIMIT_A_PORT))
#define DIO106 106
#define DIO106_PORT LIMIT_A_PORT
#define DIO106_BIT LIMIT_A_BIT
#define DIO106_RCCEN LIMIT_A_RCCEN
#define DIO106_GPIO LIMIT_A_GPIO
#endif</v>
      </c>
      <c r="F105" s="12" t="str">
        <f t="shared" si="10"/>
        <v>#if (defined(LIMIT_A_ISR) &amp;&amp; defined(LIMIT_A))
#define LIMIT_A_EXTIREG (LIMIT_A_BIT &gt;&gt; 2)
#define LIMIT_A_EXTIBITMASK (1&lt;&lt;LIMIT_A_BIT)
#define LIMIT_A_IRQ EXTIRQ(LIMIT_A_BIT)
#define LIMIT_A_EXTIVAL ((EXTINT(LIMIT_A_PORT)) &lt;&lt; ((LIMIT_A_BIT &amp; 0x03)&lt;&lt;2))
#define DIO106_EXTIREG LIMIT_A_EXTIREG
#define DIO106_EXTIVAL LIMIT_A_EXTIVAL
#define DIO106_IRQ LIMIT_A_IRQ
#define DIO106_EXTIBITMASK LIMIT_A_EXTIBITMASK
#else
#define LIMIT_A_EXTIMASK 0
#define LIMIT_A_EXTIBITMASK 0
#endif</v>
      </c>
      <c r="G105" s="9"/>
      <c r="H105" s="9"/>
      <c r="I105" s="4" t="str">
        <f t="shared" si="9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7</v>
      </c>
      <c r="E106" s="9" t="str">
        <f t="shared" si="8"/>
        <v>#if (defined(LIMIT_B_PORT) &amp;&amp; defined(LIMIT_B_BIT))
#define LIMIT_B 107
#define LIMIT_B_RCCEN (__rccgpioen__(LIMIT_B_PORT))
#define LIMIT_B_GPIO (__gpio__(LIMIT_B_PORT))
#define DIO107 107
#define DIO107_PORT LIMIT_B_PORT
#define DIO107_BIT LIMIT_B_BIT
#define DIO107_RCCEN LIMIT_B_RCCEN
#define DIO107_GPIO LIMIT_B_GPIO
#endif</v>
      </c>
      <c r="F106" s="12" t="str">
        <f t="shared" si="10"/>
        <v>#if (defined(LIMIT_B_ISR) &amp;&amp; defined(LIMIT_B))
#define LIMIT_B_EXTIREG (LIMIT_B_BIT &gt;&gt; 2)
#define LIMIT_B_EXTIBITMASK (1&lt;&lt;LIMIT_B_BIT)
#define LIMIT_B_IRQ EXTIRQ(LIMIT_B_BIT)
#define LIMIT_B_EXTIVAL ((EXTINT(LIMIT_B_PORT)) &lt;&lt; ((LIMIT_B_BIT &amp; 0x03)&lt;&lt;2))
#define DIO107_EXTIREG LIMIT_B_EXTIREG
#define DIO107_EXTIVAL LIMIT_B_EXTIVAL
#define DIO107_IRQ LIMIT_B_IRQ
#define DIO107_EXTIBITMASK LIMIT_B_EXTIBITMASK
#else
#define LIMIT_B_EXTIMASK 0
#define LIMIT_B_EXTIBITMASK 0
#endif</v>
      </c>
      <c r="G106" s="9"/>
      <c r="H106" s="9"/>
      <c r="I106" s="4" t="str">
        <f t="shared" si="9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8</v>
      </c>
      <c r="E107" s="9" t="str">
        <f t="shared" si="8"/>
        <v>#if (defined(LIMIT_C_PORT) &amp;&amp; defined(LIMIT_C_BIT))
#define LIMIT_C 108
#define LIMIT_C_RCCEN (__rccgpioen__(LIMIT_C_PORT))
#define LIMIT_C_GPIO (__gpio__(LIMIT_C_PORT))
#define DIO108 108
#define DIO108_PORT LIMIT_C_PORT
#define DIO108_BIT LIMIT_C_BIT
#define DIO108_RCCEN LIMIT_C_RCCEN
#define DIO108_GPIO LIMIT_C_GPIO
#endif</v>
      </c>
      <c r="F107" s="12" t="str">
        <f t="shared" si="10"/>
        <v>#if (defined(LIMIT_C_ISR) &amp;&amp; defined(LIMIT_C))
#define LIMIT_C_EXTIREG (LIMIT_C_BIT &gt;&gt; 2)
#define LIMIT_C_EXTIBITMASK (1&lt;&lt;LIMIT_C_BIT)
#define LIMIT_C_IRQ EXTIRQ(LIMIT_C_BIT)
#define LIMIT_C_EXTIVAL ((EXTINT(LIMIT_C_PORT)) &lt;&lt; ((LIMIT_C_BIT &amp; 0x03)&lt;&lt;2))
#define DIO108_EXTIREG LIMIT_C_EXTIREG
#define DIO108_EXTIVAL LIMIT_C_EXTIVAL
#define DIO108_IRQ LIMIT_C_IRQ
#define DIO108_EXTIBITMASK LIMIT_C_EXTIBITMASK
#else
#define LIMIT_C_EXTIMASK 0
#define LIMIT_C_EXTIBITMASK 0
#endif</v>
      </c>
      <c r="G107" s="9"/>
      <c r="H107" s="9"/>
      <c r="I107" s="4" t="str">
        <f t="shared" si="9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0</v>
      </c>
      <c r="E108" s="9" t="str">
        <f t="shared" si="8"/>
        <v>#if (defined(PROBE_PORT) &amp;&amp; defined(PROBE_BIT))
#define PROBE 109
#define PROBE_RCCEN (__rccgpioen__(PROBE_PORT))
#define PROBE_GPIO (__gpio__(PROBE_PORT))
#define DIO109 109
#define DIO109_PORT PROBE_PORT
#define DIO109_BIT PROBE_BIT
#define DIO109_RCCEN PROBE_RCCEN
#define DIO109_GPIO PROBE_GPIO
#endif</v>
      </c>
      <c r="F108" s="12" t="str">
        <f t="shared" si="10"/>
        <v>#if (defined(PROBE_ISR) &amp;&amp; defined(PROBE))
#define PROBE_EXTIREG (PROBE_BIT &gt;&gt; 2)
#define PROBE_EXTIBITMASK (1&lt;&lt;PROBE_BIT)
#define PROBE_IRQ EXTIRQ(PROBE_BIT)
#define PROBE_EXTIVAL ((EXTINT(PROBE_PORT)) &lt;&lt; ((PROBE_BIT &amp; 0x03)&lt;&lt;2))
#define DIO109_EXTIREG PROBE_EXTIREG
#define DIO109_EXTIVAL PROBE_EXTIVAL
#define DIO109_IRQ PROBE_IRQ
#define DIO109_EXTIBITMASK PROBE_EXTIBITMASK
#else
#define PROBE_EXTIMASK 0
#define PROBE_EXTIBITMASK 0
#endif</v>
      </c>
      <c r="G108" s="9"/>
      <c r="H108" s="9"/>
      <c r="I108" s="4" t="str">
        <f t="shared" si="9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0</v>
      </c>
      <c r="E109" s="9" t="str">
        <f t="shared" si="8"/>
        <v>#if (defined(ESTOP_PORT) &amp;&amp; defined(ESTOP_BIT))
#define ESTOP 110
#define ESTOP_RCCEN (__rccgpioen__(ESTOP_PORT))
#define ESTOP_GPIO (__gpio__(ESTOP_PORT))
#define DIO110 110
#define DIO110_PORT ESTOP_PORT
#define DIO110_BIT ESTOP_BIT
#define DIO110_RCCEN ESTOP_RCCEN
#define DIO110_GPIO ESTOP_GPIO
#endif</v>
      </c>
      <c r="F109" s="12" t="str">
        <f t="shared" si="10"/>
        <v>#if (defined(ESTOP_ISR) &amp;&amp; defined(ESTOP))
#define ESTOP_EXTIREG (ESTOP_BIT &gt;&gt; 2)
#define ESTOP_EXTIBITMASK (1&lt;&lt;ESTOP_BIT)
#define ESTOP_IRQ EXTIRQ(ESTOP_BIT)
#define ESTOP_EXTIVAL ((EXTINT(ESTOP_PORT)) &lt;&lt; ((ESTOP_BIT &amp; 0x03)&lt;&lt;2))
#define DIO110_EXTIREG ESTOP_EXTIREG
#define DIO110_EXTIVAL ESTOP_EXTIVAL
#define DIO110_IRQ ESTOP_IRQ
#define DIO110_EXTIBITMASK ESTOP_EXTIBITMASK
#else
#define ESTOP_EXTIMASK 0
#define ESTOP_EXTIBITMASK 0
#endif</v>
      </c>
      <c r="G109" s="9"/>
      <c r="H109" s="10"/>
      <c r="I109" s="4" t="str">
        <f t="shared" si="9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1</v>
      </c>
      <c r="E110" s="9" t="str">
        <f t="shared" si="8"/>
        <v>#if (defined(SAFETY_DOOR_PORT) &amp;&amp; defined(SAFETY_DOOR_BIT))
#define SAFETY_DOOR 111
#define SAFETY_DOOR_RCCEN (__rccgpioen__(SAFETY_DOOR_PORT))
#define SAFETY_DOOR_GPIO (__gpio__(SAFETY_DOOR_PORT))
#define DIO111 111
#define DIO111_PORT SAFETY_DOOR_PORT
#define DIO111_BIT SAFETY_DOOR_BIT
#define DIO111_RCCEN SAFETY_DOOR_RCCEN
#define DIO111_GPIO SAFETY_DOOR_GPIO
#endif</v>
      </c>
      <c r="F110" s="12" t="str">
        <f t="shared" si="10"/>
        <v>#if (defined(SAFETY_DOOR_ISR) &amp;&amp; defined(SAFETY_DOOR))
#define SAFETY_DOOR_EXTIREG (SAFETY_DOOR_BIT &gt;&gt; 2)
#define SAFETY_DOOR_EXTIBITMASK (1&lt;&lt;SAFETY_DOOR_BIT)
#define SAFETY_DOOR_IRQ EXTIRQ(SAFETY_DOOR_BIT)
#define SAFETY_DOOR_EXTIVAL ((EXTINT(SAFETY_DOOR_PORT)) &lt;&lt; ((SAFETY_DOOR_BIT &amp; 0x03)&lt;&lt;2))
#define DIO111_EXTIREG SAFETY_DOOR_EXTIREG
#define DIO111_EXTIVAL SAFETY_DOOR_EXTIVAL
#define DIO111_IRQ SAFETY_DOOR_IRQ
#define DIO111_EXTIBITMASK SAFETY_DOOR_EXTIBITMASK
#else
#define SAFETY_DOOR_EXTIMASK 0
#define SAFETY_DOOR_EXTIBITMASK 0
#endif</v>
      </c>
      <c r="G110" s="9"/>
      <c r="H110" s="10"/>
      <c r="I110" s="4" t="str">
        <f t="shared" si="9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2</v>
      </c>
      <c r="E111" s="9" t="str">
        <f t="shared" si="8"/>
        <v>#if (defined(FHOLD_PORT) &amp;&amp; defined(FHOLD_BIT))
#define FHOLD 112
#define FHOLD_RCCEN (__rccgpioen__(FHOLD_PORT))
#define FHOLD_GPIO (__gpio__(FHOLD_PORT))
#define DIO112 112
#define DIO112_PORT FHOLD_PORT
#define DIO112_BIT FHOLD_BIT
#define DIO112_RCCEN FHOLD_RCCEN
#define DIO112_GPIO FHOLD_GPIO
#endif</v>
      </c>
      <c r="F111" s="12" t="str">
        <f t="shared" si="10"/>
        <v>#if (defined(FHOLD_ISR) &amp;&amp; defined(FHOLD))
#define FHOLD_EXTIREG (FHOLD_BIT &gt;&gt; 2)
#define FHOLD_EXTIBITMASK (1&lt;&lt;FHOLD_BIT)
#define FHOLD_IRQ EXTIRQ(FHOLD_BIT)
#define FHOLD_EXTIVAL ((EXTINT(FHOLD_PORT)) &lt;&lt; ((FHOLD_BIT &amp; 0x03)&lt;&lt;2))
#define DIO112_EXTIREG FHOLD_EXTIREG
#define DIO112_EXTIVAL FHOLD_EXTIVAL
#define DIO112_IRQ FHOLD_IRQ
#define DIO112_EXTIBITMASK FHOLD_EXTIBITMASK
#else
#define FHOLD_EXTIMASK 0
#define FHOLD_EXTIBITMASK 0
#endif</v>
      </c>
      <c r="G111" s="9"/>
      <c r="H111" s="10"/>
      <c r="I111" s="4" t="str">
        <f t="shared" si="9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3</v>
      </c>
      <c r="E112" s="9" t="str">
        <f t="shared" si="8"/>
        <v>#if (defined(CS_RES_PORT) &amp;&amp; defined(CS_RES_BIT))
#define CS_RES 113
#define CS_RES_RCCEN (__rccgpioen__(CS_RES_PORT))
#define CS_RES_GPIO (__gpio__(CS_RES_PORT))
#define DIO113 113
#define DIO113_PORT CS_RES_PORT
#define DIO113_BIT CS_RES_BIT
#define DIO113_RCCEN CS_RES_RCCEN
#define DIO113_GPIO CS_RES_GPIO
#endif</v>
      </c>
      <c r="F112" s="12" t="str">
        <f t="shared" si="10"/>
        <v>#if (defined(CS_RES_ISR) &amp;&amp; defined(CS_RES))
#define CS_RES_EXTIREG (CS_RES_BIT &gt;&gt; 2)
#define CS_RES_EXTIBITMASK (1&lt;&lt;CS_RES_BIT)
#define CS_RES_IRQ EXTIRQ(CS_RES_BIT)
#define CS_RES_EXTIVAL ((EXTINT(CS_RES_PORT)) &lt;&lt; ((CS_RES_BIT &amp; 0x03)&lt;&lt;2))
#define DIO113_EXTIREG CS_RES_EXTIREG
#define DIO113_EXTIVAL CS_RES_EXTIVAL
#define DIO113_IRQ CS_RES_IRQ
#define DIO113_EXTIBITMASK CS_RES_EXTIBITMASK
#else
#define CS_RES_EXTIMASK 0
#define CS_RES_EXTIBITMASK 0
#endif</v>
      </c>
      <c r="G112" s="9"/>
      <c r="H112" s="11" t="s">
        <v>127</v>
      </c>
      <c r="I112" s="4" t="str">
        <f t="shared" si="9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0</v>
      </c>
      <c r="E113" s="9" t="str">
        <f t="shared" si="8"/>
        <v>#if (defined(ANALOG0_PORT) &amp;&amp; defined(ANALOG0_BIT))
#define ANALOG0 114
#define ANALOG0_RCCEN (__rccgpioen__(ANALOG0_PORT))
#define ANALOG0_GPIO (__gpio__(ANALOG0_PORT))
#define DIO114 114
#define DIO114_PORT ANALOG0_PORT
#define DIO114_BIT ANALOG0_BIT
#define DIO114_RCCEN ANALOG0_RCCEN
#define DIO114_GPIO ANALOG0_GPIO
#endif</v>
      </c>
      <c r="F113" s="10"/>
      <c r="G113" s="9"/>
      <c r="H113" s="9" t="str">
        <f>"#ifdef "&amp;C113&amp;"
#ifndef "&amp;C113&amp;"_CHANNEL
#define "&amp;C113&amp;"_CHANNEL -1
#endif
#ifndef "&amp;C113&amp;"_ADC
#define "&amp;C113&amp;"_ADC 1
#endif
#define "&amp;B113&amp;"_CHANNEL "&amp;C113&amp;"_CHANNEL
#define "&amp;B113&amp;"_ADC "&amp;C113&amp;"_ADC
#endif"</f>
        <v>#ifdef ANALOG0
#ifndef ANALOG0_CHANNEL
#define ANALOG0_CHANNEL -1
#endif
#ifndef ANALOG0_ADC
#define ANALOG0_ADC 1
#endif
#define DIO114_CHANNEL ANALOG0_CHANNEL
#define DIO114_ADC ANALOG0_ADC
#endif</v>
      </c>
      <c r="I113" s="4" t="str">
        <f t="shared" ref="I113:I128" si="11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</v>
      </c>
      <c r="E114" s="9" t="str">
        <f t="shared" si="8"/>
        <v>#if (defined(ANALOG1_PORT) &amp;&amp; defined(ANALOG1_BIT))
#define ANALOG1 115
#define ANALOG1_RCCEN (__rccgpioen__(ANALOG1_PORT))
#define ANALOG1_GPIO (__gpio__(ANALOG1_PORT))
#define DIO115 115
#define DIO115_PORT ANALOG1_PORT
#define DIO115_BIT ANALOG1_BIT
#define DIO115_RCCEN ANALOG1_RCCEN
#define DIO115_GPIO ANALOG1_GPIO
#endif</v>
      </c>
      <c r="F114" s="10"/>
      <c r="G114" s="9"/>
      <c r="H114" s="9" t="str">
        <f t="shared" ref="H114:H128" si="12">"#ifdef "&amp;C114&amp;"
#ifndef "&amp;C114&amp;"_CHANNEL
#define "&amp;C114&amp;"_CHANNEL -1
#endif
#ifndef "&amp;C114&amp;"_ADC
#define "&amp;C114&amp;"_ADC 1
#endif
#define "&amp;B114&amp;"_CHANNEL "&amp;C114&amp;"_CHANNEL
#define "&amp;B114&amp;"_ADC "&amp;C114&amp;"_ADC
#endif"</f>
        <v>#ifdef ANALOG1
#ifndef ANALOG1_CHANNEL
#define ANALOG1_CHANNEL -1
#endif
#ifndef ANALOG1_ADC
#define ANALOG1_ADC 1
#endif
#define DIO115_CHANNEL ANALOG1_CHANNEL
#define DIO115_ADC ANALOG1_ADC
#endif</v>
      </c>
      <c r="I114" s="4" t="str">
        <f t="shared" si="11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2</v>
      </c>
      <c r="E115" s="9" t="str">
        <f t="shared" si="8"/>
        <v>#if (defined(ANALOG2_PORT) &amp;&amp; defined(ANALOG2_BIT))
#define ANALOG2 116
#define ANALOG2_RCCEN (__rccgpioen__(ANALOG2_PORT))
#define ANALOG2_GPIO (__gpio__(ANALOG2_PORT))
#define DIO116 116
#define DIO116_PORT ANALOG2_PORT
#define DIO116_BIT ANALOG2_BIT
#define DIO116_RCCEN ANALOG2_RCCEN
#define DIO116_GPIO ANALOG2_GPIO
#endif</v>
      </c>
      <c r="F115" s="10"/>
      <c r="G115" s="9"/>
      <c r="H115" s="9" t="str">
        <f t="shared" si="12"/>
        <v>#ifdef ANALOG2
#ifndef ANALOG2_CHANNEL
#define ANALOG2_CHANNEL -1
#endif
#ifndef ANALOG2_ADC
#define ANALOG2_ADC 1
#endif
#define DIO116_CHANNEL ANALOG2_CHANNEL
#define DIO116_ADC ANALOG2_ADC
#endif</v>
      </c>
      <c r="I115" s="4" t="str">
        <f t="shared" si="11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3</v>
      </c>
      <c r="E116" s="9" t="str">
        <f t="shared" si="8"/>
        <v>#if (defined(ANALOG3_PORT) &amp;&amp; defined(ANALOG3_BIT))
#define ANALOG3 117
#define ANALOG3_RCCEN (__rccgpioen__(ANALOG3_PORT))
#define ANALOG3_GPIO (__gpio__(ANALOG3_PORT))
#define DIO117 117
#define DIO117_PORT ANALOG3_PORT
#define DIO117_BIT ANALOG3_BIT
#define DIO117_RCCEN ANALOG3_RCCEN
#define DIO117_GPIO ANALOG3_GPIO
#endif</v>
      </c>
      <c r="F116" s="9"/>
      <c r="G116" s="9"/>
      <c r="H116" s="9" t="str">
        <f t="shared" si="12"/>
        <v>#ifdef ANALOG3
#ifndef ANALOG3_CHANNEL
#define ANALOG3_CHANNEL -1
#endif
#ifndef ANALOG3_ADC
#define ANALOG3_ADC 1
#endif
#define DIO117_CHANNEL ANALOG3_CHANNEL
#define DIO117_ADC ANALOG3_ADC
#endif</v>
      </c>
      <c r="I116" s="4" t="str">
        <f t="shared" si="11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4</v>
      </c>
      <c r="E117" s="9" t="str">
        <f t="shared" si="8"/>
        <v>#if (defined(ANALOG4_PORT) &amp;&amp; defined(ANALOG4_BIT))
#define ANALOG4 118
#define ANALOG4_RCCEN (__rccgpioen__(ANALOG4_PORT))
#define ANALOG4_GPIO (__gpio__(ANALOG4_PORT))
#define DIO118 118
#define DIO118_PORT ANALOG4_PORT
#define DIO118_BIT ANALOG4_BIT
#define DIO118_RCCEN ANALOG4_RCCEN
#define DIO118_GPIO ANALOG4_GPIO
#endif</v>
      </c>
      <c r="F117" s="9"/>
      <c r="G117" s="9"/>
      <c r="H117" s="9" t="str">
        <f t="shared" si="12"/>
        <v>#ifdef ANALOG4
#ifndef ANALOG4_CHANNEL
#define ANALOG4_CHANNEL -1
#endif
#ifndef ANALOG4_ADC
#define ANALOG4_ADC 1
#endif
#define DIO118_CHANNEL ANALOG4_CHANNEL
#define DIO118_ADC ANALOG4_ADC
#endif</v>
      </c>
      <c r="I117" s="4" t="str">
        <f t="shared" si="11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5</v>
      </c>
      <c r="E118" s="9" t="str">
        <f t="shared" si="8"/>
        <v>#if (defined(ANALOG5_PORT) &amp;&amp; defined(ANALOG5_BIT))
#define ANALOG5 119
#define ANALOG5_RCCEN (__rccgpioen__(ANALOG5_PORT))
#define ANALOG5_GPIO (__gpio__(ANALOG5_PORT))
#define DIO119 119
#define DIO119_PORT ANALOG5_PORT
#define DIO119_BIT ANALOG5_BIT
#define DIO119_RCCEN ANALOG5_RCCEN
#define DIO119_GPIO ANALOG5_GPIO
#endif</v>
      </c>
      <c r="F118" s="9"/>
      <c r="G118" s="9"/>
      <c r="H118" s="9" t="str">
        <f t="shared" si="12"/>
        <v>#ifdef ANALOG5
#ifndef ANALOG5_CHANNEL
#define ANALOG5_CHANNEL -1
#endif
#ifndef ANALOG5_ADC
#define ANALOG5_ADC 1
#endif
#define DIO119_CHANNEL ANALOG5_CHANNEL
#define DIO119_ADC ANALOG5_ADC
#endif</v>
      </c>
      <c r="I118" s="4" t="str">
        <f t="shared" si="11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6</v>
      </c>
      <c r="E119" s="9" t="str">
        <f t="shared" si="8"/>
        <v>#if (defined(ANALOG6_PORT) &amp;&amp; defined(ANALOG6_BIT))
#define ANALOG6 120
#define ANALOG6_RCCEN (__rccgpioen__(ANALOG6_PORT))
#define ANALOG6_GPIO (__gpio__(ANALOG6_PORT))
#define DIO120 120
#define DIO120_PORT ANALOG6_PORT
#define DIO120_BIT ANALOG6_BIT
#define DIO120_RCCEN ANALOG6_RCCEN
#define DIO120_GPIO ANALOG6_GPIO
#endif</v>
      </c>
      <c r="F119" s="9"/>
      <c r="G119" s="9"/>
      <c r="H119" s="9" t="str">
        <f t="shared" si="12"/>
        <v>#ifdef ANALOG6
#ifndef ANALOG6_CHANNEL
#define ANALOG6_CHANNEL -1
#endif
#ifndef ANALOG6_ADC
#define ANALOG6_ADC 1
#endif
#define DIO120_CHANNEL ANALOG6_CHANNEL
#define DIO120_ADC ANALOG6_ADC
#endif</v>
      </c>
      <c r="I119" s="4" t="str">
        <f t="shared" si="11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4">
        <v>7</v>
      </c>
      <c r="E120" s="9" t="str">
        <f t="shared" si="8"/>
        <v>#if (defined(ANALOG7_PORT) &amp;&amp; defined(ANALOG7_BIT))
#define ANALOG7 121
#define ANALOG7_RCCEN (__rccgpioen__(ANALOG7_PORT))
#define ANALOG7_GPIO (__gpio__(ANALOG7_PORT))
#define DIO121 121
#define DIO121_PORT ANALOG7_PORT
#define DIO121_BIT ANALOG7_BIT
#define DIO121_RCCEN ANALOG7_RCCEN
#define DIO121_GPIO ANALOG7_GPIO
#endif</v>
      </c>
      <c r="F120" s="9"/>
      <c r="G120" s="9"/>
      <c r="H120" s="9" t="str">
        <f t="shared" si="12"/>
        <v>#ifdef ANALOG7
#ifndef ANALOG7_CHANNEL
#define ANALOG7_CHANNEL -1
#endif
#ifndef ANALOG7_ADC
#define ANALOG7_ADC 1
#endif
#define DIO121_CHANNEL ANALOG7_CHANNEL
#define DIO121_ADC ANALOG7_ADC
#endif</v>
      </c>
      <c r="I120" s="4" t="str">
        <f t="shared" si="11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8</v>
      </c>
      <c r="E121" s="9" t="str">
        <f t="shared" si="8"/>
        <v>#if (defined(ANALOG8_PORT) &amp;&amp; defined(ANALOG8_BIT))
#define ANALOG8 122
#define ANALOG8_RCCEN (__rccgpioen__(ANALOG8_PORT))
#define ANALOG8_GPIO (__gpio__(ANALOG8_PORT))
#define DIO122 122
#define DIO122_PORT ANALOG8_PORT
#define DIO122_BIT ANALOG8_BIT
#define DIO122_RCCEN ANALOG8_RCCEN
#define DIO122_GPIO ANALOG8_GPIO
#endif</v>
      </c>
      <c r="F121" s="9"/>
      <c r="G121" s="9"/>
      <c r="H121" s="9" t="str">
        <f t="shared" si="12"/>
        <v>#ifdef ANALOG8
#ifndef ANALOG8_CHANNEL
#define ANALOG8_CHANNEL -1
#endif
#ifndef ANALOG8_ADC
#define ANALOG8_ADC 1
#endif
#define DIO122_CHANNEL ANALOG8_CHANNEL
#define DIO122_ADC ANALOG8_ADC
#endif</v>
      </c>
      <c r="I121" s="4" t="str">
        <f t="shared" si="11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4">
        <v>9</v>
      </c>
      <c r="E122" s="9" t="str">
        <f t="shared" si="8"/>
        <v>#if (defined(ANALOG9_PORT) &amp;&amp; defined(ANALOG9_BIT))
#define ANALOG9 123
#define ANALOG9_RCCEN (__rccgpioen__(ANALOG9_PORT))
#define ANALOG9_GPIO (__gpio__(ANALOG9_PORT))
#define DIO123 123
#define DIO123_PORT ANALOG9_PORT
#define DIO123_BIT ANALOG9_BIT
#define DIO123_RCCEN ANALOG9_RCCEN
#define DIO123_GPIO ANALOG9_GPIO
#endif</v>
      </c>
      <c r="F122" s="9"/>
      <c r="G122" s="9"/>
      <c r="H122" s="9" t="str">
        <f t="shared" si="12"/>
        <v>#ifdef ANALOG9
#ifndef ANALOG9_CHANNEL
#define ANALOG9_CHANNEL -1
#endif
#ifndef ANALOG9_ADC
#define ANALOG9_ADC 1
#endif
#define DIO123_CHANNEL ANALOG9_CHANNEL
#define DIO123_ADC ANALOG9_ADC
#endif</v>
      </c>
      <c r="I122" s="4" t="str">
        <f t="shared" si="11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4">
        <v>10</v>
      </c>
      <c r="E123" s="9" t="str">
        <f t="shared" si="8"/>
        <v>#if (defined(ANALOG10_PORT) &amp;&amp; defined(ANALOG10_BIT))
#define ANALOG10 124
#define ANALOG10_RCCEN (__rccgpioen__(ANALOG10_PORT))
#define ANALOG10_GPIO (__gpio__(ANALOG10_PORT))
#define DIO124 124
#define DIO124_PORT ANALOG10_PORT
#define DIO124_BIT ANALOG10_BIT
#define DIO124_RCCEN ANALOG10_RCCEN
#define DIO124_GPIO ANALOG10_GPIO
#endif</v>
      </c>
      <c r="F123" s="9"/>
      <c r="G123" s="9"/>
      <c r="H123" s="9" t="str">
        <f t="shared" si="12"/>
        <v>#ifdef ANALOG10
#ifndef ANALOG10_CHANNEL
#define ANALOG10_CHANNEL -1
#endif
#ifndef ANALOG10_ADC
#define ANALOG10_ADC 1
#endif
#define DIO124_CHANNEL ANALOG10_CHANNEL
#define DIO124_ADC ANALOG10_ADC
#endif</v>
      </c>
      <c r="I123" s="4" t="str">
        <f t="shared" si="11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4">
        <v>11</v>
      </c>
      <c r="E124" s="9" t="str">
        <f t="shared" si="8"/>
        <v>#if (defined(ANALOG11_PORT) &amp;&amp; defined(ANALOG11_BIT))
#define ANALOG11 125
#define ANALOG11_RCCEN (__rccgpioen__(ANALOG11_PORT))
#define ANALOG11_GPIO (__gpio__(ANALOG11_PORT))
#define DIO125 125
#define DIO125_PORT ANALOG11_PORT
#define DIO125_BIT ANALOG11_BIT
#define DIO125_RCCEN ANALOG11_RCCEN
#define DIO125_GPIO ANALOG11_GPIO
#endif</v>
      </c>
      <c r="F124" s="9"/>
      <c r="G124" s="9"/>
      <c r="H124" s="9" t="str">
        <f t="shared" si="12"/>
        <v>#ifdef ANALOG11
#ifndef ANALOG11_CHANNEL
#define ANALOG11_CHANNEL -1
#endif
#ifndef ANALOG11_ADC
#define ANALOG11_ADC 1
#endif
#define DIO125_CHANNEL ANALOG11_CHANNEL
#define DIO125_ADC ANALOG11_ADC
#endif</v>
      </c>
      <c r="I124" s="4" t="str">
        <f t="shared" si="11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4">
        <v>12</v>
      </c>
      <c r="E125" s="9" t="str">
        <f t="shared" si="8"/>
        <v>#if (defined(ANALOG12_PORT) &amp;&amp; defined(ANALOG12_BIT))
#define ANALOG12 126
#define ANALOG12_RCCEN (__rccgpioen__(ANALOG12_PORT))
#define ANALOG12_GPIO (__gpio__(ANALOG12_PORT))
#define DIO126 126
#define DIO126_PORT ANALOG12_PORT
#define DIO126_BIT ANALOG12_BIT
#define DIO126_RCCEN ANALOG12_RCCEN
#define DIO126_GPIO ANALOG12_GPIO
#endif</v>
      </c>
      <c r="F125" s="9"/>
      <c r="G125" s="9"/>
      <c r="H125" s="9" t="str">
        <f t="shared" si="12"/>
        <v>#ifdef ANALOG12
#ifndef ANALOG12_CHANNEL
#define ANALOG12_CHANNEL -1
#endif
#ifndef ANALOG12_ADC
#define ANALOG12_ADC 1
#endif
#define DIO126_CHANNEL ANALOG12_CHANNEL
#define DIO126_ADC ANALOG12_ADC
#endif</v>
      </c>
      <c r="I125" s="4" t="str">
        <f t="shared" si="11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4">
        <v>13</v>
      </c>
      <c r="E126" s="9" t="str">
        <f t="shared" si="8"/>
        <v>#if (defined(ANALOG13_PORT) &amp;&amp; defined(ANALOG13_BIT))
#define ANALOG13 127
#define ANALOG13_RCCEN (__rccgpioen__(ANALOG13_PORT))
#define ANALOG13_GPIO (__gpio__(ANALOG13_PORT))
#define DIO127 127
#define DIO127_PORT ANALOG13_PORT
#define DIO127_BIT ANALOG13_BIT
#define DIO127_RCCEN ANALOG13_RCCEN
#define DIO127_GPIO ANALOG13_GPIO
#endif</v>
      </c>
      <c r="F126" s="9"/>
      <c r="G126" s="9"/>
      <c r="H126" s="9" t="str">
        <f t="shared" si="12"/>
        <v>#ifdef ANALOG13
#ifndef ANALOG13_CHANNEL
#define ANALOG13_CHANNEL -1
#endif
#ifndef ANALOG13_ADC
#define ANALOG13_ADC 1
#endif
#define DIO127_CHANNEL ANALOG13_CHANNEL
#define DIO127_ADC ANALOG13_ADC
#endif</v>
      </c>
      <c r="I126" s="4" t="str">
        <f t="shared" si="11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4">
        <v>14</v>
      </c>
      <c r="E127" s="9" t="str">
        <f t="shared" si="8"/>
        <v>#if (defined(ANALOG14_PORT) &amp;&amp; defined(ANALOG14_BIT))
#define ANALOG14 128
#define ANALOG14_RCCEN (__rccgpioen__(ANALOG14_PORT))
#define ANALOG14_GPIO (__gpio__(ANALOG14_PORT))
#define DIO128 128
#define DIO128_PORT ANALOG14_PORT
#define DIO128_BIT ANALOG14_BIT
#define DIO128_RCCEN ANALOG14_RCCEN
#define DIO128_GPIO ANALOG14_GPIO
#endif</v>
      </c>
      <c r="F127" s="9"/>
      <c r="G127" s="9"/>
      <c r="H127" s="9" t="str">
        <f t="shared" si="12"/>
        <v>#ifdef ANALOG14
#ifndef ANALOG14_CHANNEL
#define ANALOG14_CHANNEL -1
#endif
#ifndef ANALOG14_ADC
#define ANALOG14_ADC 1
#endif
#define DIO128_CHANNEL ANALOG14_CHANNEL
#define DIO128_ADC ANALOG14_ADC
#endif</v>
      </c>
      <c r="I127" s="4" t="str">
        <f t="shared" si="11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4">
        <v>15</v>
      </c>
      <c r="E128" s="9" t="str">
        <f t="shared" si="8"/>
        <v>#if (defined(ANALOG15_PORT) &amp;&amp; defined(ANALOG15_BIT))
#define ANALOG15 129
#define ANALOG15_RCCEN (__rccgpioen__(ANALOG15_PORT))
#define ANALOG15_GPIO (__gpio__(ANALOG15_PORT))
#define DIO129 129
#define DIO129_PORT ANALOG15_PORT
#define DIO129_BIT ANALOG15_BIT
#define DIO129_RCCEN ANALOG15_RCCEN
#define DIO129_GPIO ANALOG15_GPIO
#endif</v>
      </c>
      <c r="F128" s="9"/>
      <c r="G128" s="9"/>
      <c r="H128" s="9" t="str">
        <f t="shared" si="12"/>
        <v>#ifdef ANALOG15
#ifndef ANALOG15_CHANNEL
#define ANALOG15_CHANNEL -1
#endif
#ifndef ANALOG15_ADC
#define ANALOG15_ADC 1
#endif
#define DIO129_CHANNEL ANALOG15_CHANNEL
#define DIO129_ADC ANALOG15_ADC
#endif</v>
      </c>
      <c r="I128" s="4" t="str">
        <f t="shared" si="11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4">
        <v>0</v>
      </c>
      <c r="E129" s="9" t="str">
        <f t="shared" si="8"/>
        <v>#if (defined(DIN0_PORT) &amp;&amp; defined(DIN0_BIT))
#define DIN0 130
#define DIN0_RCCEN (__rccgpioen__(DIN0_PORT))
#define DIN0_GPIO (__gpio__(DIN0_PORT))
#define DIO130 130
#define DIO130_PORT DIN0_PORT
#define DIO130_BIT DIN0_BIT
#define DIO130_RCCEN DIN0_RCCEN
#define DIO130_GPIO DIN0_GPIO
#endif</v>
      </c>
      <c r="F129" s="12" t="str">
        <f t="shared" ref="F129:F138" si="13">"#if (defined("&amp;C129&amp;"_ISR) &amp;&amp; defined("&amp;C129&amp;"))
#define "&amp;C129&amp;"_EXTIREG ("&amp;C129&amp;"_BIT &gt;&gt; 2)
#define "&amp;C129&amp;"_EXTIBITMASK (1&lt;&lt;"&amp;C129&amp;"_BIT)
#define "&amp;C129&amp;"_IRQ EXTIRQ("&amp;C129&amp;"_BIT)
#define "&amp;C129&amp;"_EXTIVAL ((EXTINT("&amp;C129&amp;"_PORT)) &lt;&lt; (("&amp;C129&amp;"_BIT &amp; 0x03)&lt;&lt;2))
#define "&amp;B129&amp;"_EXTIREG "&amp;C129&amp;"_EXTIREG
#define "&amp;B129&amp;"_EXTIVAL "&amp;C129&amp;"_EXTIVAL
#define "&amp;B129&amp;"_IRQ "&amp;C129&amp;"_IRQ
#define "&amp;B129&amp;"_EXTIBITMASK "&amp;C129&amp;"_EXTIBITMASK
#else
#define "&amp;C129&amp;"_EXTIMASK 0
#define "&amp;C129&amp;"_EXTIBITMASK 0
#endif"</f>
        <v>#if (defined(DIN0_ISR) &amp;&amp; defined(DIN0))
#define DIN0_EXTIREG (DIN0_BIT &gt;&gt; 2)
#define DIN0_EXTIBITMASK (1&lt;&lt;DIN0_BIT)
#define DIN0_IRQ EXTIRQ(DIN0_BIT)
#define DIN0_EXTIVAL ((EXTINT(DIN0_PORT)) &lt;&lt; ((DIN0_BIT &amp; 0x03)&lt;&lt;2))
#define DIO130_EXTIREG DIN0_EXTIREG
#define DIO130_EXTIVAL DIN0_EXTIVAL
#define DIO130_IRQ DIN0_IRQ
#define DIO130_EXTIBITMASK DIN0_EXTIBITMASK
#else
#define DIN0_EXTIMASK 0
#define DIN0_EXTIBITMASK 0
#endif</v>
      </c>
      <c r="G129" s="9"/>
      <c r="H129" s="9"/>
      <c r="I129" s="4" t="str">
        <f t="shared" ref="I129:I138" si="14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4">
        <v>1</v>
      </c>
      <c r="E130" s="9" t="str">
        <f t="shared" si="8"/>
        <v>#if (defined(DIN1_PORT) &amp;&amp; defined(DIN1_BIT))
#define DIN1 131
#define DIN1_RCCEN (__rccgpioen__(DIN1_PORT))
#define DIN1_GPIO (__gpio__(DIN1_PORT))
#define DIO131 131
#define DIO131_PORT DIN1_PORT
#define DIO131_BIT DIN1_BIT
#define DIO131_RCCEN DIN1_RCCEN
#define DIO131_GPIO DIN1_GPIO
#endif</v>
      </c>
      <c r="F130" s="12" t="str">
        <f t="shared" si="13"/>
        <v>#if (defined(DIN1_ISR) &amp;&amp; defined(DIN1))
#define DIN1_EXTIREG (DIN1_BIT &gt;&gt; 2)
#define DIN1_EXTIBITMASK (1&lt;&lt;DIN1_BIT)
#define DIN1_IRQ EXTIRQ(DIN1_BIT)
#define DIN1_EXTIVAL ((EXTINT(DIN1_PORT)) &lt;&lt; ((DIN1_BIT &amp; 0x03)&lt;&lt;2))
#define DIO131_EXTIREG DIN1_EXTIREG
#define DIO131_EXTIVAL DIN1_EXTIVAL
#define DIO131_IRQ DIN1_IRQ
#define DIO131_EXTIBITMASK DIN1_EXTIBITMASK
#else
#define DIN1_EXTIMASK 0
#define DIN1_EXTIBITMASK 0
#endif</v>
      </c>
      <c r="G130" s="9"/>
      <c r="H130" s="9"/>
      <c r="I130" s="4" t="str">
        <f t="shared" si="14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4">
        <v>2</v>
      </c>
      <c r="E131" s="9" t="str">
        <f t="shared" si="8"/>
        <v>#if (defined(DIN2_PORT) &amp;&amp; defined(DIN2_BIT))
#define DIN2 132
#define DIN2_RCCEN (__rccgpioen__(DIN2_PORT))
#define DIN2_GPIO (__gpio__(DIN2_PORT))
#define DIO132 132
#define DIO132_PORT DIN2_PORT
#define DIO132_BIT DIN2_BIT
#define DIO132_RCCEN DIN2_RCCEN
#define DIO132_GPIO DIN2_GPIO
#endif</v>
      </c>
      <c r="F131" s="12" t="str">
        <f t="shared" si="13"/>
        <v>#if (defined(DIN2_ISR) &amp;&amp; defined(DIN2))
#define DIN2_EXTIREG (DIN2_BIT &gt;&gt; 2)
#define DIN2_EXTIBITMASK (1&lt;&lt;DIN2_BIT)
#define DIN2_IRQ EXTIRQ(DIN2_BIT)
#define DIN2_EXTIVAL ((EXTINT(DIN2_PORT)) &lt;&lt; ((DIN2_BIT &amp; 0x03)&lt;&lt;2))
#define DIO132_EXTIREG DIN2_EXTIREG
#define DIO132_EXTIVAL DIN2_EXTIVAL
#define DIO132_IRQ DIN2_IRQ
#define DIO132_EXTIBITMASK DIN2_EXTIBITMASK
#else
#define DIN2_EXTIMASK 0
#define DIN2_EXTIBITMASK 0
#endif</v>
      </c>
      <c r="G131" s="9"/>
      <c r="H131" s="9"/>
      <c r="I131" s="4" t="str">
        <f t="shared" si="14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4">
        <v>3</v>
      </c>
      <c r="E132" s="9" t="str">
        <f t="shared" ref="E132:E194" si="15">"#if (defined("&amp;C132&amp;"_PORT) &amp;&amp; defined("&amp;C132&amp;"_BIT))
#define "&amp;C132&amp;" "&amp;A132&amp;"
#define "&amp;C132&amp;"_RCCEN (__rccgpioen__("&amp;C132&amp;"_PORT))
#define "&amp;C132&amp;"_GPIO (__gpio__("&amp;C132&amp;"_PORT))
#define "&amp;B132&amp;" "&amp;A132&amp;"
#define "&amp;B132&amp;"_PORT "&amp;C132&amp;"_PORT
#define "&amp;B132&amp;"_BIT "&amp;C132&amp;"_BIT
#define "&amp;B132&amp;"_RCCEN "&amp;C132&amp;"_RCCEN
#define "&amp;B132&amp;"_GPIO "&amp;C132&amp;"_GPIO
#endif"</f>
        <v>#if (defined(DIN3_PORT) &amp;&amp; defined(DIN3_BIT))
#define DIN3 133
#define DIN3_RCCEN (__rccgpioen__(DIN3_PORT))
#define DIN3_GPIO (__gpio__(DIN3_PORT))
#define DIO133 133
#define DIO133_PORT DIN3_PORT
#define DIO133_BIT DIN3_BIT
#define DIO133_RCCEN DIN3_RCCEN
#define DIO133_GPIO DIN3_GPIO
#endif</v>
      </c>
      <c r="F132" s="12" t="str">
        <f t="shared" si="13"/>
        <v>#if (defined(DIN3_ISR) &amp;&amp; defined(DIN3))
#define DIN3_EXTIREG (DIN3_BIT &gt;&gt; 2)
#define DIN3_EXTIBITMASK (1&lt;&lt;DIN3_BIT)
#define DIN3_IRQ EXTIRQ(DIN3_BIT)
#define DIN3_EXTIVAL ((EXTINT(DIN3_PORT)) &lt;&lt; ((DIN3_BIT &amp; 0x03)&lt;&lt;2))
#define DIO133_EXTIREG DIN3_EXTIREG
#define DIO133_EXTIVAL DIN3_EXTIVAL
#define DIO133_IRQ DIN3_IRQ
#define DIO133_EXTIBITMASK DIN3_EXTIBITMASK
#else
#define DIN3_EXTIMASK 0
#define DIN3_EXTIBITMASK 0
#endif</v>
      </c>
      <c r="G132" s="9"/>
      <c r="H132" s="9"/>
      <c r="I132" s="4" t="str">
        <f t="shared" si="14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4">
        <v>4</v>
      </c>
      <c r="E133" s="9" t="str">
        <f t="shared" si="15"/>
        <v>#if (defined(DIN4_PORT) &amp;&amp; defined(DIN4_BIT))
#define DIN4 134
#define DIN4_RCCEN (__rccgpioen__(DIN4_PORT))
#define DIN4_GPIO (__gpio__(DIN4_PORT))
#define DIO134 134
#define DIO134_PORT DIN4_PORT
#define DIO134_BIT DIN4_BIT
#define DIO134_RCCEN DIN4_RCCEN
#define DIO134_GPIO DIN4_GPIO
#endif</v>
      </c>
      <c r="F133" s="12" t="str">
        <f t="shared" si="13"/>
        <v>#if (defined(DIN4_ISR) &amp;&amp; defined(DIN4))
#define DIN4_EXTIREG (DIN4_BIT &gt;&gt; 2)
#define DIN4_EXTIBITMASK (1&lt;&lt;DIN4_BIT)
#define DIN4_IRQ EXTIRQ(DIN4_BIT)
#define DIN4_EXTIVAL ((EXTINT(DIN4_PORT)) &lt;&lt; ((DIN4_BIT &amp; 0x03)&lt;&lt;2))
#define DIO134_EXTIREG DIN4_EXTIREG
#define DIO134_EXTIVAL DIN4_EXTIVAL
#define DIO134_IRQ DIN4_IRQ
#define DIO134_EXTIBITMASK DIN4_EXTIBITMASK
#else
#define DIN4_EXTIMASK 0
#define DIN4_EXTIBITMASK 0
#endif</v>
      </c>
      <c r="G133" s="9"/>
      <c r="H133" s="9"/>
      <c r="I133" s="4" t="str">
        <f t="shared" si="14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4">
        <v>5</v>
      </c>
      <c r="E134" s="9" t="str">
        <f t="shared" si="15"/>
        <v>#if (defined(DIN5_PORT) &amp;&amp; defined(DIN5_BIT))
#define DIN5 135
#define DIN5_RCCEN (__rccgpioen__(DIN5_PORT))
#define DIN5_GPIO (__gpio__(DIN5_PORT))
#define DIO135 135
#define DIO135_PORT DIN5_PORT
#define DIO135_BIT DIN5_BIT
#define DIO135_RCCEN DIN5_RCCEN
#define DIO135_GPIO DIN5_GPIO
#endif</v>
      </c>
      <c r="F134" s="12" t="str">
        <f t="shared" si="13"/>
        <v>#if (defined(DIN5_ISR) &amp;&amp; defined(DIN5))
#define DIN5_EXTIREG (DIN5_BIT &gt;&gt; 2)
#define DIN5_EXTIBITMASK (1&lt;&lt;DIN5_BIT)
#define DIN5_IRQ EXTIRQ(DIN5_BIT)
#define DIN5_EXTIVAL ((EXTINT(DIN5_PORT)) &lt;&lt; ((DIN5_BIT &amp; 0x03)&lt;&lt;2))
#define DIO135_EXTIREG DIN5_EXTIREG
#define DIO135_EXTIVAL DIN5_EXTIVAL
#define DIO135_IRQ DIN5_IRQ
#define DIO135_EXTIBITMASK DIN5_EXTIBITMASK
#else
#define DIN5_EXTIMASK 0
#define DIN5_EXTIBITMASK 0
#endif</v>
      </c>
      <c r="G134" s="9"/>
      <c r="H134" s="9"/>
      <c r="I134" s="4" t="str">
        <f t="shared" si="14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4">
        <v>6</v>
      </c>
      <c r="E135" s="9" t="str">
        <f t="shared" si="15"/>
        <v>#if (defined(DIN6_PORT) &amp;&amp; defined(DIN6_BIT))
#define DIN6 136
#define DIN6_RCCEN (__rccgpioen__(DIN6_PORT))
#define DIN6_GPIO (__gpio__(DIN6_PORT))
#define DIO136 136
#define DIO136_PORT DIN6_PORT
#define DIO136_BIT DIN6_BIT
#define DIO136_RCCEN DIN6_RCCEN
#define DIO136_GPIO DIN6_GPIO
#endif</v>
      </c>
      <c r="F135" s="12" t="str">
        <f t="shared" si="13"/>
        <v>#if (defined(DIN6_ISR) &amp;&amp; defined(DIN6))
#define DIN6_EXTIREG (DIN6_BIT &gt;&gt; 2)
#define DIN6_EXTIBITMASK (1&lt;&lt;DIN6_BIT)
#define DIN6_IRQ EXTIRQ(DIN6_BIT)
#define DIN6_EXTIVAL ((EXTINT(DIN6_PORT)) &lt;&lt; ((DIN6_BIT &amp; 0x03)&lt;&lt;2))
#define DIO136_EXTIREG DIN6_EXTIREG
#define DIO136_EXTIVAL DIN6_EXTIVAL
#define DIO136_IRQ DIN6_IRQ
#define DIO136_EXTIBITMASK DIN6_EXTIBITMASK
#else
#define DIN6_EXTIMASK 0
#define DIN6_EXTIBITMASK 0
#endif</v>
      </c>
      <c r="G135" s="9"/>
      <c r="H135" s="9"/>
      <c r="I135" s="4" t="str">
        <f t="shared" si="14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4">
        <v>7</v>
      </c>
      <c r="E136" s="9" t="str">
        <f t="shared" si="15"/>
        <v>#if (defined(DIN7_PORT) &amp;&amp; defined(DIN7_BIT))
#define DIN7 137
#define DIN7_RCCEN (__rccgpioen__(DIN7_PORT))
#define DIN7_GPIO (__gpio__(DIN7_PORT))
#define DIO137 137
#define DIO137_PORT DIN7_PORT
#define DIO137_BIT DIN7_BIT
#define DIO137_RCCEN DIN7_RCCEN
#define DIO137_GPIO DIN7_GPIO
#endif</v>
      </c>
      <c r="F136" s="12" t="str">
        <f t="shared" si="13"/>
        <v>#if (defined(DIN7_ISR) &amp;&amp; defined(DIN7))
#define DIN7_EXTIREG (DIN7_BIT &gt;&gt; 2)
#define DIN7_EXTIBITMASK (1&lt;&lt;DIN7_BIT)
#define DIN7_IRQ EXTIRQ(DIN7_BIT)
#define DIN7_EXTIVAL ((EXTINT(DIN7_PORT)) &lt;&lt; ((DIN7_BIT &amp; 0x03)&lt;&lt;2))
#define DIO137_EXTIREG DIN7_EXTIREG
#define DIO137_EXTIVAL DIN7_EXTIVAL
#define DIO137_IRQ DIN7_IRQ
#define DIO137_EXTIBITMASK DIN7_EXTIBITMASK
#else
#define DIN7_EXTIMASK 0
#define DIN7_EXTIBITMASK 0
#endif</v>
      </c>
      <c r="G136" s="9"/>
      <c r="H136" s="9"/>
      <c r="I136" s="4" t="str">
        <f t="shared" si="14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4">
        <v>8</v>
      </c>
      <c r="E137" s="9" t="str">
        <f t="shared" si="15"/>
        <v>#if (defined(DIN8_PORT) &amp;&amp; defined(DIN8_BIT))
#define DIN8 138
#define DIN8_RCCEN (__rccgpioen__(DIN8_PORT))
#define DIN8_GPIO (__gpio__(DIN8_PORT))
#define DIO138 138
#define DIO138_PORT DIN8_PORT
#define DIO138_BIT DIN8_BIT
#define DIO138_RCCEN DIN8_RCCEN
#define DIO138_GPIO DIN8_GPIO
#endif</v>
      </c>
      <c r="F137" s="12" t="str">
        <f t="shared" si="13"/>
        <v>#if (defined(DIN8_ISR) &amp;&amp; defined(DIN8))
#define DIN8_EXTIREG (DIN8_BIT &gt;&gt; 2)
#define DIN8_EXTIBITMASK (1&lt;&lt;DIN8_BIT)
#define DIN8_IRQ EXTIRQ(DIN8_BIT)
#define DIN8_EXTIVAL ((EXTINT(DIN8_PORT)) &lt;&lt; ((DIN8_BIT &amp; 0x03)&lt;&lt;2))
#define DIO138_EXTIREG DIN8_EXTIREG
#define DIO138_EXTIVAL DIN8_EXTIVAL
#define DIO138_IRQ DIN8_IRQ
#define DIO138_EXTIBITMASK DIN8_EXTIBITMASK
#else
#define DIN8_EXTIMASK 0
#define DIN8_EXTIBITMASK 0
#endif</v>
      </c>
      <c r="G137" s="9"/>
      <c r="H137" s="9"/>
      <c r="I137" s="4" t="str">
        <f t="shared" si="14"/>
        <v>#if DIN8&gt;=0
mcu_config_input(DIN8);
#ifdef DIN8_PULLUP
mcu_config_pullup(DIN8);
#endif
#ifdef DIN8_ISR
mcu_config_input_isr(DIN8);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4">
        <v>9</v>
      </c>
      <c r="E138" s="9" t="str">
        <f t="shared" si="15"/>
        <v>#if (defined(DIN9_PORT) &amp;&amp; defined(DIN9_BIT))
#define DIN9 139
#define DIN9_RCCEN (__rccgpioen__(DIN9_PORT))
#define DIN9_GPIO (__gpio__(DIN9_PORT))
#define DIO139 139
#define DIO139_PORT DIN9_PORT
#define DIO139_BIT DIN9_BIT
#define DIO139_RCCEN DIN9_RCCEN
#define DIO139_GPIO DIN9_GPIO
#endif</v>
      </c>
      <c r="F138" s="12" t="str">
        <f t="shared" si="13"/>
        <v>#if (defined(DIN9_ISR) &amp;&amp; defined(DIN9))
#define DIN9_EXTIREG (DIN9_BIT &gt;&gt; 2)
#define DIN9_EXTIBITMASK (1&lt;&lt;DIN9_BIT)
#define DIN9_IRQ EXTIRQ(DIN9_BIT)
#define DIN9_EXTIVAL ((EXTINT(DIN9_PORT)) &lt;&lt; ((DIN9_BIT &amp; 0x03)&lt;&lt;2))
#define DIO139_EXTIREG DIN9_EXTIREG
#define DIO139_EXTIVAL DIN9_EXTIVAL
#define DIO139_IRQ DIN9_IRQ
#define DIO139_EXTIBITMASK DIN9_EXTIBITMASK
#else
#define DIN9_EXTIMASK 0
#define DIN9_EXTIBITMASK 0
#endif</v>
      </c>
      <c r="G138" s="9"/>
      <c r="H138" s="9"/>
      <c r="I138" s="4" t="str">
        <f t="shared" si="14"/>
        <v>#if DIN9&gt;=0
mcu_config_input(DIN9);
#ifdef DIN9_PULLUP
mcu_config_pullup(DIN9);
#endif
#ifdef DIN9_ISR
mcu_config_input_isr(DIN9);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4">
        <v>10</v>
      </c>
      <c r="E139" s="9" t="str">
        <f t="shared" si="15"/>
        <v>#if (defined(DIN10_PORT) &amp;&amp; defined(DIN10_BIT))
#define DIN10 140
#define DIN10_RCCEN (__rccgpioen__(DIN10_PORT))
#define DIN10_GPIO (__gpio__(DIN10_PORT))
#define DIO140 140
#define DIO140_PORT DIN10_PORT
#define DIO140_BIT DIN10_BIT
#define DIO140_RCCEN DIN10_RCCEN
#define DIO140_GPIO DIN10_GPIO
#endif</v>
      </c>
      <c r="F139" s="12"/>
      <c r="G139" s="9"/>
      <c r="H139" s="9"/>
      <c r="I139" s="4" t="str">
        <f t="shared" ref="I139:I160" si="16">"#if "&amp;C139&amp;"&gt;=0
mcu_config_input("&amp;C139&amp;");
#ifdef "&amp;C139&amp;"_PULLUP
mcu_config_pullup("&amp;C139&amp;");
#endif
#endif"</f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4">
        <v>11</v>
      </c>
      <c r="E140" s="9" t="str">
        <f t="shared" si="15"/>
        <v>#if (defined(DIN11_PORT) &amp;&amp; defined(DIN11_BIT))
#define DIN11 141
#define DIN11_RCCEN (__rccgpioen__(DIN11_PORT))
#define DIN11_GPIO (__gpio__(DIN11_PORT))
#define DIO141 141
#define DIO141_PORT DIN11_PORT
#define DIO141_BIT DIN11_BIT
#define DIO141_RCCEN DIN11_RCCEN
#define DIO141_GPIO DIN11_GPIO
#endif</v>
      </c>
      <c r="F140" s="9"/>
      <c r="G140" s="9"/>
      <c r="H140" s="9"/>
      <c r="I140" s="4" t="str">
        <f t="shared" si="16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4">
        <v>12</v>
      </c>
      <c r="E141" s="9" t="str">
        <f t="shared" si="15"/>
        <v>#if (defined(DIN12_PORT) &amp;&amp; defined(DIN12_BIT))
#define DIN12 142
#define DIN12_RCCEN (__rccgpioen__(DIN12_PORT))
#define DIN12_GPIO (__gpio__(DIN12_PORT))
#define DIO142 142
#define DIO142_PORT DIN12_PORT
#define DIO142_BIT DIN12_BIT
#define DIO142_RCCEN DIN12_RCCEN
#define DIO142_GPIO DIN12_GPIO
#endif</v>
      </c>
      <c r="F141" s="9"/>
      <c r="G141" s="9"/>
      <c r="H141" s="9"/>
      <c r="I141" s="4" t="str">
        <f t="shared" si="16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4">
        <v>13</v>
      </c>
      <c r="E142" s="9" t="str">
        <f t="shared" si="15"/>
        <v>#if (defined(DIN13_PORT) &amp;&amp; defined(DIN13_BIT))
#define DIN13 143
#define DIN13_RCCEN (__rccgpioen__(DIN13_PORT))
#define DIN13_GPIO (__gpio__(DIN13_PORT))
#define DIO143 143
#define DIO143_PORT DIN13_PORT
#define DIO143_BIT DIN13_BIT
#define DIO143_RCCEN DIN13_RCCEN
#define DIO143_GPIO DIN13_GPIO
#endif</v>
      </c>
      <c r="F142" s="9"/>
      <c r="G142" s="9"/>
      <c r="H142" s="9"/>
      <c r="I142" s="4" t="str">
        <f t="shared" si="16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4">
        <v>14</v>
      </c>
      <c r="E143" s="9" t="str">
        <f t="shared" si="15"/>
        <v>#if (defined(DIN14_PORT) &amp;&amp; defined(DIN14_BIT))
#define DIN14 144
#define DIN14_RCCEN (__rccgpioen__(DIN14_PORT))
#define DIN14_GPIO (__gpio__(DIN14_PORT))
#define DIO144 144
#define DIO144_PORT DIN14_PORT
#define DIO144_BIT DIN14_BIT
#define DIO144_RCCEN DIN14_RCCEN
#define DIO144_GPIO DIN14_GPIO
#endif</v>
      </c>
      <c r="F143" s="9"/>
      <c r="G143" s="9"/>
      <c r="H143" s="9"/>
      <c r="I143" s="4" t="str">
        <f t="shared" si="16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4">
        <v>15</v>
      </c>
      <c r="E144" s="9" t="str">
        <f t="shared" si="15"/>
        <v>#if (defined(DIN15_PORT) &amp;&amp; defined(DIN15_BIT))
#define DIN15 145
#define DIN15_RCCEN (__rccgpioen__(DIN15_PORT))
#define DIN15_GPIO (__gpio__(DIN15_PORT))
#define DIO145 145
#define DIO145_PORT DIN15_PORT
#define DIO145_BIT DIN15_BIT
#define DIO145_RCCEN DIN15_RCCEN
#define DIO145_GPIO DIN15_GPIO
#endif</v>
      </c>
      <c r="F144" s="9"/>
      <c r="G144" s="9"/>
      <c r="H144" s="9"/>
      <c r="I144" s="4" t="str">
        <f t="shared" si="16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4">
        <v>16</v>
      </c>
      <c r="E145" s="9" t="str">
        <f t="shared" si="15"/>
        <v>#if (defined(DIN16_PORT) &amp;&amp; defined(DIN16_BIT))
#define DIN16 146
#define DIN16_RCCEN (__rccgpioen__(DIN16_PORT))
#define DIN16_GPIO (__gpio__(DIN16_PORT))
#define DIO146 146
#define DIO146_PORT DIN16_PORT
#define DIO146_BIT DIN16_BIT
#define DIO146_RCCEN DIN16_RCCEN
#define DIO146_GPIO DIN16_GPIO
#endif</v>
      </c>
      <c r="F145" s="9"/>
      <c r="G145" s="9"/>
      <c r="H145" s="9"/>
      <c r="I145" s="4" t="str">
        <f t="shared" si="16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4">
        <v>17</v>
      </c>
      <c r="E146" s="9" t="str">
        <f t="shared" si="15"/>
        <v>#if (defined(DIN17_PORT) &amp;&amp; defined(DIN17_BIT))
#define DIN17 147
#define DIN17_RCCEN (__rccgpioen__(DIN17_PORT))
#define DIN17_GPIO (__gpio__(DIN17_PORT))
#define DIO147 147
#define DIO147_PORT DIN17_PORT
#define DIO147_BIT DIN17_BIT
#define DIO147_RCCEN DIN17_RCCEN
#define DIO147_GPIO DIN17_GPIO
#endif</v>
      </c>
      <c r="F146" s="9"/>
      <c r="G146" s="9"/>
      <c r="H146" s="9"/>
      <c r="I146" s="4" t="str">
        <f t="shared" si="16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4">
        <v>18</v>
      </c>
      <c r="E147" s="9" t="str">
        <f t="shared" si="15"/>
        <v>#if (defined(DIN18_PORT) &amp;&amp; defined(DIN18_BIT))
#define DIN18 148
#define DIN18_RCCEN (__rccgpioen__(DIN18_PORT))
#define DIN18_GPIO (__gpio__(DIN18_PORT))
#define DIO148 148
#define DIO148_PORT DIN18_PORT
#define DIO148_BIT DIN18_BIT
#define DIO148_RCCEN DIN18_RCCEN
#define DIO148_GPIO DIN18_GPIO
#endif</v>
      </c>
      <c r="F147" s="12"/>
      <c r="G147" s="9"/>
      <c r="H147" s="9"/>
      <c r="I147" s="4" t="str">
        <f t="shared" si="16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4">
        <v>19</v>
      </c>
      <c r="E148" s="9" t="str">
        <f t="shared" si="15"/>
        <v>#if (defined(DIN19_PORT) &amp;&amp; defined(DIN19_BIT))
#define DIN19 149
#define DIN19_RCCEN (__rccgpioen__(DIN19_PORT))
#define DIN19_GPIO (__gpio__(DIN19_PORT))
#define DIO149 149
#define DIO149_PORT DIN19_PORT
#define DIO149_BIT DIN19_BIT
#define DIO149_RCCEN DIN19_RCCEN
#define DIO149_GPIO DIN19_GPIO
#endif</v>
      </c>
      <c r="F148" s="12"/>
      <c r="G148" s="9"/>
      <c r="H148" s="9"/>
      <c r="I148" s="4" t="str">
        <f t="shared" si="16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4">
        <v>20</v>
      </c>
      <c r="E149" s="9" t="str">
        <f t="shared" si="15"/>
        <v>#if (defined(DIN20_PORT) &amp;&amp; defined(DIN20_BIT))
#define DIN20 150
#define DIN20_RCCEN (__rccgpioen__(DIN20_PORT))
#define DIN20_GPIO (__gpio__(DIN20_PORT))
#define DIO150 150
#define DIO150_PORT DIN20_PORT
#define DIO150_BIT DIN20_BIT
#define DIO150_RCCEN DIN20_RCCEN
#define DIO150_GPIO DIN20_GPIO
#endif</v>
      </c>
      <c r="F149" s="12"/>
      <c r="G149" s="9"/>
      <c r="H149" s="9"/>
      <c r="I149" s="4" t="str">
        <f t="shared" si="16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4">
        <v>21</v>
      </c>
      <c r="E150" s="9" t="str">
        <f t="shared" si="15"/>
        <v>#if (defined(DIN21_PORT) &amp;&amp; defined(DIN21_BIT))
#define DIN21 151
#define DIN21_RCCEN (__rccgpioen__(DIN21_PORT))
#define DIN21_GPIO (__gpio__(DIN21_PORT))
#define DIO151 151
#define DIO151_PORT DIN21_PORT
#define DIO151_BIT DIN21_BIT
#define DIO151_RCCEN DIN21_RCCEN
#define DIO151_GPIO DIN21_GPIO
#endif</v>
      </c>
      <c r="F150" s="12"/>
      <c r="G150" s="9"/>
      <c r="H150" s="9"/>
      <c r="I150" s="4" t="str">
        <f t="shared" si="16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4">
        <v>22</v>
      </c>
      <c r="E151" s="9" t="str">
        <f t="shared" si="15"/>
        <v>#if (defined(DIN22_PORT) &amp;&amp; defined(DIN22_BIT))
#define DIN22 152
#define DIN22_RCCEN (__rccgpioen__(DIN22_PORT))
#define DIN22_GPIO (__gpio__(DIN22_PORT))
#define DIO152 152
#define DIO152_PORT DIN22_PORT
#define DIO152_BIT DIN22_BIT
#define DIO152_RCCEN DIN22_RCCEN
#define DIO152_GPIO DIN22_GPIO
#endif</v>
      </c>
      <c r="F151" s="12"/>
      <c r="G151" s="9"/>
      <c r="H151" s="9"/>
      <c r="I151" s="4" t="str">
        <f t="shared" si="16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4">
        <v>23</v>
      </c>
      <c r="E152" s="9" t="str">
        <f t="shared" si="15"/>
        <v>#if (defined(DIN23_PORT) &amp;&amp; defined(DIN23_BIT))
#define DIN23 153
#define DIN23_RCCEN (__rccgpioen__(DIN23_PORT))
#define DIN23_GPIO (__gpio__(DIN23_PORT))
#define DIO153 153
#define DIO153_PORT DIN23_PORT
#define DIO153_BIT DIN23_BIT
#define DIO153_RCCEN DIN23_RCCEN
#define DIO153_GPIO DIN23_GPIO
#endif</v>
      </c>
      <c r="F152" s="12"/>
      <c r="G152" s="9"/>
      <c r="H152" s="9"/>
      <c r="I152" s="4" t="str">
        <f t="shared" si="16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4">
        <v>24</v>
      </c>
      <c r="E153" s="9" t="str">
        <f t="shared" si="15"/>
        <v>#if (defined(DIN24_PORT) &amp;&amp; defined(DIN24_BIT))
#define DIN24 154
#define DIN24_RCCEN (__rccgpioen__(DIN24_PORT))
#define DIN24_GPIO (__gpio__(DIN24_PORT))
#define DIO154 154
#define DIO154_PORT DIN24_PORT
#define DIO154_BIT DIN24_BIT
#define DIO154_RCCEN DIN24_RCCEN
#define DIO154_GPIO DIN24_GPIO
#endif</v>
      </c>
      <c r="F153" s="12"/>
      <c r="G153" s="9"/>
      <c r="H153" s="9"/>
      <c r="I153" s="4" t="str">
        <f t="shared" si="16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4">
        <v>25</v>
      </c>
      <c r="E154" s="9" t="str">
        <f t="shared" si="15"/>
        <v>#if (defined(DIN25_PORT) &amp;&amp; defined(DIN25_BIT))
#define DIN25 155
#define DIN25_RCCEN (__rccgpioen__(DIN25_PORT))
#define DIN25_GPIO (__gpio__(DIN25_PORT))
#define DIO155 155
#define DIO155_PORT DIN25_PORT
#define DIO155_BIT DIN25_BIT
#define DIO155_RCCEN DIN25_RCCEN
#define DIO155_GPIO DIN25_GPIO
#endif</v>
      </c>
      <c r="F154" s="12"/>
      <c r="G154" s="9"/>
      <c r="H154" s="9"/>
      <c r="I154" s="4" t="str">
        <f t="shared" si="16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4">
        <v>26</v>
      </c>
      <c r="E155" s="9" t="str">
        <f t="shared" si="15"/>
        <v>#if (defined(DIN26_PORT) &amp;&amp; defined(DIN26_BIT))
#define DIN26 156
#define DIN26_RCCEN (__rccgpioen__(DIN26_PORT))
#define DIN26_GPIO (__gpio__(DIN26_PORT))
#define DIO156 156
#define DIO156_PORT DIN26_PORT
#define DIO156_BIT DIN26_BIT
#define DIO156_RCCEN DIN26_RCCEN
#define DIO156_GPIO DIN26_GPIO
#endif</v>
      </c>
      <c r="F155" s="12"/>
      <c r="G155" s="9"/>
      <c r="H155" s="9"/>
      <c r="I155" s="4" t="str">
        <f t="shared" si="16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4">
        <v>27</v>
      </c>
      <c r="E156" s="9" t="str">
        <f t="shared" si="15"/>
        <v>#if (defined(DIN27_PORT) &amp;&amp; defined(DIN27_BIT))
#define DIN27 157
#define DIN27_RCCEN (__rccgpioen__(DIN27_PORT))
#define DIN27_GPIO (__gpio__(DIN27_PORT))
#define DIO157 157
#define DIO157_PORT DIN27_PORT
#define DIO157_BIT DIN27_BIT
#define DIO157_RCCEN DIN27_RCCEN
#define DIO157_GPIO DIN27_GPIO
#endif</v>
      </c>
      <c r="F156" s="9"/>
      <c r="G156" s="9"/>
      <c r="H156" s="9"/>
      <c r="I156" s="4" t="str">
        <f t="shared" si="16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4">
        <v>28</v>
      </c>
      <c r="E157" s="9" t="str">
        <f t="shared" si="15"/>
        <v>#if (defined(DIN28_PORT) &amp;&amp; defined(DIN28_BIT))
#define DIN28 158
#define DIN28_RCCEN (__rccgpioen__(DIN28_PORT))
#define DIN28_GPIO (__gpio__(DIN28_PORT))
#define DIO158 158
#define DIO158_PORT DIN28_PORT
#define DIO158_BIT DIN28_BIT
#define DIO158_RCCEN DIN28_RCCEN
#define DIO158_GPIO DIN28_GPIO
#endif</v>
      </c>
      <c r="F157" s="9"/>
      <c r="G157" s="9"/>
      <c r="H157" s="9"/>
      <c r="I157" s="4" t="str">
        <f t="shared" si="16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4">
        <v>29</v>
      </c>
      <c r="E158" s="9" t="str">
        <f t="shared" si="15"/>
        <v>#if (defined(DIN29_PORT) &amp;&amp; defined(DIN29_BIT))
#define DIN29 159
#define DIN29_RCCEN (__rccgpioen__(DIN29_PORT))
#define DIN29_GPIO (__gpio__(DIN29_PORT))
#define DIO159 159
#define DIO159_PORT DIN29_PORT
#define DIO159_BIT DIN29_BIT
#define DIO159_RCCEN DIN29_RCCEN
#define DIO159_GPIO DIN29_GPIO
#endif</v>
      </c>
      <c r="F158" s="9"/>
      <c r="G158" s="9"/>
      <c r="H158" s="9"/>
      <c r="I158" s="4" t="str">
        <f t="shared" si="16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4">
        <v>30</v>
      </c>
      <c r="E159" s="9" t="str">
        <f t="shared" si="15"/>
        <v>#if (defined(DIN30_PORT) &amp;&amp; defined(DIN30_BIT))
#define DIN30 160
#define DIN30_RCCEN (__rccgpioen__(DIN30_PORT))
#define DIN30_GPIO (__gpio__(DIN30_PORT))
#define DIO160 160
#define DIO160_PORT DIN30_PORT
#define DIO160_BIT DIN30_BIT
#define DIO160_RCCEN DIN30_RCCEN
#define DIO160_GPIO DIN30_GPIO
#endif</v>
      </c>
      <c r="F159" s="9"/>
      <c r="G159" s="9"/>
      <c r="H159" s="9"/>
      <c r="I159" s="4" t="str">
        <f t="shared" si="16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4">
        <v>31</v>
      </c>
      <c r="E160" s="9" t="str">
        <f t="shared" si="15"/>
        <v>#if (defined(DIN31_PORT) &amp;&amp; defined(DIN31_BIT))
#define DIN31 161
#define DIN31_RCCEN (__rccgpioen__(DIN31_PORT))
#define DIN31_GPIO (__gpio__(DIN31_PORT))
#define DIO161 161
#define DIO161_PORT DIN31_PORT
#define DIO161_BIT DIN31_BIT
#define DIO161_RCCEN DIN31_RCCEN
#define DIO161_GPIO DIN31_GPIO
#endif</v>
      </c>
      <c r="F160" s="9"/>
      <c r="G160" s="9"/>
      <c r="H160" s="9"/>
      <c r="I160" s="4" t="str">
        <f t="shared" si="16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si="0"/>
        <v>DIO162</v>
      </c>
      <c r="C161" s="5" t="s">
        <v>545</v>
      </c>
      <c r="D161" s="4">
        <v>32</v>
      </c>
      <c r="E161" s="9" t="str">
        <f t="shared" si="15"/>
        <v>#if (defined(DIN32_PORT) &amp;&amp; defined(DIN32_BIT))
#define DIN32 162
#define DIN32_RCCEN (__rccgpioen__(DIN32_PORT))
#define DIN32_GPIO (__gpio__(DIN32_PORT))
#define DIO162 162
#define DIO162_PORT DIN32_PORT
#define DIO162_BIT DIN32_BIT
#define DIO162_RCCEN DIN32_RCCEN
#define DIO162_GPIO DIN32_GPIO
#endif</v>
      </c>
      <c r="F161" s="9"/>
      <c r="G161" s="9"/>
      <c r="H161" s="9"/>
      <c r="I161" s="4"/>
    </row>
    <row r="162" spans="1:9" ht="15" customHeight="1" x14ac:dyDescent="0.25">
      <c r="A162" s="4">
        <v>163</v>
      </c>
      <c r="B162" s="4" t="str">
        <f t="shared" si="0"/>
        <v>DIO163</v>
      </c>
      <c r="C162" s="5" t="s">
        <v>546</v>
      </c>
      <c r="D162" s="4">
        <v>33</v>
      </c>
      <c r="E162" s="9" t="str">
        <f t="shared" si="15"/>
        <v>#if (defined(DIN33_PORT) &amp;&amp; defined(DIN33_BIT))
#define DIN33 163
#define DIN33_RCCEN (__rccgpioen__(DIN33_PORT))
#define DIN33_GPIO (__gpio__(DIN33_PORT))
#define DIO163 163
#define DIO163_PORT DIN33_PORT
#define DIO163_BIT DIN33_BIT
#define DIO163_RCCEN DIN33_RCCEN
#define DIO163_GPIO DIN33_GPIO
#endif</v>
      </c>
      <c r="F162" s="9"/>
      <c r="G162" s="9"/>
      <c r="H162" s="9"/>
      <c r="I162" s="4"/>
    </row>
    <row r="163" spans="1:9" ht="15" customHeight="1" x14ac:dyDescent="0.25">
      <c r="A163" s="4">
        <v>164</v>
      </c>
      <c r="B163" s="4" t="str">
        <f t="shared" si="0"/>
        <v>DIO164</v>
      </c>
      <c r="C163" s="5" t="s">
        <v>547</v>
      </c>
      <c r="D163" s="4">
        <v>34</v>
      </c>
      <c r="E163" s="9" t="str">
        <f t="shared" si="15"/>
        <v>#if (defined(DIN34_PORT) &amp;&amp; defined(DIN34_BIT))
#define DIN34 164
#define DIN34_RCCEN (__rccgpioen__(DIN34_PORT))
#define DIN34_GPIO (__gpio__(DIN34_PORT))
#define DIO164 164
#define DIO164_PORT DIN34_PORT
#define DIO164_BIT DIN34_BIT
#define DIO164_RCCEN DIN34_RCCEN
#define DIO164_GPIO DIN34_GPIO
#endif</v>
      </c>
      <c r="F163" s="9"/>
      <c r="G163" s="9"/>
      <c r="H163" s="9"/>
      <c r="I163" s="4"/>
    </row>
    <row r="164" spans="1:9" ht="15" customHeight="1" x14ac:dyDescent="0.25">
      <c r="A164" s="4">
        <v>165</v>
      </c>
      <c r="B164" s="4" t="str">
        <f t="shared" si="0"/>
        <v>DIO165</v>
      </c>
      <c r="C164" s="5" t="s">
        <v>548</v>
      </c>
      <c r="D164" s="4">
        <v>35</v>
      </c>
      <c r="E164" s="9" t="str">
        <f t="shared" si="15"/>
        <v>#if (defined(DIN35_PORT) &amp;&amp; defined(DIN35_BIT))
#define DIN35 165
#define DIN35_RCCEN (__rccgpioen__(DIN35_PORT))
#define DIN35_GPIO (__gpio__(DIN35_PORT))
#define DIO165 165
#define DIO165_PORT DIN35_PORT
#define DIO165_BIT DIN35_BIT
#define DIO165_RCCEN DIN35_RCCEN
#define DIO165_GPIO DIN35_GPIO
#endif</v>
      </c>
      <c r="F164" s="9"/>
      <c r="G164" s="9"/>
      <c r="H164" s="9"/>
      <c r="I164" s="4"/>
    </row>
    <row r="165" spans="1:9" ht="15" customHeight="1" x14ac:dyDescent="0.25">
      <c r="A165" s="4">
        <v>166</v>
      </c>
      <c r="B165" s="4" t="str">
        <f t="shared" si="0"/>
        <v>DIO166</v>
      </c>
      <c r="C165" s="5" t="s">
        <v>549</v>
      </c>
      <c r="D165" s="4">
        <v>36</v>
      </c>
      <c r="E165" s="9" t="str">
        <f t="shared" si="15"/>
        <v>#if (defined(DIN36_PORT) &amp;&amp; defined(DIN36_BIT))
#define DIN36 166
#define DIN36_RCCEN (__rccgpioen__(DIN36_PORT))
#define DIN36_GPIO (__gpio__(DIN36_PORT))
#define DIO166 166
#define DIO166_PORT DIN36_PORT
#define DIO166_BIT DIN36_BIT
#define DIO166_RCCEN DIN36_RCCEN
#define DIO166_GPIO DIN36_GPIO
#endif</v>
      </c>
      <c r="F165" s="9"/>
      <c r="G165" s="9"/>
      <c r="H165" s="9"/>
      <c r="I165" s="4"/>
    </row>
    <row r="166" spans="1:9" ht="15" customHeight="1" x14ac:dyDescent="0.25">
      <c r="A166" s="4">
        <v>167</v>
      </c>
      <c r="B166" s="4" t="str">
        <f t="shared" si="0"/>
        <v>DIO167</v>
      </c>
      <c r="C166" s="5" t="s">
        <v>550</v>
      </c>
      <c r="D166" s="4">
        <v>37</v>
      </c>
      <c r="E166" s="9" t="str">
        <f t="shared" si="15"/>
        <v>#if (defined(DIN37_PORT) &amp;&amp; defined(DIN37_BIT))
#define DIN37 167
#define DIN37_RCCEN (__rccgpioen__(DIN37_PORT))
#define DIN37_GPIO (__gpio__(DIN37_PORT))
#define DIO167 167
#define DIO167_PORT DIN37_PORT
#define DIO167_BIT DIN37_BIT
#define DIO167_RCCEN DIN37_RCCEN
#define DIO167_GPIO DIN37_GPIO
#endif</v>
      </c>
      <c r="F166" s="9"/>
      <c r="G166" s="9"/>
      <c r="H166" s="9"/>
      <c r="I166" s="4"/>
    </row>
    <row r="167" spans="1:9" ht="15" customHeight="1" x14ac:dyDescent="0.25">
      <c r="A167" s="4">
        <v>168</v>
      </c>
      <c r="B167" s="4" t="str">
        <f t="shared" si="0"/>
        <v>DIO168</v>
      </c>
      <c r="C167" s="5" t="s">
        <v>551</v>
      </c>
      <c r="D167" s="4">
        <v>38</v>
      </c>
      <c r="E167" s="9" t="str">
        <f t="shared" si="15"/>
        <v>#if (defined(DIN38_PORT) &amp;&amp; defined(DIN38_BIT))
#define DIN38 168
#define DIN38_RCCEN (__rccgpioen__(DIN38_PORT))
#define DIN38_GPIO (__gpio__(DIN38_PORT))
#define DIO168 168
#define DIO168_PORT DIN38_PORT
#define DIO168_BIT DIN38_BIT
#define DIO168_RCCEN DIN38_RCCEN
#define DIO168_GPIO DIN38_GPIO
#endif</v>
      </c>
      <c r="F167" s="9"/>
      <c r="G167" s="9"/>
      <c r="H167" s="9"/>
      <c r="I167" s="4"/>
    </row>
    <row r="168" spans="1:9" ht="15" customHeight="1" x14ac:dyDescent="0.25">
      <c r="A168" s="4">
        <v>169</v>
      </c>
      <c r="B168" s="4" t="str">
        <f t="shared" si="0"/>
        <v>DIO169</v>
      </c>
      <c r="C168" s="5" t="s">
        <v>552</v>
      </c>
      <c r="D168" s="4">
        <v>39</v>
      </c>
      <c r="E168" s="9" t="str">
        <f t="shared" si="15"/>
        <v>#if (defined(DIN39_PORT) &amp;&amp; defined(DIN39_BIT))
#define DIN39 169
#define DIN39_RCCEN (__rccgpioen__(DIN39_PORT))
#define DIN39_GPIO (__gpio__(DIN39_PORT))
#define DIO169 169
#define DIO169_PORT DIN39_PORT
#define DIO169_BIT DIN39_BIT
#define DIO169_RCCEN DIN39_RCCEN
#define DIO169_GPIO DIN39_GPIO
#endif</v>
      </c>
      <c r="F168" s="9"/>
      <c r="G168" s="9"/>
      <c r="H168" s="9"/>
      <c r="I168" s="4"/>
    </row>
    <row r="169" spans="1:9" ht="15" customHeight="1" x14ac:dyDescent="0.25">
      <c r="A169" s="4">
        <v>170</v>
      </c>
      <c r="B169" s="4" t="str">
        <f t="shared" si="0"/>
        <v>DIO170</v>
      </c>
      <c r="C169" s="5" t="s">
        <v>553</v>
      </c>
      <c r="D169" s="4">
        <v>40</v>
      </c>
      <c r="E169" s="9" t="str">
        <f t="shared" si="15"/>
        <v>#if (defined(DIN40_PORT) &amp;&amp; defined(DIN40_BIT))
#define DIN40 170
#define DIN40_RCCEN (__rccgpioen__(DIN40_PORT))
#define DIN40_GPIO (__gpio__(DIN40_PORT))
#define DIO170 170
#define DIO170_PORT DIN40_PORT
#define DIO170_BIT DIN40_BIT
#define DIO170_RCCEN DIN40_RCCEN
#define DIO170_GPIO DIN40_GPIO
#endif</v>
      </c>
      <c r="F169" s="9"/>
      <c r="G169" s="9"/>
      <c r="H169" s="9"/>
      <c r="I169" s="4"/>
    </row>
    <row r="170" spans="1:9" ht="15" customHeight="1" x14ac:dyDescent="0.25">
      <c r="A170" s="4">
        <v>171</v>
      </c>
      <c r="B170" s="4" t="str">
        <f t="shared" si="0"/>
        <v>DIO171</v>
      </c>
      <c r="C170" s="5" t="s">
        <v>554</v>
      </c>
      <c r="D170" s="4">
        <v>41</v>
      </c>
      <c r="E170" s="9" t="str">
        <f t="shared" si="15"/>
        <v>#if (defined(DIN41_PORT) &amp;&amp; defined(DIN41_BIT))
#define DIN41 171
#define DIN41_RCCEN (__rccgpioen__(DIN41_PORT))
#define DIN41_GPIO (__gpio__(DIN41_PORT))
#define DIO171 171
#define DIO171_PORT DIN41_PORT
#define DIO171_BIT DIN41_BIT
#define DIO171_RCCEN DIN41_RCCEN
#define DIO171_GPIO DIN41_GPIO
#endif</v>
      </c>
      <c r="F170" s="9"/>
      <c r="G170" s="9"/>
      <c r="H170" s="9"/>
      <c r="I170" s="4"/>
    </row>
    <row r="171" spans="1:9" ht="15" customHeight="1" x14ac:dyDescent="0.25">
      <c r="A171" s="4">
        <v>172</v>
      </c>
      <c r="B171" s="4" t="str">
        <f t="shared" si="0"/>
        <v>DIO172</v>
      </c>
      <c r="C171" s="5" t="s">
        <v>555</v>
      </c>
      <c r="D171" s="4">
        <v>42</v>
      </c>
      <c r="E171" s="9" t="str">
        <f t="shared" si="15"/>
        <v>#if (defined(DIN42_PORT) &amp;&amp; defined(DIN42_BIT))
#define DIN42 172
#define DIN42_RCCEN (__rccgpioen__(DIN42_PORT))
#define DIN42_GPIO (__gpio__(DIN42_PORT))
#define DIO172 172
#define DIO172_PORT DIN42_PORT
#define DIO172_BIT DIN42_BIT
#define DIO172_RCCEN DIN42_RCCEN
#define DIO172_GPIO DIN42_GPIO
#endif</v>
      </c>
      <c r="F171" s="9"/>
      <c r="G171" s="9"/>
      <c r="H171" s="9"/>
      <c r="I171" s="4"/>
    </row>
    <row r="172" spans="1:9" ht="15" customHeight="1" x14ac:dyDescent="0.25">
      <c r="A172" s="4">
        <v>173</v>
      </c>
      <c r="B172" s="4" t="str">
        <f t="shared" si="0"/>
        <v>DIO173</v>
      </c>
      <c r="C172" s="5" t="s">
        <v>556</v>
      </c>
      <c r="D172" s="4">
        <v>43</v>
      </c>
      <c r="E172" s="9" t="str">
        <f t="shared" si="15"/>
        <v>#if (defined(DIN43_PORT) &amp;&amp; defined(DIN43_BIT))
#define DIN43 173
#define DIN43_RCCEN (__rccgpioen__(DIN43_PORT))
#define DIN43_GPIO (__gpio__(DIN43_PORT))
#define DIO173 173
#define DIO173_PORT DIN43_PORT
#define DIO173_BIT DIN43_BIT
#define DIO173_RCCEN DIN43_RCCEN
#define DIO173_GPIO DIN43_GPIO
#endif</v>
      </c>
      <c r="F172" s="9"/>
      <c r="G172" s="9"/>
      <c r="H172" s="9"/>
      <c r="I172" s="4"/>
    </row>
    <row r="173" spans="1:9" ht="15" customHeight="1" x14ac:dyDescent="0.25">
      <c r="A173" s="4">
        <v>174</v>
      </c>
      <c r="B173" s="4" t="str">
        <f t="shared" si="0"/>
        <v>DIO174</v>
      </c>
      <c r="C173" s="5" t="s">
        <v>557</v>
      </c>
      <c r="D173" s="4">
        <v>44</v>
      </c>
      <c r="E173" s="9" t="str">
        <f t="shared" si="15"/>
        <v>#if (defined(DIN44_PORT) &amp;&amp; defined(DIN44_BIT))
#define DIN44 174
#define DIN44_RCCEN (__rccgpioen__(DIN44_PORT))
#define DIN44_GPIO (__gpio__(DIN44_PORT))
#define DIO174 174
#define DIO174_PORT DIN44_PORT
#define DIO174_BIT DIN44_BIT
#define DIO174_RCCEN DIN44_RCCEN
#define DIO174_GPIO DIN44_GPIO
#endif</v>
      </c>
      <c r="F173" s="9"/>
      <c r="G173" s="9"/>
      <c r="H173" s="9"/>
      <c r="I173" s="4"/>
    </row>
    <row r="174" spans="1:9" ht="15" customHeight="1" x14ac:dyDescent="0.25">
      <c r="A174" s="4">
        <v>175</v>
      </c>
      <c r="B174" s="4" t="str">
        <f t="shared" si="0"/>
        <v>DIO175</v>
      </c>
      <c r="C174" s="5" t="s">
        <v>558</v>
      </c>
      <c r="D174" s="4">
        <v>45</v>
      </c>
      <c r="E174" s="9" t="str">
        <f t="shared" si="15"/>
        <v>#if (defined(DIN45_PORT) &amp;&amp; defined(DIN45_BIT))
#define DIN45 175
#define DIN45_RCCEN (__rccgpioen__(DIN45_PORT))
#define DIN45_GPIO (__gpio__(DIN45_PORT))
#define DIO175 175
#define DIO175_PORT DIN45_PORT
#define DIO175_BIT DIN45_BIT
#define DIO175_RCCEN DIN45_RCCEN
#define DIO175_GPIO DIN45_GPIO
#endif</v>
      </c>
      <c r="F174" s="9"/>
      <c r="G174" s="9"/>
      <c r="H174" s="9"/>
      <c r="I174" s="4"/>
    </row>
    <row r="175" spans="1:9" ht="15" customHeight="1" x14ac:dyDescent="0.25">
      <c r="A175" s="4">
        <v>176</v>
      </c>
      <c r="B175" s="4" t="str">
        <f t="shared" si="0"/>
        <v>DIO176</v>
      </c>
      <c r="C175" s="5" t="s">
        <v>559</v>
      </c>
      <c r="D175" s="4">
        <v>46</v>
      </c>
      <c r="E175" s="9" t="str">
        <f t="shared" si="15"/>
        <v>#if (defined(DIN46_PORT) &amp;&amp; defined(DIN46_BIT))
#define DIN46 176
#define DIN46_RCCEN (__rccgpioen__(DIN46_PORT))
#define DIN46_GPIO (__gpio__(DIN46_PORT))
#define DIO176 176
#define DIO176_PORT DIN46_PORT
#define DIO176_BIT DIN46_BIT
#define DIO176_RCCEN DIN46_RCCEN
#define DIO176_GPIO DIN46_GPIO
#endif</v>
      </c>
      <c r="F175" s="9"/>
      <c r="G175" s="9"/>
      <c r="H175" s="9"/>
      <c r="I175" s="4"/>
    </row>
    <row r="176" spans="1:9" ht="15" customHeight="1" x14ac:dyDescent="0.25">
      <c r="A176" s="4">
        <v>177</v>
      </c>
      <c r="B176" s="4" t="str">
        <f t="shared" si="0"/>
        <v>DIO177</v>
      </c>
      <c r="C176" s="5" t="s">
        <v>560</v>
      </c>
      <c r="D176" s="4">
        <v>47</v>
      </c>
      <c r="E176" s="9" t="str">
        <f t="shared" si="15"/>
        <v>#if (defined(DIN47_PORT) &amp;&amp; defined(DIN47_BIT))
#define DIN47 177
#define DIN47_RCCEN (__rccgpioen__(DIN47_PORT))
#define DIN47_GPIO (__gpio__(DIN47_PORT))
#define DIO177 177
#define DIO177_PORT DIN47_PORT
#define DIO177_BIT DIN47_BIT
#define DIO177_RCCEN DIN47_RCCEN
#define DIO177_GPIO DIN47_GPIO
#endif</v>
      </c>
      <c r="F176" s="9"/>
      <c r="G176" s="9"/>
      <c r="H176" s="9"/>
      <c r="I176" s="4"/>
    </row>
    <row r="177" spans="1:9" ht="15" customHeight="1" x14ac:dyDescent="0.25">
      <c r="A177" s="4">
        <v>178</v>
      </c>
      <c r="B177" s="4" t="str">
        <f t="shared" si="0"/>
        <v>DIO178</v>
      </c>
      <c r="C177" s="5" t="s">
        <v>561</v>
      </c>
      <c r="D177" s="4">
        <v>48</v>
      </c>
      <c r="E177" s="9" t="str">
        <f t="shared" si="15"/>
        <v>#if (defined(DIN48_PORT) &amp;&amp; defined(DIN48_BIT))
#define DIN48 178
#define DIN48_RCCEN (__rccgpioen__(DIN48_PORT))
#define DIN48_GPIO (__gpio__(DIN48_PORT))
#define DIO178 178
#define DIO178_PORT DIN48_PORT
#define DIO178_BIT DIN48_BIT
#define DIO178_RCCEN DIN48_RCCEN
#define DIO178_GPIO DIN48_GPIO
#endif</v>
      </c>
      <c r="F177" s="9"/>
      <c r="G177" s="9"/>
      <c r="H177" s="9"/>
      <c r="I177" s="4"/>
    </row>
    <row r="178" spans="1:9" ht="15" customHeight="1" x14ac:dyDescent="0.25">
      <c r="A178" s="4">
        <v>179</v>
      </c>
      <c r="B178" s="4" t="str">
        <f t="shared" si="0"/>
        <v>DIO179</v>
      </c>
      <c r="C178" s="5" t="s">
        <v>562</v>
      </c>
      <c r="D178" s="4">
        <v>49</v>
      </c>
      <c r="E178" s="9" t="str">
        <f t="shared" si="15"/>
        <v>#if (defined(DIN49_PORT) &amp;&amp; defined(DIN49_BIT))
#define DIN49 179
#define DIN49_RCCEN (__rccgpioen__(DIN49_PORT))
#define DIN49_GPIO (__gpio__(DIN49_PORT))
#define DIO179 179
#define DIO179_PORT DIN49_PORT
#define DIO179_BIT DIN49_BIT
#define DIO179_RCCEN DIN49_RCCEN
#define DIO179_GPIO DIN49_GPIO
#endif</v>
      </c>
      <c r="F178" s="9"/>
      <c r="G178" s="9"/>
      <c r="H178" s="9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4">
        <v>0</v>
      </c>
      <c r="E179" s="9" t="str">
        <f t="shared" si="15"/>
        <v>#if (defined(TX_PORT) &amp;&amp; defined(TX_BIT))
#define TX 200
#define TX_RCCEN (__rccgpioen__(TX_PORT))
#define TX_GPIO (__gpio__(TX_PORT))
#define DIO200 200
#define DIO200_PORT TX_PORT
#define DIO200_BIT TX_BIT
#define DIO200_RCCEN TX_RCCEN
#define DIO200_GPIO TX_GPIO
#endif</v>
      </c>
      <c r="F179" s="9"/>
      <c r="G179" s="9"/>
      <c r="H179" s="9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4">
        <v>1</v>
      </c>
      <c r="E180" s="9" t="str">
        <f t="shared" si="15"/>
        <v>#if (defined(RX_PORT) &amp;&amp; defined(RX_BIT))
#define RX 201
#define RX_RCCEN (__rccgpioen__(RX_PORT))
#define RX_GPIO (__gpio__(RX_PORT))
#define DIO201 201
#define DIO201_PORT RX_PORT
#define DIO201_BIT RX_BIT
#define DIO201_RCCEN RX_RCCEN
#define DIO201_GPIO RX_GPIO
#endif</v>
      </c>
      <c r="F180" s="9"/>
      <c r="G180" s="9"/>
      <c r="H180" s="9"/>
      <c r="I180" s="4" t="str">
        <f t="shared" ref="I180:I184" si="17">"#if "&amp;C180&amp;"&gt;=0
mcu_config_input("&amp;C180&amp;");
#ifdef "&amp;C180&amp;"_PULLUP
mcu_config_pullup("&amp;C180&amp;");
#endif
#endif"</f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4">
        <v>0</v>
      </c>
      <c r="E181" s="9" t="str">
        <f t="shared" si="15"/>
        <v>#if (defined(USB_DM_PORT) &amp;&amp; defined(USB_DM_BIT))
#define USB_DM 202
#define USB_DM_RCCEN (__rccgpioen__(USB_DM_PORT))
#define USB_DM_GPIO (__gpio__(USB_DM_PORT))
#define DIO202 202
#define DIO202_PORT USB_DM_PORT
#define DIO202_BIT USB_DM_BIT
#define DIO202_RCCEN USB_DM_RCCEN
#define DIO202_GPIO USB_DM_GPIO
#endif</v>
      </c>
      <c r="F181" s="9"/>
      <c r="G181" s="9"/>
      <c r="H181" s="9"/>
      <c r="I181" s="4" t="str">
        <f t="shared" si="17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5">
        <v>1</v>
      </c>
      <c r="E182" s="9" t="str">
        <f t="shared" si="15"/>
        <v>#if (defined(USB_DP_PORT) &amp;&amp; defined(USB_DP_BIT))
#define USB_DP 203
#define USB_DP_RCCEN (__rccgpioen__(USB_DP_PORT))
#define USB_DP_GPIO (__gpio__(USB_DP_PORT))
#define DIO203 203
#define DIO203_PORT USB_DP_PORT
#define DIO203_BIT USB_DP_BIT
#define DIO203_RCCEN USB_DP_RCCEN
#define DIO203_GPIO USB_DP_GPIO
#endif</v>
      </c>
      <c r="F182" s="9"/>
      <c r="G182" s="9"/>
      <c r="H182" s="9"/>
      <c r="I182" s="4" t="str">
        <f t="shared" si="17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4">
        <v>0</v>
      </c>
      <c r="E183" s="9" t="str">
        <f t="shared" si="15"/>
        <v>#if (defined(SPI_CLK_PORT) &amp;&amp; defined(SPI_CLK_BIT))
#define SPI_CLK 204
#define SPI_CLK_RCCEN (__rccgpioen__(SPI_CLK_PORT))
#define SPI_CLK_GPIO (__gpio__(SPI_CLK_PORT))
#define DIO204 204
#define DIO204_PORT SPI_CLK_PORT
#define DIO204_BIT SPI_CLK_BIT
#define DIO204_RCCEN SPI_CLK_RCCEN
#define DIO204_GPIO SPI_CLK_GPIO
#endif</v>
      </c>
      <c r="F183" s="9"/>
      <c r="G183" s="9"/>
      <c r="H183" s="9"/>
      <c r="I183" s="4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18">"DIO"&amp;A184</f>
        <v>DIO205</v>
      </c>
      <c r="C184" s="4" t="s">
        <v>224</v>
      </c>
      <c r="D184" s="4">
        <v>1</v>
      </c>
      <c r="E184" s="9" t="str">
        <f t="shared" si="15"/>
        <v>#if (defined(SPI_SDI_PORT) &amp;&amp; defined(SPI_SDI_BIT))
#define SPI_SDI 205
#define SPI_SDI_RCCEN (__rccgpioen__(SPI_SDI_PORT))
#define SPI_SDI_GPIO (__gpio__(SPI_SDI_PORT))
#define DIO205 205
#define DIO205_PORT SPI_SDI_PORT
#define DIO205_BIT SPI_SDI_BIT
#define DIO205_RCCEN SPI_SDI_RCCEN
#define DIO205_GPIO SPI_SDI_GPIO
#endif</v>
      </c>
      <c r="F184" s="9"/>
      <c r="G184" s="9"/>
      <c r="H184" s="9"/>
      <c r="I184" s="4" t="str">
        <f t="shared" si="17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18"/>
        <v>DIO206</v>
      </c>
      <c r="C185" s="4" t="s">
        <v>225</v>
      </c>
      <c r="D185" s="5">
        <v>2</v>
      </c>
      <c r="E185" s="9" t="str">
        <f t="shared" si="15"/>
        <v>#if (defined(SPI_SDO_PORT) &amp;&amp; defined(SPI_SDO_BIT))
#define SPI_SDO 206
#define SPI_SDO_RCCEN (__rccgpioen__(SPI_SDO_PORT))
#define SPI_SDO_GPIO (__gpio__(SPI_SDO_PORT))
#define DIO206 206
#define DIO206_PORT SPI_SDO_PORT
#define DIO206_BIT SPI_SDO_BIT
#define DIO206_RCCEN SPI_SDO_RCCEN
#define DIO206_GPIO SPI_SDO_GPIO
#endif</v>
      </c>
      <c r="F185" s="9"/>
      <c r="G185" s="9"/>
      <c r="H185" s="9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18"/>
        <v>DIO207</v>
      </c>
      <c r="C186" s="4" t="s">
        <v>459</v>
      </c>
      <c r="D186" s="5">
        <v>3</v>
      </c>
      <c r="E186" s="9" t="str">
        <f t="shared" si="15"/>
        <v>#if (defined(SPI_CS_PORT) &amp;&amp; defined(SPI_CS_BIT))
#define SPI_CS 207
#define SPI_CS_RCCEN (__rccgpioen__(SPI_CS_PORT))
#define SPI_CS_GPIO (__gpio__(SPI_CS_PORT))
#define DIO207 207
#define DIO207_PORT SPI_CS_PORT
#define DIO207_BIT SPI_CS_BIT
#define DIO207_RCCEN SPI_CS_RCCEN
#define DIO207_GPIO SPI_CS_GPIO
#endif</v>
      </c>
      <c r="F186" s="9"/>
      <c r="G186" s="9"/>
      <c r="H186" s="9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18"/>
        <v>DIO208</v>
      </c>
      <c r="C187" s="4" t="s">
        <v>237</v>
      </c>
      <c r="D187" s="5">
        <v>4</v>
      </c>
      <c r="E187" s="9" t="str">
        <f t="shared" si="15"/>
        <v>#if (defined(I2C_SCL_PORT) &amp;&amp; defined(I2C_SCL_BIT))
#define I2C_SCL 208
#define I2C_SCL_RCCEN (__rccgpioen__(I2C_SCL_PORT))
#define I2C_SCL_GPIO (__gpio__(I2C_SCL_PORT))
#define DIO208 208
#define DIO208_PORT I2C_SCL_PORT
#define DIO208_BIT I2C_SCL_BIT
#define DIO208_RCCEN I2C_SCL_RCCEN
#define DIO208_GPIO I2C_SCL_GPIO
#endif</v>
      </c>
      <c r="F187" s="9"/>
      <c r="G187" s="9"/>
      <c r="H187" s="9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18"/>
        <v>DIO209</v>
      </c>
      <c r="C188" s="4" t="s">
        <v>238</v>
      </c>
      <c r="D188" s="6"/>
      <c r="E188" s="9" t="str">
        <f t="shared" si="15"/>
        <v>#if (defined(I2C_SDA_PORT) &amp;&amp; defined(I2C_SDA_BIT))
#define I2C_SDA 209
#define I2C_SDA_RCCEN (__rccgpioen__(I2C_SDA_PORT))
#define I2C_SDA_GPIO (__gpio__(I2C_SDA_PORT))
#define DIO209 209
#define DIO209_PORT I2C_SDA_PORT
#define DIO209_BIT I2C_SDA_BIT
#define DIO209_RCCEN I2C_SDA_RCCEN
#define DIO209_GPIO I2C_SDA_GPIO
#endif</v>
      </c>
      <c r="F188" s="9"/>
      <c r="G188" s="9"/>
      <c r="H188" s="9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18"/>
        <v>DIO210</v>
      </c>
      <c r="C189" s="4" t="s">
        <v>467</v>
      </c>
      <c r="D189" s="4">
        <v>0</v>
      </c>
      <c r="E189" s="9" t="str">
        <f t="shared" si="15"/>
        <v>#if (defined(TX2_PORT) &amp;&amp; defined(TX2_BIT))
#define TX2 210
#define TX2_RCCEN (__rccgpioen__(TX2_PORT))
#define TX2_GPIO (__gpio__(TX2_PORT))
#define DIO210 210
#define DIO210_PORT TX2_PORT
#define DIO210_BIT TX2_BIT
#define DIO210_RCCEN TX2_RCCEN
#define DIO210_GPIO TX2_GPIO
#endif</v>
      </c>
      <c r="F189" s="9"/>
      <c r="G189" s="9"/>
      <c r="H189" s="9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18"/>
        <v>DIO211</v>
      </c>
      <c r="C190" s="4" t="s">
        <v>468</v>
      </c>
      <c r="D190" s="4">
        <v>1</v>
      </c>
      <c r="E190" s="9" t="str">
        <f t="shared" si="15"/>
        <v>#if (defined(RX2_PORT) &amp;&amp; defined(RX2_BIT))
#define RX2 211
#define RX2_RCCEN (__rccgpioen__(RX2_PORT))
#define RX2_GPIO (__gpio__(RX2_PORT))
#define DIO211 211
#define DIO211_PORT RX2_PORT
#define DIO211_BIT RX2_BIT
#define DIO211_RCCEN RX2_RCCEN
#define DIO211_GPIO RX2_GPIO
#endif</v>
      </c>
      <c r="F190" s="9"/>
      <c r="G190" s="9"/>
      <c r="H190" s="9"/>
      <c r="I190" s="4" t="str">
        <f t="shared" ref="I190" si="19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9" t="str">
        <f t="shared" si="15"/>
        <v>#if (defined(SPI2_CLK_PORT) &amp;&amp; defined(SPI2_CLK_BIT))
#define SPI2_CLK 212
#define SPI2_CLK_RCCEN (__rccgpioen__(SPI2_CLK_PORT))
#define SPI2_CLK_GPIO (__gpio__(SPI2_CLK_PORT))
#define DIO212 212
#define DIO212_PORT SPI2_CLK_PORT
#define DIO212_BIT SPI2_CLK_BIT
#define DIO212_RCCEN SPI2_CLK_RCCEN
#define DIO212_GPIO SPI2_CLK_GPIO
#endif</v>
      </c>
      <c r="F191" s="9"/>
      <c r="G191" s="9"/>
      <c r="H191" s="9"/>
      <c r="I191" s="4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9" t="str">
        <f t="shared" si="15"/>
        <v>#if (defined(SPI2_SDI_PORT) &amp;&amp; defined(SPI2_SDI_BIT))
#define SPI2_SDI 213
#define SPI2_SDI_RCCEN (__rccgpioen__(SPI2_SDI_PORT))
#define SPI2_SDI_GPIO (__gpio__(SPI2_SDI_PORT))
#define DIO213 213
#define DIO213_PORT SPI2_SDI_PORT
#define DIO213_BIT SPI2_SDI_BIT
#define DIO213_RCCEN SPI2_SDI_RCCEN
#define DIO213_GPIO SPI2_SDI_GPIO
#endif</v>
      </c>
      <c r="F192" s="9"/>
      <c r="G192" s="9"/>
      <c r="H192" s="9"/>
      <c r="I192" s="4" t="str">
        <f t="shared" ref="I192" si="20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9" t="str">
        <f t="shared" si="15"/>
        <v>#if (defined(SPI2_SDO_PORT) &amp;&amp; defined(SPI2_SDO_BIT))
#define SPI2_SDO 214
#define SPI2_SDO_RCCEN (__rccgpioen__(SPI2_SDO_PORT))
#define SPI2_SDO_GPIO (__gpio__(SPI2_SDO_PORT))
#define DIO214 214
#define DIO214_PORT SPI2_SDO_PORT
#define DIO214_BIT SPI2_SDO_BIT
#define DIO214_RCCEN SPI2_SDO_RCCEN
#define DIO214_GPIO SPI2_SDO_GPIO
#endif</v>
      </c>
      <c r="F193" s="9"/>
      <c r="G193" s="9"/>
      <c r="H193" s="9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9" t="str">
        <f t="shared" si="15"/>
        <v>#if (defined(SPI2_CS_PORT) &amp;&amp; defined(SPI2_CS_BIT))
#define SPI2_CS 215
#define SPI2_CS_RCCEN (__rccgpioen__(SPI2_CS_PORT))
#define SPI2_CS_GPIO (__gpio__(SPI2_CS_PORT))
#define DIO215 215
#define DIO215_PORT SPI2_CS_PORT
#define DIO215_BIT SPI2_CS_BIT
#define DIO215_RCCEN SPI2_CS_RCCEN
#define DIO215_GPIO SPI2_CS_GPIO
#endif</v>
      </c>
      <c r="F194" s="9"/>
      <c r="G194" s="9"/>
      <c r="H194" s="9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 t="str">
        <f>"#if (UART_PORT &lt; 4 || UART_PORT == 6)
#define "&amp;H$200&amp;"_UART __usart__(UART_PORT)
#define "&amp;H$200&amp;"_IRQ __helper__(USART, UART_PORT, _IRQn)
#define MCU_SERIAL_ISR __helper__(USART, UART_PORT, _IRQHandler)
#else
#define "&amp;H$200&amp;"_UART __uart__(UART_PORT)
#define "&amp;H$200&amp;"_IRQ __helper__(UART, UART_PORT, _IRQn)
#define MCU_SERIAL_ISR __helper__(UART, UART_PORT, _IRQHandler)
#endif
#define "&amp;H$200&amp;"_OUTREG ("&amp;H$200&amp;"_UART)-&gt;DR
#define "&amp;H$200&amp;"_INREG ("&amp;H$200&amp;"_UART)-&gt;DR
#define "&amp;H$200&amp;"_TX_PIN __iopin__(TX_PORT, TX_PIN)
#define "&amp;H$200&amp;"_RX_PIN __iopin__(RX_PORT, RX_PIN)"</f>
        <v>#if (UART_PORT &lt; 4 || UART_PORT == 6)
#define COM_UART __usart__(UART_PORT)
#define COM_IRQ __helper__(USART, UART_PORT, _IRQn)
#define MCU_SERIAL_ISR __helper__(USART, UART_PORT, _IRQHandler)
#else
#define COM_UART __uart__(UART_PORT)
#define COM_IRQ __helper__(UART, UART_PORT, _IRQn)
#define MCU_SERIAL_ISR __helper__(UART, UART_PORT, _IRQHandler)
#endif
#define COM_OUTREG (COM_UART)-&gt;DR
#define COM_INREG (COM_UART)-&gt;DR
#define COM_TX_PIN __iopin__(TX_PORT, TX_PIN)
#define COM_RX_PIN __iopin__(RX_PORT, RX_PIN)</v>
      </c>
      <c r="I198" s="6" t="str">
        <f>"#if (UART2_PORT &lt; 4 || UART2_PORT == 6)
#define "&amp;I$200&amp;"_UART __usart__(UART2_PORT)
#define "&amp;I$200&amp;"_IRQ __helper__(USART, UART2_PORT, _IRQn)
#define MCU_SERIAL2_ISR __helper__(USART, UART2_PORT, _IRQHandler)
#else
#define "&amp;I$200&amp;"_UART __uart__(UART2_PORT)
#define "&amp;I$200&amp;"_IRQ __helper__(UART, UART2_PORT, _IRQn)
#define MCU_SERIAL2_ISR __helper__(UART, UART2_PORT, _IRQHandler)
#endif
#define "&amp;I$200&amp;"_OUTREG ("&amp;I$200&amp;"_UART)-&gt;DR
#define "&amp;I$200&amp;"_INREG ("&amp;I$200&amp;"_UART)-&gt;DR
#define "&amp;I$200&amp;"_TX_PIN __iopin__(TX2_PORT, TX2_PIN)
#define "&amp;I$200&amp;"_RX_PIN __iopin__(RX2_PORT, RX2_PIN)"</f>
        <v>#if (UART2_PORT &lt; 4 || UART2_PORT == 6)
#define COM2_UART __usart__(UART2_PORT)
#define COM2_IRQ __helper__(USART, UART2_PORT, _IRQn)
#define MCU_SERIAL2_ISR __helper__(USART, UART2_PORT, _IRQHandler)
#else
#define COM2_UART __uart__(UART2_PORT)
#define COM2_IRQ __helper__(UART, UART2_PORT, _IRQn)
#define MCU_SERIAL2_ISR __helper__(UART, UART2_PORT, _IRQHandler)
#endif
#define COM2_OUTREG (COM2_UART)-&gt;DR
#define COM2_INREG (COM2_UART)-&gt;DR
#define COM2_TX_PIN __iopin__(TX2_PORT, TX2_PIN)
#define COM2_RX_PIN __iopin__(RX2_PORT, RX2_PIN)</v>
      </c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 t="s">
        <v>128</v>
      </c>
      <c r="B200" s="6" t="s">
        <v>105</v>
      </c>
      <c r="C200" s="6" t="s">
        <v>106</v>
      </c>
      <c r="D200" s="6" t="s">
        <v>129</v>
      </c>
      <c r="E200" s="6" t="s">
        <v>130</v>
      </c>
      <c r="F200" s="6" t="s">
        <v>566</v>
      </c>
      <c r="G200" s="6"/>
      <c r="H200" s="6" t="s">
        <v>567</v>
      </c>
      <c r="I200" t="s">
        <v>568</v>
      </c>
    </row>
    <row r="201" spans="1:9" ht="15" customHeight="1" x14ac:dyDescent="0.25">
      <c r="A201" s="6">
        <v>1</v>
      </c>
      <c r="B201" s="6" t="s">
        <v>515</v>
      </c>
      <c r="C201" s="6" t="s">
        <v>136</v>
      </c>
      <c r="D201" s="6" t="s">
        <v>130</v>
      </c>
      <c r="E201" s="6" t="str">
        <f>"RCC_"&amp;Tabela1[[#This Row],[APB]]&amp;"_USART"&amp;Tabela1[[#This Row],[USART]]&amp;"EN"</f>
        <v>RCC_APB2ENR_USART1EN</v>
      </c>
      <c r="F201" s="6">
        <v>8</v>
      </c>
      <c r="G201" s="6"/>
      <c r="H20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(COM_TX_PIN==STM32IO_B8) &amp;&amp; (COM_RX_PIN==STM32IO_B7)
#define COM_APB APB2ENR
#define COM_APBEN RCC_APB2ENR_USART1EN
#define GPIO_AF_USART 8</v>
      </c>
      <c r="I20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(COM2_TX_PIN==STM32IO_B8) &amp;&amp; (COM2_RX_PIN==STM32IO_B7)
#define COM2_APB APB2ENR
#define COM2_APBEN RCC_APB2ENR_USART1EN
#define GPIO_AF_USART2 8</v>
      </c>
    </row>
    <row r="202" spans="1:9" ht="15" customHeight="1" x14ac:dyDescent="0.25">
      <c r="A202" s="6">
        <v>1</v>
      </c>
      <c r="B202" s="6" t="s">
        <v>518</v>
      </c>
      <c r="C202" s="6" t="s">
        <v>569</v>
      </c>
      <c r="D202" s="6" t="s">
        <v>130</v>
      </c>
      <c r="E202" s="6" t="str">
        <f>"RCC_"&amp;Tabela1[[#This Row],[APB]]&amp;"_USART"&amp;Tabela1[[#This Row],[USART]]&amp;"EN"</f>
        <v>RCC_APB2ENR_USART1EN</v>
      </c>
      <c r="F202" s="6">
        <v>4</v>
      </c>
      <c r="G202" s="6"/>
      <c r="H20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(COM_TX_PIN==STM32IO_B14) &amp;&amp; (COM_RX_PIN==STM32IO_B15)
#define COM_APB APB2ENR
#define COM_APBEN RCC_APB2ENR_USART1EN
#define GPIO_AF_USART 4</v>
      </c>
      <c r="I20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(COM2_TX_PIN==STM32IO_B14) &amp;&amp; (COM2_RX_PIN==STM32IO_B15)
#define COM2_APB APB2ENR
#define COM2_APBEN RCC_APB2ENR_USART1EN
#define GPIO_AF_USART2 4</v>
      </c>
    </row>
    <row r="203" spans="1:9" ht="15" customHeight="1" x14ac:dyDescent="0.25">
      <c r="A203" s="6">
        <v>1</v>
      </c>
      <c r="B203" s="6" t="s">
        <v>132</v>
      </c>
      <c r="C203" s="6" t="s">
        <v>133</v>
      </c>
      <c r="D203" s="6" t="s">
        <v>130</v>
      </c>
      <c r="E203" s="6" t="str">
        <f>"RCC_"&amp;Tabela1[[#This Row],[APB]]&amp;"_USART"&amp;Tabela1[[#This Row],[USART]]&amp;"EN"</f>
        <v>RCC_APB2ENR_USART1EN</v>
      </c>
      <c r="F203" s="6">
        <v>7</v>
      </c>
      <c r="G203" s="6"/>
      <c r="H20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(COM_PORT==1) &amp;&amp; (COM_TX_PIN==STM32IO_A9) &amp;&amp; (COM_RX_PIN==STM32IO_A10)
#define COM_APB APB2ENR
#define COM_APBEN RCC_APB2ENR_USART1EN
#define GPIO_AF_USART 7</v>
      </c>
      <c r="I20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(COM2_PORT==1) &amp;&amp; (COM2_TX_PIN==STM32IO_A9) &amp;&amp; (COM2_RX_PIN==STM32IO_A10)
#define COM2_APB APB2ENR
#define COM2_APBEN RCC_APB2ENR_USART1EN
#define GPIO_AF_USART2 7</v>
      </c>
    </row>
    <row r="204" spans="1:9" ht="15" customHeight="1" x14ac:dyDescent="0.25">
      <c r="A204" s="6">
        <v>2</v>
      </c>
      <c r="B204" s="6" t="s">
        <v>141</v>
      </c>
      <c r="C204" s="6" t="s">
        <v>142</v>
      </c>
      <c r="D204" s="6" t="s">
        <v>570</v>
      </c>
      <c r="E204" s="6" t="str">
        <f>"RCC_"&amp;Tabela1[[#This Row],[APB]]&amp;"_USART"&amp;Tabela1[[#This Row],[USART]]&amp;"EN"</f>
        <v>RCC_APB1LENR_USART2EN</v>
      </c>
      <c r="F204" s="6">
        <v>7</v>
      </c>
      <c r="G204" s="6"/>
      <c r="H20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(COM_TX_PIN==STM32IO_D5) &amp;&amp; (COM_RX_PIN==STM32IO_D6)
#define COM_APB APB1LENR
#define COM_APBEN RCC_APB1LENR_USART2EN
#define GPIO_AF_USART 7</v>
      </c>
      <c r="I20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(COM2_TX_PIN==STM32IO_D5) &amp;&amp; (COM2_RX_PIN==STM32IO_D6)
#define COM2_APB APB1LENR
#define COM2_APBEN RCC_APB1LENR_USART2EN
#define GPIO_AF_USART2 7</v>
      </c>
    </row>
    <row r="205" spans="1:9" ht="15" customHeight="1" x14ac:dyDescent="0.25">
      <c r="A205" s="6">
        <v>2</v>
      </c>
      <c r="B205" s="6" t="s">
        <v>137</v>
      </c>
      <c r="C205" s="6" t="s">
        <v>138</v>
      </c>
      <c r="D205" s="6" t="s">
        <v>570</v>
      </c>
      <c r="E205" s="6" t="str">
        <f>"RCC_"&amp;Tabela1[[#This Row],[APB]]&amp;"_USART"&amp;Tabela1[[#This Row],[USART]]&amp;"EN"</f>
        <v>RCC_APB1LENR_USART2EN</v>
      </c>
      <c r="F205" s="6">
        <v>7</v>
      </c>
      <c r="G205" s="6"/>
      <c r="H20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(COM_PORT==2) &amp;&amp; (COM_TX_PIN==STM32IO_A2) &amp;&amp; (COM_RX_PIN==STM32IO_A3)
#define COM_APB APB1LENR
#define COM_APBEN RCC_APB1LENR_USART2EN
#define GPIO_AF_USART 7</v>
      </c>
      <c r="I20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(COM2_PORT==2) &amp;&amp; (COM2_TX_PIN==STM32IO_A2) &amp;&amp; (COM2_RX_PIN==STM32IO_A3)
#define COM2_APB APB1LENR
#define COM2_APBEN RCC_APB1LENR_USART2EN
#define GPIO_AF_USART2 7</v>
      </c>
    </row>
    <row r="206" spans="1:9" ht="15" customHeight="1" x14ac:dyDescent="0.25">
      <c r="A206" s="6">
        <v>3</v>
      </c>
      <c r="B206" s="6" t="s">
        <v>143</v>
      </c>
      <c r="C206" s="6" t="s">
        <v>144</v>
      </c>
      <c r="D206" s="6" t="s">
        <v>570</v>
      </c>
      <c r="E206" s="6" t="str">
        <f>"RCC_"&amp;Tabela1[[#This Row],[APB]]&amp;"_USART"&amp;Tabela1[[#This Row],[USART]]&amp;"EN"</f>
        <v>RCC_APB1LENR_USART3EN</v>
      </c>
      <c r="F206" s="6">
        <v>7</v>
      </c>
      <c r="G206" s="6"/>
      <c r="H20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(COM_TX_PIN==STM32IO_B10) &amp;&amp; (COM_RX_PIN==STM32IO_B11)
#define COM_APB APB1LENR
#define COM_APBEN RCC_APB1LENR_USART3EN
#define GPIO_AF_USART 7</v>
      </c>
      <c r="I20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(COM2_TX_PIN==STM32IO_B10) &amp;&amp; (COM2_RX_PIN==STM32IO_B11)
#define COM2_APB APB1LENR
#define COM2_APBEN RCC_APB1LENR_USART3EN
#define GPIO_AF_USART2 7</v>
      </c>
    </row>
    <row r="207" spans="1:9" ht="15" customHeight="1" x14ac:dyDescent="0.25">
      <c r="A207" s="6">
        <v>3</v>
      </c>
      <c r="B207" s="6" t="s">
        <v>146</v>
      </c>
      <c r="C207" s="6" t="s">
        <v>147</v>
      </c>
      <c r="D207" s="6" t="s">
        <v>570</v>
      </c>
      <c r="E207" s="6" t="str">
        <f>"RCC_"&amp;Tabela1[[#This Row],[APB]]&amp;"_USART"&amp;Tabela1[[#This Row],[USART]]&amp;"EN"</f>
        <v>RCC_APB1LENR_USART3EN</v>
      </c>
      <c r="F207" s="6">
        <v>7</v>
      </c>
      <c r="G207" s="6"/>
      <c r="H20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(COM_PORT==3) &amp;&amp; (COM_TX_PIN==STM32IO_C10) &amp;&amp; (COM_RX_PIN==STM32IO_C11)
#define COM_APB APB1LENR
#define COM_APBEN RCC_APB1LENR_USART3EN
#define GPIO_AF_USART 7</v>
      </c>
      <c r="I20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(COM2_PORT==3) &amp;&amp; (COM2_TX_PIN==STM32IO_C10) &amp;&amp; (COM2_RX_PIN==STM32IO_C11)
#define COM2_APB APB1LENR
#define COM2_APBEN RCC_APB1LENR_USART3EN
#define GPIO_AF_USART2 7</v>
      </c>
    </row>
    <row r="208" spans="1:9" ht="15" customHeight="1" x14ac:dyDescent="0.25">
      <c r="A208" s="6">
        <v>4</v>
      </c>
      <c r="B208" s="6" t="s">
        <v>487</v>
      </c>
      <c r="C208" s="6" t="s">
        <v>488</v>
      </c>
      <c r="D208" s="6" t="s">
        <v>570</v>
      </c>
      <c r="E208" s="6" t="str">
        <f>"RCC_"&amp;Tabela1[[#This Row],[APB]]&amp;"_USART"&amp;Tabela1[[#This Row],[USART]]&amp;"EN"</f>
        <v>RCC_APB1LENR_USART4EN</v>
      </c>
      <c r="F208" s="6">
        <v>8</v>
      </c>
      <c r="G208" s="6"/>
      <c r="H20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(COM_TX_PIN==STM32IO_A0) &amp;&amp; (COM_RX_PIN==STM32IO_A1)
#define COM_APB APB1LENR
#define COM_APBEN RCC_APB1LENR_USART4EN
#define GPIO_AF_USART 8</v>
      </c>
      <c r="I20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(COM2_TX_PIN==STM32IO_A0) &amp;&amp; (COM2_RX_PIN==STM32IO_A1)
#define COM2_APB APB1LENR
#define COM2_APBEN RCC_APB1LENR_USART4EN
#define GPIO_AF_USART2 8</v>
      </c>
    </row>
    <row r="209" spans="1:9" ht="15" customHeight="1" x14ac:dyDescent="0.25">
      <c r="A209" s="6">
        <v>4</v>
      </c>
      <c r="B209" s="6" t="s">
        <v>571</v>
      </c>
      <c r="C209" s="6" t="s">
        <v>572</v>
      </c>
      <c r="D209" s="6" t="s">
        <v>570</v>
      </c>
      <c r="E209" s="6" t="str">
        <f>"RCC_"&amp;Tabela1[[#This Row],[APB]]&amp;"_USART"&amp;Tabela1[[#This Row],[USART]]&amp;"EN"</f>
        <v>RCC_APB1LENR_USART4EN</v>
      </c>
      <c r="F209" s="6">
        <v>7</v>
      </c>
      <c r="G209" s="6"/>
      <c r="H20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(COM_TX_PIN==STM32IO_A12) &amp;&amp; (COM_RX_PIN==STM32IO_A11)
#define COM_APB APB1LENR
#define COM_APBEN RCC_APB1LENR_USART4EN
#define GPIO_AF_USART 7</v>
      </c>
      <c r="I20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(COM2_TX_PIN==STM32IO_A12) &amp;&amp; (COM2_RX_PIN==STM32IO_A11)
#define COM2_APB APB1LENR
#define COM2_APBEN RCC_APB1LENR_USART4EN
#define GPIO_AF_USART2 7</v>
      </c>
    </row>
    <row r="210" spans="1:9" ht="15" customHeight="1" x14ac:dyDescent="0.25">
      <c r="A210" s="6">
        <v>4</v>
      </c>
      <c r="B210" s="6" t="s">
        <v>146</v>
      </c>
      <c r="C210" s="6" t="s">
        <v>147</v>
      </c>
      <c r="D210" s="6" t="s">
        <v>570</v>
      </c>
      <c r="E210" s="6" t="str">
        <f>"RCC_"&amp;Tabela1[[#This Row],[APB]]&amp;"_USART"&amp;Tabela1[[#This Row],[USART]]&amp;"EN"</f>
        <v>RCC_APB1LENR_USART4EN</v>
      </c>
      <c r="F210" s="6">
        <v>8</v>
      </c>
      <c r="G210" s="6"/>
      <c r="H21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(COM_TX_PIN==STM32IO_C10) &amp;&amp; (COM_RX_PIN==STM32IO_C11)
#define COM_APB APB1LENR
#define COM_APBEN RCC_APB1LENR_USART4EN
#define GPIO_AF_USART 8</v>
      </c>
      <c r="I21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(COM2_TX_PIN==STM32IO_C10) &amp;&amp; (COM2_RX_PIN==STM32IO_C11)
#define COM2_APB APB1LENR
#define COM2_APBEN RCC_APB1LENR_USART4EN
#define GPIO_AF_USART2 8</v>
      </c>
    </row>
    <row r="211" spans="1:9" ht="15" customHeight="1" x14ac:dyDescent="0.25">
      <c r="A211" s="6">
        <v>4</v>
      </c>
      <c r="B211" s="6" t="s">
        <v>573</v>
      </c>
      <c r="C211" s="6" t="s">
        <v>574</v>
      </c>
      <c r="D211" s="6" t="s">
        <v>570</v>
      </c>
      <c r="E211" s="6" t="str">
        <f>"RCC_"&amp;Tabela1[[#This Row],[APB]]&amp;"_USART"&amp;Tabela1[[#This Row],[USART]]&amp;"EN"</f>
        <v>RCC_APB1LENR_USART4EN</v>
      </c>
      <c r="F211" s="6">
        <v>8</v>
      </c>
      <c r="G211" s="6"/>
      <c r="H21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(COM_PORT==4) &amp;&amp; (COM_TX_PIN==STM32IO_D1) &amp;&amp; (COM_RX_PIN==STM32IO_D0)
#define COM_APB APB1LENR
#define COM_APBEN RCC_APB1LENR_USART4EN
#define GPIO_AF_USART 8</v>
      </c>
      <c r="I21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(COM2_PORT==4) &amp;&amp; (COM2_TX_PIN==STM32IO_D1) &amp;&amp; (COM2_RX_PIN==STM32IO_D0)
#define COM2_APB APB1LENR
#define COM2_APBEN RCC_APB1LENR_USART4EN
#define GPIO_AF_USART2 8</v>
      </c>
    </row>
    <row r="212" spans="1:9" ht="15" customHeight="1" x14ac:dyDescent="0.25">
      <c r="A212" s="6">
        <v>5</v>
      </c>
      <c r="B212" s="6" t="s">
        <v>135</v>
      </c>
      <c r="C212" s="6" t="s">
        <v>575</v>
      </c>
      <c r="D212" s="6" t="s">
        <v>570</v>
      </c>
      <c r="E212" s="6" t="str">
        <f>"RCC_"&amp;Tabela1[[#This Row],[APB]]&amp;"_USART"&amp;Tabela1[[#This Row],[USART]]&amp;"EN"</f>
        <v>RCC_APB1LENR_USART5EN</v>
      </c>
      <c r="F212" s="6">
        <v>14</v>
      </c>
      <c r="G212" s="6"/>
      <c r="H212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(COM_TX_PIN==STM32IO_B6) &amp;&amp; (COM_RX_PIN==STM32IO_B5)
#define COM_APB APB1LENR
#define COM_APBEN RCC_APB1LENR_USART5EN
#define GPIO_AF_USART 14</v>
      </c>
      <c r="I212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(COM2_TX_PIN==STM32IO_B6) &amp;&amp; (COM2_RX_PIN==STM32IO_B5)
#define COM2_APB APB1LENR
#define COM2_APBEN RCC_APB1LENR_USART5EN
#define GPIO_AF_USART2 14</v>
      </c>
    </row>
    <row r="213" spans="1:9" ht="15" customHeight="1" x14ac:dyDescent="0.25">
      <c r="A213" s="6">
        <v>5</v>
      </c>
      <c r="B213" s="6" t="s">
        <v>517</v>
      </c>
      <c r="C213" s="6" t="s">
        <v>576</v>
      </c>
      <c r="D213" s="6" t="s">
        <v>570</v>
      </c>
      <c r="E213" s="6" t="str">
        <f>"RCC_"&amp;Tabela1[[#This Row],[APB]]&amp;"_USART"&amp;Tabela1[[#This Row],[USART]]&amp;"EN"</f>
        <v>RCC_APB1LENR_USART5EN</v>
      </c>
      <c r="F213" s="6">
        <v>14</v>
      </c>
      <c r="G213" s="6"/>
      <c r="H213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(COM_TX_PIN==STM32IO_B13) &amp;&amp; (COM_RX_PIN==STM32IO_B12)
#define COM_APB APB1LENR
#define COM_APBEN RCC_APB1LENR_USART5EN
#define GPIO_AF_USART 14</v>
      </c>
      <c r="I213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(COM2_TX_PIN==STM32IO_B13) &amp;&amp; (COM2_RX_PIN==STM32IO_B12)
#define COM2_APB APB1LENR
#define COM2_APBEN RCC_APB1LENR_USART5EN
#define GPIO_AF_USART2 14</v>
      </c>
    </row>
    <row r="214" spans="1:9" ht="15" customHeight="1" x14ac:dyDescent="0.25">
      <c r="A214" s="6">
        <v>5</v>
      </c>
      <c r="B214" s="6" t="s">
        <v>152</v>
      </c>
      <c r="C214" s="6" t="s">
        <v>153</v>
      </c>
      <c r="D214" s="6" t="s">
        <v>570</v>
      </c>
      <c r="E214" s="6" t="str">
        <f>"RCC_"&amp;Tabela1[[#This Row],[APB]]&amp;"_USART"&amp;Tabela1[[#This Row],[USART]]&amp;"EN"</f>
        <v>RCC_APB1LENR_USART5EN</v>
      </c>
      <c r="F214" s="6">
        <v>8</v>
      </c>
      <c r="G214" s="6"/>
      <c r="H214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(COM_PORT==5) &amp;&amp; (COM_TX_PIN==STM32IO_C12) &amp;&amp; (COM_RX_PIN==STM32IO_D2)
#define COM_APB APB1LENR
#define COM_APBEN RCC_APB1LENR_USART5EN
#define GPIO_AF_USART 8</v>
      </c>
      <c r="I214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(COM2_PORT==5) &amp;&amp; (COM2_TX_PIN==STM32IO_C12) &amp;&amp; (COM2_RX_PIN==STM32IO_D2)
#define COM2_APB APB1LENR
#define COM2_APBEN RCC_APB1LENR_USART5EN
#define GPIO_AF_USART2 8</v>
      </c>
    </row>
    <row r="215" spans="1:9" ht="15" customHeight="1" x14ac:dyDescent="0.25">
      <c r="A215" s="6">
        <v>6</v>
      </c>
      <c r="B215" s="6" t="s">
        <v>495</v>
      </c>
      <c r="C215" s="6" t="s">
        <v>496</v>
      </c>
      <c r="D215" s="6" t="s">
        <v>130</v>
      </c>
      <c r="E215" s="6" t="str">
        <f>"RCC_"&amp;Tabela1[[#This Row],[APB]]&amp;"_USART"&amp;Tabela1[[#This Row],[USART]]&amp;"EN"</f>
        <v>RCC_APB2ENR_USART6EN</v>
      </c>
      <c r="F215" s="6">
        <v>7</v>
      </c>
      <c r="G215" s="6"/>
      <c r="H215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(COM_TX_PIN==STM32IO_C6) &amp;&amp; (COM_RX_PIN==STM32IO_C7)
#define COM_APB APB2ENR
#define COM_APBEN RCC_APB2ENR_USART6EN
#define GPIO_AF_USART 7</v>
      </c>
      <c r="I215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(COM2_TX_PIN==STM32IO_C6) &amp;&amp; (COM2_RX_PIN==STM32IO_C7)
#define COM2_APB APB2ENR
#define COM2_APBEN RCC_APB2ENR_USART6EN
#define GPIO_AF_USART2 7</v>
      </c>
    </row>
    <row r="216" spans="1:9" ht="15" customHeight="1" x14ac:dyDescent="0.25">
      <c r="A216" s="6">
        <v>6</v>
      </c>
      <c r="B216" s="6" t="s">
        <v>577</v>
      </c>
      <c r="C216" s="6" t="s">
        <v>578</v>
      </c>
      <c r="D216" s="6" t="s">
        <v>130</v>
      </c>
      <c r="E216" s="6" t="str">
        <f>"RCC_"&amp;Tabela1[[#This Row],[APB]]&amp;"_USART"&amp;Tabela1[[#This Row],[USART]]&amp;"EN"</f>
        <v>RCC_APB2ENR_USART6EN</v>
      </c>
      <c r="F216" s="6">
        <v>7</v>
      </c>
      <c r="G216" s="6"/>
      <c r="H216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(COM_PORT==6) &amp;&amp; (COM_TX_PIN==STM32IO_G14) &amp;&amp; (COM_RX_PIN==STM32IO_G9)
#define COM_APB APB2ENR
#define COM_APBEN RCC_APB2ENR_USART6EN
#define GPIO_AF_USART 7</v>
      </c>
      <c r="I216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(COM2_PORT==6) &amp;&amp; (COM2_TX_PIN==STM32IO_G14) &amp;&amp; (COM2_RX_PIN==STM32IO_G9)
#define COM2_APB APB2ENR
#define COM2_APBEN RCC_APB2ENR_USART6EN
#define GPIO_AF_USART2 7</v>
      </c>
    </row>
    <row r="217" spans="1:9" ht="15" customHeight="1" x14ac:dyDescent="0.25">
      <c r="A217" s="6">
        <v>7</v>
      </c>
      <c r="B217" s="6" t="s">
        <v>486</v>
      </c>
      <c r="C217" s="6" t="s">
        <v>579</v>
      </c>
      <c r="D217" s="6" t="s">
        <v>570</v>
      </c>
      <c r="E217" s="6" t="str">
        <f>"RCC_"&amp;Tabela1[[#This Row],[APB]]&amp;"_USART"&amp;Tabela1[[#This Row],[USART]]&amp;"EN"</f>
        <v>RCC_APB1LENR_USART7EN</v>
      </c>
      <c r="F217" s="6">
        <v>11</v>
      </c>
      <c r="G217" s="6"/>
      <c r="H217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(COM_TX_PIN==STM32IO_A15) &amp;&amp; (COM_RX_PIN==STM32IO_A8)
#define COM_APB APB1LENR
#define COM_APBEN RCC_APB1LENR_USART7EN
#define GPIO_AF_USART 11</v>
      </c>
      <c r="I217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(COM2_TX_PIN==STM32IO_A15) &amp;&amp; (COM2_RX_PIN==STM32IO_A8)
#define COM2_APB APB1LENR
#define COM2_APBEN RCC_APB1LENR_USART7EN
#define GPIO_AF_USART2 11</v>
      </c>
    </row>
    <row r="218" spans="1:9" ht="15" customHeight="1" x14ac:dyDescent="0.25">
      <c r="A218" s="6">
        <v>7</v>
      </c>
      <c r="B218" s="6" t="s">
        <v>492</v>
      </c>
      <c r="C218" s="6" t="s">
        <v>491</v>
      </c>
      <c r="D218" s="6" t="s">
        <v>570</v>
      </c>
      <c r="E218" s="6" t="str">
        <f>"RCC_"&amp;Tabela1[[#This Row],[APB]]&amp;"_USART"&amp;Tabela1[[#This Row],[USART]]&amp;"EN"</f>
        <v>RCC_APB1LENR_USART7EN</v>
      </c>
      <c r="F218" s="6">
        <v>11</v>
      </c>
      <c r="G218" s="6"/>
      <c r="H218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(COM_TX_PIN==STM32IO_B4) &amp;&amp; (COM_RX_PIN==STM32IO_B3)
#define COM_APB APB1LENR
#define COM_APBEN RCC_APB1LENR_USART7EN
#define GPIO_AF_USART 11</v>
      </c>
      <c r="I218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(COM2_TX_PIN==STM32IO_B4) &amp;&amp; (COM2_RX_PIN==STM32IO_B3)
#define COM2_APB APB1LENR
#define COM2_APBEN RCC_APB1LENR_USART7EN
#define GPIO_AF_USART2 11</v>
      </c>
    </row>
    <row r="219" spans="1:9" ht="15" customHeight="1" x14ac:dyDescent="0.25">
      <c r="A219" s="6">
        <v>7</v>
      </c>
      <c r="B219" s="6" t="s">
        <v>505</v>
      </c>
      <c r="C219" s="6" t="s">
        <v>580</v>
      </c>
      <c r="D219" s="6" t="s">
        <v>570</v>
      </c>
      <c r="E219" s="6" t="str">
        <f>"RCC_"&amp;Tabela1[[#This Row],[APB]]&amp;"_USART"&amp;Tabela1[[#This Row],[USART]]&amp;"EN"</f>
        <v>RCC_APB1LENR_USART7EN</v>
      </c>
      <c r="F219" s="6">
        <v>7</v>
      </c>
      <c r="G219" s="6"/>
      <c r="H219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(COM_TX_PIN==STM32IO_E8) &amp;&amp; (COM_RX_PIN==STM32IO_E7)
#define COM_APB APB1LENR
#define COM_APBEN RCC_APB1LENR_USART7EN
#define GPIO_AF_USART 7</v>
      </c>
      <c r="I219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(COM2_TX_PIN==STM32IO_E8) &amp;&amp; (COM2_RX_PIN==STM32IO_E7)
#define COM2_APB APB1LENR
#define COM2_APBEN RCC_APB1LENR_USART7EN
#define GPIO_AF_USART2 7</v>
      </c>
    </row>
    <row r="220" spans="1:9" ht="15" customHeight="1" x14ac:dyDescent="0.25">
      <c r="A220" s="6">
        <v>7</v>
      </c>
      <c r="B220" s="6" t="s">
        <v>581</v>
      </c>
      <c r="C220" s="6" t="s">
        <v>582</v>
      </c>
      <c r="D220" s="6" t="s">
        <v>570</v>
      </c>
      <c r="E220" s="6" t="str">
        <f>"RCC_"&amp;Tabela1[[#This Row],[APB]]&amp;"_USART"&amp;Tabela1[[#This Row],[USART]]&amp;"EN"</f>
        <v>RCC_APB1LENR_USART7EN</v>
      </c>
      <c r="F220" s="6">
        <v>7</v>
      </c>
      <c r="G220" s="6"/>
      <c r="H220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(COM_PORT==7) &amp;&amp; (COM_TX_PIN==STM32IO_F7) &amp;&amp; (COM_RX_PIN==STM32IO_F6)
#define COM_APB APB1LENR
#define COM_APBEN RCC_APB1LENR_USART7EN
#define GPIO_AF_USART 7</v>
      </c>
      <c r="I220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(COM2_PORT==7) &amp;&amp; (COM2_TX_PIN==STM32IO_F7) &amp;&amp; (COM2_RX_PIN==STM32IO_F6)
#define COM2_APB APB1LENR
#define COM2_APBEN RCC_APB1LENR_USART7EN
#define GPIO_AF_USART2 7</v>
      </c>
    </row>
    <row r="221" spans="1:9" ht="15" customHeight="1" x14ac:dyDescent="0.25">
      <c r="A221" s="6">
        <v>8</v>
      </c>
      <c r="B221" s="6" t="s">
        <v>583</v>
      </c>
      <c r="C221" s="6" t="s">
        <v>584</v>
      </c>
      <c r="D221" s="6" t="s">
        <v>570</v>
      </c>
      <c r="E221" s="6" t="str">
        <f>"RCC_"&amp;Tabela1[[#This Row],[APB]]&amp;"_USART"&amp;Tabela1[[#This Row],[USART]]&amp;"EN"</f>
        <v>RCC_APB1LENR_USART8EN</v>
      </c>
      <c r="F221" s="6">
        <v>8</v>
      </c>
      <c r="G221" s="6"/>
      <c r="H221" s="6" t="str">
        <f>"#elif ("&amp;H$200&amp;"_PORT=="&amp;Tabela1[[#This Row],[USART]]&amp;") &amp;&amp; ("&amp;H$200&amp;"_TX_PIN==STM32IO_"&amp;Tabela1[[#This Row],[TX]]&amp;") &amp;&amp; ("&amp;H$200&amp;"_RX_PIN==STM32IO_"&amp;Tabela1[[#This Row],[RX]]&amp;")
#define "&amp;H$200&amp;"_APB "&amp;Tabela1[[#This Row],[APB]]&amp;"
#define "&amp;H$200&amp;"_APBEN "&amp;Tabela1[[#This Row],[APB2ENR]]&amp;"
#define GPIO_AF_USART "&amp;Tabela1[[#This Row],[AF]]</f>
        <v>#elif (COM_PORT==8) &amp;&amp; (COM_TX_PIN==STM32IO_E1) &amp;&amp; (COM_RX_PIN==STM32IO_E0)
#define COM_APB APB1LENR
#define COM_APBEN RCC_APB1LENR_USART8EN
#define GPIO_AF_USART 8</v>
      </c>
      <c r="I221" s="6" t="str">
        <f>"#elif ("&amp;I$200&amp;"_PORT=="&amp;Tabela1[[#This Row],[USART]]&amp;") &amp;&amp; ("&amp;I$200&amp;"_TX_PIN==STM32IO_"&amp;Tabela1[[#This Row],[TX]]&amp;") &amp;&amp; ("&amp;I$200&amp;"_RX_PIN==STM32IO_"&amp;Tabela1[[#This Row],[RX]]&amp;")
#define "&amp;I$200&amp;"_APB "&amp;Tabela1[[#This Row],[APB]]&amp;"
#define "&amp;I$200&amp;"_APBEN "&amp;Tabela1[[#This Row],[APB2ENR]]&amp;"
#define GPIO_AF_USART2 "&amp;Tabela1[[#This Row],[AF]]</f>
        <v>#elif (COM2_PORT==8) &amp;&amp; (COM2_TX_PIN==STM32IO_E1) &amp;&amp; (COM2_RX_PIN==STM32IO_E0)
#define COM2_APB APB1LENR
#define COM2_APBEN RCC_APB1LENR_USART8EN
#define GPIO_AF_USART2 8</v>
      </c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 t="s">
        <v>585</v>
      </c>
      <c r="B223" s="6" t="s">
        <v>586</v>
      </c>
      <c r="C223" s="6" t="s">
        <v>587</v>
      </c>
      <c r="D223" s="6" t="s">
        <v>588</v>
      </c>
      <c r="F223" s="6"/>
      <c r="G223" s="6"/>
      <c r="H223" s="6"/>
      <c r="I223" s="6"/>
    </row>
    <row r="224" spans="1:9" ht="15" customHeight="1" x14ac:dyDescent="0.25">
      <c r="A224" s="6">
        <v>1</v>
      </c>
      <c r="B224" s="6" t="s">
        <v>489</v>
      </c>
      <c r="C224" s="6" t="s">
        <v>589</v>
      </c>
      <c r="D224" s="6">
        <v>5</v>
      </c>
      <c r="E224" s="6" t="str">
        <f>"#if (SPI_PORT == "&amp;A224&amp;") &amp;&amp; (SPI_"&amp;C224&amp;"_PIN == STM32IO_"&amp;B224&amp;")
#define SPI_"&amp;C224&amp;"_AFIO "&amp;D224&amp;"
#endif"</f>
        <v>#if (SPI_PORT == 1) &amp;&amp; (SPI_CS_PIN == STM32IO_A4)
#define SPI_CS_AFIO 5
#endif</v>
      </c>
      <c r="F224" s="6"/>
      <c r="G224" s="6"/>
      <c r="H224" s="6"/>
      <c r="I224" s="6"/>
    </row>
    <row r="225" spans="1:9" ht="15" customHeight="1" x14ac:dyDescent="0.25">
      <c r="A225" s="6">
        <v>1</v>
      </c>
      <c r="B225" s="6" t="s">
        <v>490</v>
      </c>
      <c r="C225" s="6" t="s">
        <v>590</v>
      </c>
      <c r="D225" s="6">
        <v>5</v>
      </c>
      <c r="E225" s="6" t="str">
        <f t="shared" ref="E225:E292" si="21">"#if (SPI_PORT == "&amp;A225&amp;") &amp;&amp; (SPI_"&amp;C225&amp;"_PIN == STM32IO_"&amp;B225&amp;")
#define SPI_"&amp;C225&amp;"_AFIO "&amp;D225&amp;"
#endif"</f>
        <v>#if (SPI_PORT == 1) &amp;&amp; (SPI_CLK_PIN == STM32IO_A5)
#define SPI_CLK_AFIO 5
#endif</v>
      </c>
      <c r="F225" s="6"/>
      <c r="G225" s="6"/>
      <c r="H225" s="6"/>
      <c r="I225" s="6"/>
    </row>
    <row r="226" spans="1:9" ht="15" customHeight="1" x14ac:dyDescent="0.25">
      <c r="A226" s="6">
        <v>1</v>
      </c>
      <c r="B226" s="6" t="s">
        <v>591</v>
      </c>
      <c r="C226" s="6" t="s">
        <v>592</v>
      </c>
      <c r="D226" s="6">
        <v>5</v>
      </c>
      <c r="E226" s="6" t="str">
        <f t="shared" si="21"/>
        <v>#if (SPI_PORT == 1) &amp;&amp; (SPI_SDI_PIN == STM32IO_A6)
#define SPI_SDI_AFIO 5
#endif</v>
      </c>
      <c r="F226" s="6"/>
      <c r="G226" s="6"/>
      <c r="H226" s="6"/>
      <c r="I226" s="6"/>
    </row>
    <row r="227" spans="1:9" ht="15" customHeight="1" x14ac:dyDescent="0.25">
      <c r="A227" s="6">
        <v>1</v>
      </c>
      <c r="B227" s="6" t="s">
        <v>593</v>
      </c>
      <c r="C227" s="6" t="s">
        <v>594</v>
      </c>
      <c r="D227" s="6">
        <v>5</v>
      </c>
      <c r="E227" s="6" t="str">
        <f t="shared" si="21"/>
        <v>#if (SPI_PORT == 1) &amp;&amp; (SPI_SDO_PIN == STM32IO_A7)
#define SPI_SDO_AFIO 5
#endif</v>
      </c>
      <c r="F227" s="6"/>
      <c r="G227" s="6"/>
      <c r="H227" s="6"/>
      <c r="I227" s="6"/>
    </row>
    <row r="228" spans="1:9" ht="15" customHeight="1" x14ac:dyDescent="0.25">
      <c r="A228" s="6">
        <v>3</v>
      </c>
      <c r="B228" s="6" t="s">
        <v>489</v>
      </c>
      <c r="C228" s="6" t="s">
        <v>589</v>
      </c>
      <c r="D228" s="6">
        <v>6</v>
      </c>
      <c r="E228" s="6" t="str">
        <f t="shared" si="21"/>
        <v>#if (SPI_PORT == 3) &amp;&amp; (SPI_CS_PIN == STM32IO_A4)
#define SPI_CS_AFIO 6
#endif</v>
      </c>
      <c r="F228" s="6"/>
      <c r="G228" s="6"/>
      <c r="H228" s="6"/>
      <c r="I228" s="6"/>
    </row>
    <row r="229" spans="1:9" ht="15" customHeight="1" x14ac:dyDescent="0.25">
      <c r="A229" s="6">
        <v>6</v>
      </c>
      <c r="B229" s="6" t="s">
        <v>490</v>
      </c>
      <c r="C229" s="6" t="s">
        <v>590</v>
      </c>
      <c r="D229" s="6">
        <v>8</v>
      </c>
      <c r="E229" s="6" t="str">
        <f t="shared" si="21"/>
        <v>#if (SPI_PORT == 6) &amp;&amp; (SPI_CLK_PIN == STM32IO_A5)
#define SPI_CLK_AFIO 8
#endif</v>
      </c>
      <c r="F229" s="6"/>
      <c r="G229" s="6"/>
      <c r="H229" s="6"/>
      <c r="I229" s="6"/>
    </row>
    <row r="230" spans="1:9" ht="15" customHeight="1" x14ac:dyDescent="0.25">
      <c r="A230" s="6">
        <v>2</v>
      </c>
      <c r="B230" s="6" t="s">
        <v>132</v>
      </c>
      <c r="C230" s="6" t="s">
        <v>590</v>
      </c>
      <c r="D230" s="6">
        <v>5</v>
      </c>
      <c r="E230" s="6" t="str">
        <f t="shared" si="21"/>
        <v>#if (SPI_PORT == 2) &amp;&amp; (SPI_CLK_PIN == STM32IO_A9)
#define SPI_CLK_AFIO 5
#endif</v>
      </c>
      <c r="F230" s="6"/>
      <c r="G230" s="6"/>
      <c r="H230" s="6"/>
      <c r="I230" s="6"/>
    </row>
    <row r="231" spans="1:9" ht="15" customHeight="1" x14ac:dyDescent="0.25">
      <c r="A231" s="6">
        <v>2</v>
      </c>
      <c r="B231" s="6" t="s">
        <v>572</v>
      </c>
      <c r="C231" s="6" t="s">
        <v>589</v>
      </c>
      <c r="D231" s="6">
        <v>5</v>
      </c>
      <c r="E231" s="6" t="str">
        <f t="shared" si="21"/>
        <v>#if (SPI_PORT == 2) &amp;&amp; (SPI_CS_PIN == STM32IO_A11)
#define SPI_CS_AFIO 5
#endif</v>
      </c>
      <c r="F231" s="6"/>
      <c r="G231" s="6"/>
      <c r="H231" s="6"/>
      <c r="I231" s="6"/>
    </row>
    <row r="232" spans="1:9" ht="15" customHeight="1" x14ac:dyDescent="0.25">
      <c r="A232" s="6">
        <v>2</v>
      </c>
      <c r="B232" s="6" t="s">
        <v>571</v>
      </c>
      <c r="C232" s="6" t="s">
        <v>590</v>
      </c>
      <c r="D232" s="6">
        <v>5</v>
      </c>
      <c r="E232" s="6" t="str">
        <f t="shared" si="21"/>
        <v>#if (SPI_PORT == 2) &amp;&amp; (SPI_CLK_PIN == STM32IO_A12)
#define SPI_CLK_AFIO 5
#endif</v>
      </c>
      <c r="F232" s="6"/>
      <c r="G232" s="6"/>
      <c r="H232" s="6"/>
      <c r="I232" s="6"/>
    </row>
    <row r="233" spans="1:9" ht="15" customHeight="1" x14ac:dyDescent="0.25">
      <c r="A233" s="6">
        <v>1</v>
      </c>
      <c r="B233" s="6" t="s">
        <v>486</v>
      </c>
      <c r="C233" s="6" t="s">
        <v>589</v>
      </c>
      <c r="D233" s="6">
        <v>5</v>
      </c>
      <c r="E233" s="6" t="str">
        <f t="shared" si="21"/>
        <v>#if (SPI_PORT == 1) &amp;&amp; (SPI_CS_PIN == STM32IO_A15)
#define SPI_CS_AFIO 5
#endif</v>
      </c>
      <c r="F233" s="6"/>
      <c r="G233" s="6"/>
      <c r="H233" s="6"/>
      <c r="I233" s="6"/>
    </row>
    <row r="234" spans="1:9" ht="15" customHeight="1" x14ac:dyDescent="0.25">
      <c r="A234" s="6">
        <v>3</v>
      </c>
      <c r="B234" s="6" t="s">
        <v>486</v>
      </c>
      <c r="C234" s="6" t="s">
        <v>589</v>
      </c>
      <c r="D234" s="6">
        <v>6</v>
      </c>
      <c r="E234" s="6" t="str">
        <f t="shared" si="21"/>
        <v>#if (SPI_PORT == 3) &amp;&amp; (SPI_CS_PIN == STM32IO_A15)
#define SPI_CS_AFIO 6
#endif</v>
      </c>
      <c r="F234" s="6"/>
      <c r="G234" s="6"/>
      <c r="H234" s="6"/>
      <c r="I234" s="6"/>
    </row>
    <row r="235" spans="1:9" ht="15" customHeight="1" x14ac:dyDescent="0.25">
      <c r="A235" s="6">
        <v>6</v>
      </c>
      <c r="B235" s="6" t="s">
        <v>486</v>
      </c>
      <c r="C235" s="6" t="s">
        <v>589</v>
      </c>
      <c r="D235" s="6">
        <v>7</v>
      </c>
      <c r="E235" s="6" t="str">
        <f t="shared" si="21"/>
        <v>#if (SPI_PORT == 6) &amp;&amp; (SPI_CS_PIN == STM32IO_A15)
#define SPI_CS_AFIO 7
#endif</v>
      </c>
      <c r="F235" s="6"/>
      <c r="G235" s="6"/>
      <c r="H235" s="6"/>
      <c r="I235" s="6"/>
    </row>
    <row r="236" spans="1:9" ht="15" customHeight="1" x14ac:dyDescent="0.25">
      <c r="A236" s="6">
        <v>1</v>
      </c>
      <c r="B236" s="6" t="s">
        <v>491</v>
      </c>
      <c r="C236" s="6" t="s">
        <v>590</v>
      </c>
      <c r="D236" s="6">
        <v>5</v>
      </c>
      <c r="E236" s="6" t="str">
        <f t="shared" si="21"/>
        <v>#if (SPI_PORT == 1) &amp;&amp; (SPI_CLK_PIN == STM32IO_B3)
#define SPI_CLK_AFIO 5
#endif</v>
      </c>
      <c r="F236" s="6"/>
      <c r="G236" s="6"/>
      <c r="H236" s="6"/>
      <c r="I236" s="6"/>
    </row>
    <row r="237" spans="1:9" ht="15" customHeight="1" x14ac:dyDescent="0.25">
      <c r="A237" s="6">
        <v>1</v>
      </c>
      <c r="B237" s="6" t="s">
        <v>492</v>
      </c>
      <c r="C237" s="6" t="s">
        <v>592</v>
      </c>
      <c r="D237" s="6">
        <v>5</v>
      </c>
      <c r="E237" s="6" t="str">
        <f t="shared" si="21"/>
        <v>#if (SPI_PORT == 1) &amp;&amp; (SPI_SDI_PIN == STM32IO_B4)
#define SPI_SDI_AFIO 5
#endif</v>
      </c>
      <c r="F237" s="6"/>
      <c r="G237" s="6"/>
      <c r="H237" s="6"/>
      <c r="I237" s="6"/>
    </row>
    <row r="238" spans="1:9" ht="15" customHeight="1" x14ac:dyDescent="0.25">
      <c r="A238" s="6">
        <v>1</v>
      </c>
      <c r="B238" s="6" t="s">
        <v>575</v>
      </c>
      <c r="C238" s="6" t="s">
        <v>594</v>
      </c>
      <c r="D238" s="6">
        <v>5</v>
      </c>
      <c r="E238" s="6" t="str">
        <f t="shared" si="21"/>
        <v>#if (SPI_PORT == 1) &amp;&amp; (SPI_SDO_PIN == STM32IO_B5)
#define SPI_SDO_AFIO 5
#endif</v>
      </c>
      <c r="F238" s="6"/>
      <c r="G238" s="6"/>
      <c r="H238" s="6"/>
      <c r="I238" s="6"/>
    </row>
    <row r="239" spans="1:9" ht="15" customHeight="1" x14ac:dyDescent="0.25">
      <c r="A239" s="6">
        <v>3</v>
      </c>
      <c r="B239" s="6" t="s">
        <v>491</v>
      </c>
      <c r="C239" s="6" t="s">
        <v>590</v>
      </c>
      <c r="D239" s="6">
        <v>6</v>
      </c>
      <c r="E239" s="6" t="str">
        <f t="shared" si="21"/>
        <v>#if (SPI_PORT == 3) &amp;&amp; (SPI_CLK_PIN == STM32IO_B3)
#define SPI_CLK_AFIO 6
#endif</v>
      </c>
      <c r="F239" s="6"/>
      <c r="G239" s="6"/>
      <c r="H239" s="6"/>
      <c r="I239" s="6"/>
    </row>
    <row r="240" spans="1:9" ht="15" customHeight="1" x14ac:dyDescent="0.25">
      <c r="A240" s="6">
        <v>3</v>
      </c>
      <c r="B240" s="6" t="s">
        <v>492</v>
      </c>
      <c r="C240" s="6" t="s">
        <v>592</v>
      </c>
      <c r="D240" s="6">
        <v>6</v>
      </c>
      <c r="E240" s="6" t="str">
        <f t="shared" si="21"/>
        <v>#if (SPI_PORT == 3) &amp;&amp; (SPI_SDI_PIN == STM32IO_B4)
#define SPI_SDI_AFIO 6
#endif</v>
      </c>
      <c r="F240" s="6"/>
      <c r="G240" s="6"/>
      <c r="H240" s="6"/>
      <c r="I240" s="6"/>
    </row>
    <row r="241" spans="1:9" ht="15" customHeight="1" x14ac:dyDescent="0.25">
      <c r="A241" s="6">
        <v>3</v>
      </c>
      <c r="B241" s="6" t="s">
        <v>595</v>
      </c>
      <c r="C241" s="6" t="s">
        <v>594</v>
      </c>
      <c r="D241" s="6">
        <v>7</v>
      </c>
      <c r="E241" s="6" t="str">
        <f t="shared" si="21"/>
        <v>#if (SPI_PORT == 3) &amp;&amp; (SPI_SDO_PIN == STM32IO_B2)
#define SPI_SDO_AFIO 7
#endif</v>
      </c>
      <c r="F241" s="6"/>
      <c r="G241" s="6"/>
      <c r="H241" s="6"/>
      <c r="I241" s="6"/>
    </row>
    <row r="242" spans="1:9" ht="15" customHeight="1" x14ac:dyDescent="0.25">
      <c r="A242" s="6">
        <v>2</v>
      </c>
      <c r="B242" s="6" t="s">
        <v>492</v>
      </c>
      <c r="C242" s="6" t="s">
        <v>589</v>
      </c>
      <c r="D242" s="6">
        <v>7</v>
      </c>
      <c r="E242" s="6" t="str">
        <f t="shared" si="21"/>
        <v>#if (SPI_PORT == 2) &amp;&amp; (SPI_CS_PIN == STM32IO_B4)
#define SPI_CS_AFIO 7
#endif</v>
      </c>
      <c r="F242" s="6"/>
      <c r="G242" s="6"/>
      <c r="H242" s="6"/>
      <c r="I242" s="6"/>
    </row>
    <row r="243" spans="1:9" ht="15" customHeight="1" x14ac:dyDescent="0.25">
      <c r="A243" s="6">
        <v>3</v>
      </c>
      <c r="B243" s="6" t="s">
        <v>575</v>
      </c>
      <c r="C243" s="6" t="s">
        <v>594</v>
      </c>
      <c r="D243" s="6">
        <v>7</v>
      </c>
      <c r="E243" s="6" t="str">
        <f t="shared" si="21"/>
        <v>#if (SPI_PORT == 3) &amp;&amp; (SPI_SDO_PIN == STM32IO_B5)
#define SPI_SDO_AFIO 7
#endif</v>
      </c>
      <c r="F243" s="6"/>
      <c r="G243" s="6"/>
      <c r="H243" s="6"/>
      <c r="I243" s="6"/>
    </row>
    <row r="244" spans="1:9" ht="15" customHeight="1" x14ac:dyDescent="0.25">
      <c r="A244" s="6">
        <v>6</v>
      </c>
      <c r="B244" s="6" t="s">
        <v>491</v>
      </c>
      <c r="C244" s="6" t="s">
        <v>590</v>
      </c>
      <c r="D244" s="6">
        <v>8</v>
      </c>
      <c r="E244" s="6" t="str">
        <f t="shared" si="21"/>
        <v>#if (SPI_PORT == 6) &amp;&amp; (SPI_CLK_PIN == STM32IO_B3)
#define SPI_CLK_AFIO 8
#endif</v>
      </c>
      <c r="F244" s="6"/>
      <c r="G244" s="6"/>
      <c r="H244" s="6"/>
      <c r="I244" s="6"/>
    </row>
    <row r="245" spans="1:9" ht="15" customHeight="1" x14ac:dyDescent="0.25">
      <c r="A245" s="6">
        <v>6</v>
      </c>
      <c r="B245" s="6" t="s">
        <v>492</v>
      </c>
      <c r="C245" s="6" t="s">
        <v>592</v>
      </c>
      <c r="D245" s="6">
        <v>8</v>
      </c>
      <c r="E245" s="6" t="str">
        <f t="shared" si="21"/>
        <v>#if (SPI_PORT == 6) &amp;&amp; (SPI_SDI_PIN == STM32IO_B4)
#define SPI_SDI_AFIO 8
#endif</v>
      </c>
      <c r="F245" s="6"/>
      <c r="G245" s="6"/>
      <c r="H245" s="6"/>
      <c r="I245" s="6"/>
    </row>
    <row r="246" spans="1:9" ht="15" customHeight="1" x14ac:dyDescent="0.25">
      <c r="A246" s="6">
        <v>6</v>
      </c>
      <c r="B246" s="6" t="s">
        <v>575</v>
      </c>
      <c r="C246" s="6" t="s">
        <v>594</v>
      </c>
      <c r="D246" s="6">
        <v>8</v>
      </c>
      <c r="E246" s="6" t="str">
        <f t="shared" si="21"/>
        <v>#if (SPI_PORT == 6) &amp;&amp; (SPI_SDO_PIN == STM32IO_B5)
#define SPI_SDO_AFIO 8
#endif</v>
      </c>
      <c r="F246" s="6"/>
      <c r="G246" s="6"/>
      <c r="H246" s="6"/>
      <c r="I246" s="6"/>
    </row>
    <row r="247" spans="1:9" ht="15" customHeight="1" x14ac:dyDescent="0.25">
      <c r="A247" s="6">
        <v>2</v>
      </c>
      <c r="B247" s="6" t="s">
        <v>516</v>
      </c>
      <c r="C247" s="6" t="s">
        <v>589</v>
      </c>
      <c r="D247" s="6">
        <v>5</v>
      </c>
      <c r="E247" s="6" t="str">
        <f t="shared" si="21"/>
        <v>#if (SPI_PORT == 2) &amp;&amp; (SPI_CS_PIN == STM32IO_B9)
#define SPI_CS_AFIO 5
#endif</v>
      </c>
      <c r="F247" s="6"/>
      <c r="G247" s="6"/>
      <c r="H247" s="6"/>
      <c r="I247" s="6"/>
    </row>
    <row r="248" spans="1:9" ht="15" customHeight="1" x14ac:dyDescent="0.25">
      <c r="A248" s="6">
        <v>2</v>
      </c>
      <c r="B248" s="6" t="s">
        <v>143</v>
      </c>
      <c r="C248" s="6" t="s">
        <v>590</v>
      </c>
      <c r="D248" s="6">
        <v>5</v>
      </c>
      <c r="E248" s="6" t="str">
        <f t="shared" si="21"/>
        <v>#if (SPI_PORT == 2) &amp;&amp; (SPI_CLK_PIN == STM32IO_B10)
#define SPI_CLK_AFIO 5
#endif</v>
      </c>
      <c r="F248" s="6"/>
      <c r="G248" s="6"/>
      <c r="H248" s="6"/>
      <c r="I248" s="6"/>
    </row>
    <row r="249" spans="1:9" ht="15" customHeight="1" x14ac:dyDescent="0.25">
      <c r="A249" s="6">
        <v>2</v>
      </c>
      <c r="B249" s="6" t="s">
        <v>576</v>
      </c>
      <c r="C249" s="6" t="s">
        <v>589</v>
      </c>
      <c r="D249" s="6">
        <v>5</v>
      </c>
      <c r="E249" s="6" t="str">
        <f t="shared" si="21"/>
        <v>#if (SPI_PORT == 2) &amp;&amp; (SPI_CS_PIN == STM32IO_B12)
#define SPI_CS_AFIO 5
#endif</v>
      </c>
      <c r="F249" s="6"/>
      <c r="G249" s="6"/>
      <c r="H249" s="6"/>
      <c r="I249" s="6"/>
    </row>
    <row r="250" spans="1:9" ht="15" customHeight="1" x14ac:dyDescent="0.25">
      <c r="A250" s="6">
        <v>2</v>
      </c>
      <c r="B250" s="6" t="s">
        <v>517</v>
      </c>
      <c r="C250" s="6" t="s">
        <v>590</v>
      </c>
      <c r="D250" s="6">
        <v>5</v>
      </c>
      <c r="E250" s="6" t="str">
        <f t="shared" si="21"/>
        <v>#if (SPI_PORT == 2) &amp;&amp; (SPI_CLK_PIN == STM32IO_B13)
#define SPI_CLK_AFIO 5
#endif</v>
      </c>
      <c r="F250" s="6"/>
      <c r="G250" s="6"/>
      <c r="H250" s="6"/>
      <c r="I250" s="6"/>
    </row>
    <row r="251" spans="1:9" ht="15" customHeight="1" x14ac:dyDescent="0.25">
      <c r="A251" s="6">
        <v>2</v>
      </c>
      <c r="B251" s="6" t="s">
        <v>518</v>
      </c>
      <c r="C251" s="6" t="s">
        <v>592</v>
      </c>
      <c r="D251" s="6">
        <v>5</v>
      </c>
      <c r="E251" s="6" t="str">
        <f t="shared" si="21"/>
        <v>#if (SPI_PORT == 2) &amp;&amp; (SPI_SDI_PIN == STM32IO_B14)
#define SPI_SDI_AFIO 5
#endif</v>
      </c>
      <c r="F251" s="6"/>
      <c r="G251" s="6"/>
      <c r="H251" s="6"/>
      <c r="I251" s="6"/>
    </row>
    <row r="252" spans="1:9" ht="15" customHeight="1" x14ac:dyDescent="0.25">
      <c r="A252" s="6">
        <v>2</v>
      </c>
      <c r="B252" s="6" t="s">
        <v>569</v>
      </c>
      <c r="C252" s="6" t="s">
        <v>594</v>
      </c>
      <c r="D252" s="6">
        <v>5</v>
      </c>
      <c r="E252" s="6" t="str">
        <f t="shared" si="21"/>
        <v>#if (SPI_PORT == 2) &amp;&amp; (SPI_SDO_PIN == STM32IO_B15)
#define SPI_SDO_AFIO 5
#endif</v>
      </c>
      <c r="F252" s="6"/>
      <c r="G252" s="6"/>
      <c r="H252" s="6"/>
      <c r="I252" s="6"/>
    </row>
    <row r="253" spans="1:9" ht="15" customHeight="1" x14ac:dyDescent="0.25">
      <c r="A253" s="6">
        <v>2</v>
      </c>
      <c r="B253" s="6" t="s">
        <v>494</v>
      </c>
      <c r="C253" s="6" t="s">
        <v>594</v>
      </c>
      <c r="D253" s="6">
        <v>5</v>
      </c>
      <c r="E253" s="6" t="str">
        <f t="shared" si="21"/>
        <v>#if (SPI_PORT == 2) &amp;&amp; (SPI_SDO_PIN == STM32IO_C1)
#define SPI_SDO_AFIO 5
#endif</v>
      </c>
      <c r="F253" s="6"/>
      <c r="G253" s="6"/>
      <c r="H253" s="6"/>
      <c r="I253" s="6"/>
    </row>
    <row r="254" spans="1:9" ht="15" customHeight="1" x14ac:dyDescent="0.25">
      <c r="A254" s="6">
        <v>2</v>
      </c>
      <c r="B254" s="6" t="s">
        <v>501</v>
      </c>
      <c r="C254" s="6" t="s">
        <v>592</v>
      </c>
      <c r="D254" s="6">
        <v>5</v>
      </c>
      <c r="E254" s="6" t="str">
        <f t="shared" si="21"/>
        <v>#if (SPI_PORT == 2) &amp;&amp; (SPI_SDI_PIN == STM32IO_C2)
#define SPI_SDI_AFIO 5
#endif</v>
      </c>
      <c r="F254" s="6"/>
      <c r="G254" s="6"/>
      <c r="H254" s="6"/>
      <c r="I254" s="6"/>
    </row>
    <row r="255" spans="1:9" ht="15" customHeight="1" x14ac:dyDescent="0.25">
      <c r="A255" s="6">
        <v>2</v>
      </c>
      <c r="B255" s="6" t="s">
        <v>502</v>
      </c>
      <c r="C255" s="6" t="s">
        <v>594</v>
      </c>
      <c r="D255" s="6">
        <v>5</v>
      </c>
      <c r="E255" s="6" t="str">
        <f t="shared" si="21"/>
        <v>#if (SPI_PORT == 2) &amp;&amp; (SPI_SDO_PIN == STM32IO_C3)
#define SPI_SDO_AFIO 5
#endif</v>
      </c>
      <c r="F255" s="6"/>
      <c r="G255" s="6"/>
      <c r="H255" s="6"/>
      <c r="I255" s="6"/>
    </row>
    <row r="256" spans="1:9" ht="15" customHeight="1" x14ac:dyDescent="0.25">
      <c r="A256" s="6">
        <v>3</v>
      </c>
      <c r="B256" s="6" t="s">
        <v>146</v>
      </c>
      <c r="C256" s="6" t="s">
        <v>590</v>
      </c>
      <c r="D256" s="6">
        <v>6</v>
      </c>
      <c r="E256" s="6" t="str">
        <f t="shared" si="21"/>
        <v>#if (SPI_PORT == 3) &amp;&amp; (SPI_CLK_PIN == STM32IO_C10)
#define SPI_CLK_AFIO 6
#endif</v>
      </c>
      <c r="F256" s="6"/>
      <c r="G256" s="6"/>
      <c r="H256" s="6"/>
      <c r="I256" s="6"/>
    </row>
    <row r="257" spans="1:9" ht="15" customHeight="1" x14ac:dyDescent="0.25">
      <c r="A257" s="6">
        <v>3</v>
      </c>
      <c r="B257" s="6" t="s">
        <v>147</v>
      </c>
      <c r="C257" s="6" t="s">
        <v>592</v>
      </c>
      <c r="D257" s="6">
        <v>6</v>
      </c>
      <c r="E257" s="6" t="str">
        <f t="shared" si="21"/>
        <v>#if (SPI_PORT == 3) &amp;&amp; (SPI_SDI_PIN == STM32IO_C11)
#define SPI_SDI_AFIO 6
#endif</v>
      </c>
      <c r="F257" s="6"/>
      <c r="G257" s="6"/>
      <c r="H257" s="6"/>
      <c r="I257" s="6"/>
    </row>
    <row r="258" spans="1:9" ht="15" customHeight="1" x14ac:dyDescent="0.25">
      <c r="A258" s="6">
        <v>3</v>
      </c>
      <c r="B258" s="6" t="s">
        <v>152</v>
      </c>
      <c r="C258" s="6" t="s">
        <v>594</v>
      </c>
      <c r="D258" s="6">
        <v>6</v>
      </c>
      <c r="E258" s="6" t="str">
        <f t="shared" si="21"/>
        <v>#if (SPI_PORT == 3) &amp;&amp; (SPI_SDO_PIN == STM32IO_C12)
#define SPI_SDO_AFIO 6
#endif</v>
      </c>
      <c r="F258" s="6"/>
      <c r="G258" s="6"/>
      <c r="H258" s="6"/>
      <c r="I258" s="6"/>
    </row>
    <row r="259" spans="1:9" ht="15" customHeight="1" x14ac:dyDescent="0.25">
      <c r="A259" s="6">
        <v>2</v>
      </c>
      <c r="B259" s="6" t="s">
        <v>596</v>
      </c>
      <c r="C259" s="6" t="s">
        <v>590</v>
      </c>
      <c r="D259" s="6">
        <v>5</v>
      </c>
      <c r="E259" s="6" t="str">
        <f t="shared" si="21"/>
        <v>#if (SPI_PORT == 2) &amp;&amp; (SPI_CLK_PIN == STM32IO_D3)
#define SPI_CLK_AFIO 5
#endif</v>
      </c>
      <c r="F259" s="6"/>
      <c r="G259" s="6"/>
      <c r="H259" s="6"/>
      <c r="I259" s="6"/>
    </row>
    <row r="260" spans="1:9" ht="15" customHeight="1" x14ac:dyDescent="0.25">
      <c r="A260" s="6">
        <v>3</v>
      </c>
      <c r="B260" s="6" t="s">
        <v>142</v>
      </c>
      <c r="C260" s="6" t="s">
        <v>594</v>
      </c>
      <c r="D260" s="6">
        <v>5</v>
      </c>
      <c r="E260" s="6" t="str">
        <f t="shared" si="21"/>
        <v>#if (SPI_PORT == 3) &amp;&amp; (SPI_SDO_PIN == STM32IO_D6)
#define SPI_SDO_AFIO 5
#endif</v>
      </c>
      <c r="F260" s="6"/>
      <c r="G260" s="6"/>
      <c r="H260" s="6"/>
      <c r="I260" s="6"/>
    </row>
    <row r="261" spans="1:9" ht="15" customHeight="1" x14ac:dyDescent="0.25">
      <c r="A261" s="6">
        <v>1</v>
      </c>
      <c r="B261" s="6" t="s">
        <v>597</v>
      </c>
      <c r="C261" s="6" t="s">
        <v>594</v>
      </c>
      <c r="D261" s="6">
        <v>5</v>
      </c>
      <c r="E261" s="6" t="str">
        <f t="shared" si="21"/>
        <v>#if (SPI_PORT == 1) &amp;&amp; (SPI_SDO_PIN == STM32IO_D7)
#define SPI_SDO_AFIO 5
#endif</v>
      </c>
      <c r="F261" s="6"/>
      <c r="G261" s="6"/>
      <c r="H261" s="6"/>
      <c r="I261" s="6"/>
    </row>
    <row r="262" spans="1:9" ht="15" customHeight="1" x14ac:dyDescent="0.25">
      <c r="A262" s="6">
        <v>4</v>
      </c>
      <c r="B262" s="6" t="s">
        <v>598</v>
      </c>
      <c r="C262" s="6" t="s">
        <v>590</v>
      </c>
      <c r="D262" s="6">
        <v>5</v>
      </c>
      <c r="E262" s="6" t="str">
        <f t="shared" si="21"/>
        <v>#if (SPI_PORT == 4) &amp;&amp; (SPI_CLK_PIN == STM32IO_E2)
#define SPI_CLK_AFIO 5
#endif</v>
      </c>
      <c r="F262" s="6"/>
      <c r="G262" s="6"/>
      <c r="H262" s="6"/>
      <c r="I262" s="6"/>
    </row>
    <row r="263" spans="1:9" ht="15" customHeight="1" x14ac:dyDescent="0.25">
      <c r="A263" s="6">
        <v>4</v>
      </c>
      <c r="B263" s="6" t="s">
        <v>599</v>
      </c>
      <c r="C263" s="6" t="s">
        <v>589</v>
      </c>
      <c r="D263" s="6">
        <v>5</v>
      </c>
      <c r="E263" s="6" t="str">
        <f t="shared" si="21"/>
        <v>#if (SPI_PORT == 4) &amp;&amp; (SPI_CS_PIN == STM32IO_E4)
#define SPI_CS_AFIO 5
#endif</v>
      </c>
      <c r="F263" s="6"/>
      <c r="G263" s="6"/>
      <c r="H263" s="6"/>
      <c r="I263" s="6"/>
    </row>
    <row r="264" spans="1:9" ht="15" customHeight="1" x14ac:dyDescent="0.25">
      <c r="A264" s="6">
        <v>4</v>
      </c>
      <c r="B264" s="6" t="s">
        <v>600</v>
      </c>
      <c r="C264" s="6" t="s">
        <v>592</v>
      </c>
      <c r="D264" s="6">
        <v>5</v>
      </c>
      <c r="E264" s="6" t="str">
        <f t="shared" si="21"/>
        <v>#if (SPI_PORT == 4) &amp;&amp; (SPI_SDI_PIN == STM32IO_E5)
#define SPI_SDI_AFIO 5
#endif</v>
      </c>
      <c r="F264" s="6"/>
      <c r="G264" s="6"/>
      <c r="H264" s="6"/>
      <c r="I264" s="6"/>
    </row>
    <row r="265" spans="1:9" ht="15" customHeight="1" x14ac:dyDescent="0.25">
      <c r="A265" s="6">
        <v>4</v>
      </c>
      <c r="B265" s="6" t="s">
        <v>601</v>
      </c>
      <c r="C265" s="6" t="s">
        <v>594</v>
      </c>
      <c r="D265" s="6">
        <v>5</v>
      </c>
      <c r="E265" s="6" t="str">
        <f t="shared" si="21"/>
        <v>#if (SPI_PORT == 4) &amp;&amp; (SPI_SDO_PIN == STM32IO_E6)
#define SPI_SDO_AFIO 5
#endif</v>
      </c>
      <c r="F265" s="6"/>
      <c r="G265" s="6"/>
      <c r="H265" s="6"/>
      <c r="I265" s="6"/>
    </row>
    <row r="266" spans="1:9" ht="15" customHeight="1" x14ac:dyDescent="0.25">
      <c r="A266" s="6">
        <v>4</v>
      </c>
      <c r="B266" s="6" t="s">
        <v>508</v>
      </c>
      <c r="C266" s="6" t="s">
        <v>589</v>
      </c>
      <c r="D266" s="6">
        <v>5</v>
      </c>
      <c r="E266" s="6" t="str">
        <f t="shared" si="21"/>
        <v>#if (SPI_PORT == 4) &amp;&amp; (SPI_CS_PIN == STM32IO_E11)
#define SPI_CS_AFIO 5
#endif</v>
      </c>
      <c r="F266" s="6"/>
      <c r="G266" s="6"/>
      <c r="H266" s="6"/>
      <c r="I266" s="6"/>
    </row>
    <row r="267" spans="1:9" ht="15" customHeight="1" x14ac:dyDescent="0.25">
      <c r="A267" s="6">
        <v>4</v>
      </c>
      <c r="B267" s="6" t="s">
        <v>602</v>
      </c>
      <c r="C267" s="6" t="s">
        <v>590</v>
      </c>
      <c r="D267" s="6">
        <v>5</v>
      </c>
      <c r="E267" s="6" t="str">
        <f t="shared" si="21"/>
        <v>#if (SPI_PORT == 4) &amp;&amp; (SPI_CLK_PIN == STM32IO_E12)
#define SPI_CLK_AFIO 5
#endif</v>
      </c>
      <c r="F267" s="6"/>
      <c r="G267" s="6"/>
      <c r="H267" s="6"/>
      <c r="I267" s="6"/>
    </row>
    <row r="268" spans="1:9" ht="15" customHeight="1" x14ac:dyDescent="0.25">
      <c r="A268" s="6">
        <v>4</v>
      </c>
      <c r="B268" s="6" t="s">
        <v>603</v>
      </c>
      <c r="C268" s="6" t="s">
        <v>592</v>
      </c>
      <c r="D268" s="6">
        <v>5</v>
      </c>
      <c r="E268" s="6" t="str">
        <f t="shared" si="21"/>
        <v>#if (SPI_PORT == 4) &amp;&amp; (SPI_SDI_PIN == STM32IO_E13)
#define SPI_SDI_AFIO 5
#endif</v>
      </c>
      <c r="F268" s="6"/>
      <c r="G268" s="6"/>
      <c r="H268" s="6"/>
      <c r="I268" s="6"/>
    </row>
    <row r="269" spans="1:9" ht="15" customHeight="1" x14ac:dyDescent="0.25">
      <c r="A269" s="6">
        <v>4</v>
      </c>
      <c r="B269" s="6" t="s">
        <v>604</v>
      </c>
      <c r="C269" s="6" t="s">
        <v>594</v>
      </c>
      <c r="D269" s="6">
        <v>5</v>
      </c>
      <c r="E269" s="6" t="str">
        <f t="shared" si="21"/>
        <v>#if (SPI_PORT == 4) &amp;&amp; (SPI_SDO_PIN == STM32IO_E14)
#define SPI_SDO_AFIO 5
#endif</v>
      </c>
      <c r="F269" s="6"/>
      <c r="G269" s="6"/>
      <c r="H269" s="6"/>
      <c r="I269" s="6"/>
    </row>
    <row r="270" spans="1:9" ht="15" customHeight="1" x14ac:dyDescent="0.25">
      <c r="A270" s="6">
        <v>5</v>
      </c>
      <c r="B270" s="6" t="s">
        <v>582</v>
      </c>
      <c r="C270" s="6" t="s">
        <v>589</v>
      </c>
      <c r="D270" s="6">
        <v>5</v>
      </c>
      <c r="E270" s="6" t="str">
        <f t="shared" si="21"/>
        <v>#if (SPI_PORT == 5) &amp;&amp; (SPI_CS_PIN == STM32IO_F6)
#define SPI_CS_AFIO 5
#endif</v>
      </c>
      <c r="F270" s="6"/>
      <c r="G270" s="6"/>
      <c r="H270" s="6"/>
      <c r="I270" s="6"/>
    </row>
    <row r="271" spans="1:9" ht="15" customHeight="1" x14ac:dyDescent="0.25">
      <c r="A271" s="6">
        <v>5</v>
      </c>
      <c r="B271" s="6" t="s">
        <v>581</v>
      </c>
      <c r="C271" s="6" t="s">
        <v>590</v>
      </c>
      <c r="D271" s="6">
        <v>5</v>
      </c>
      <c r="E271" s="6" t="str">
        <f t="shared" si="21"/>
        <v>#if (SPI_PORT == 5) &amp;&amp; (SPI_CLK_PIN == STM32IO_F7)
#define SPI_CLK_AFIO 5
#endif</v>
      </c>
      <c r="F271" s="6"/>
      <c r="G271" s="6"/>
      <c r="H271" s="6"/>
      <c r="I271" s="6"/>
    </row>
    <row r="272" spans="1:9" ht="15" customHeight="1" x14ac:dyDescent="0.25">
      <c r="A272" s="6">
        <v>5</v>
      </c>
      <c r="B272" s="6" t="s">
        <v>605</v>
      </c>
      <c r="C272" s="6" t="s">
        <v>592</v>
      </c>
      <c r="D272" s="6">
        <v>5</v>
      </c>
      <c r="E272" s="6" t="str">
        <f t="shared" si="21"/>
        <v>#if (SPI_PORT == 5) &amp;&amp; (SPI_SDI_PIN == STM32IO_F8)
#define SPI_SDI_AFIO 5
#endif</v>
      </c>
      <c r="F272" s="6"/>
      <c r="G272" s="6"/>
      <c r="H272" s="6"/>
      <c r="I272" s="6"/>
    </row>
    <row r="273" spans="1:9" ht="15" customHeight="1" x14ac:dyDescent="0.25">
      <c r="A273" s="6">
        <v>5</v>
      </c>
      <c r="B273" s="6" t="s">
        <v>606</v>
      </c>
      <c r="C273" s="6" t="s">
        <v>594</v>
      </c>
      <c r="D273" s="6">
        <v>5</v>
      </c>
      <c r="E273" s="6" t="str">
        <f t="shared" si="21"/>
        <v>#if (SPI_PORT == 5) &amp;&amp; (SPI_SDO_PIN == STM32IO_F9)
#define SPI_SDO_AFIO 5
#endif</v>
      </c>
      <c r="F273" s="6"/>
      <c r="G273" s="6"/>
      <c r="H273" s="6"/>
      <c r="I273" s="6"/>
    </row>
    <row r="274" spans="1:9" ht="15" customHeight="1" x14ac:dyDescent="0.25">
      <c r="A274" s="6">
        <v>5</v>
      </c>
      <c r="B274" s="6" t="s">
        <v>607</v>
      </c>
      <c r="C274" s="6" t="s">
        <v>594</v>
      </c>
      <c r="D274" s="6">
        <v>5</v>
      </c>
      <c r="E274" s="6" t="str">
        <f t="shared" si="21"/>
        <v>#if (SPI_PORT == 5) &amp;&amp; (SPI_SDO_PIN == STM32IO_F11)
#define SPI_SDO_AFIO 5
#endif</v>
      </c>
      <c r="F274" s="6"/>
      <c r="G274" s="6"/>
      <c r="H274" s="6"/>
      <c r="I274" s="6"/>
    </row>
    <row r="275" spans="1:9" ht="15" customHeight="1" x14ac:dyDescent="0.25">
      <c r="A275" s="6">
        <v>6</v>
      </c>
      <c r="B275" s="6" t="s">
        <v>608</v>
      </c>
      <c r="C275" s="6" t="s">
        <v>589</v>
      </c>
      <c r="D275" s="6">
        <v>5</v>
      </c>
      <c r="E275" s="6" t="str">
        <f t="shared" si="21"/>
        <v>#if (SPI_PORT == 6) &amp;&amp; (SPI_CS_PIN == STM32IO_G8)
#define SPI_CS_AFIO 5
#endif</v>
      </c>
      <c r="F275" s="6"/>
      <c r="G275" s="6"/>
      <c r="H275" s="6"/>
      <c r="I275" s="6"/>
    </row>
    <row r="276" spans="1:9" ht="15" customHeight="1" x14ac:dyDescent="0.25">
      <c r="A276" s="6">
        <v>1</v>
      </c>
      <c r="B276" s="6" t="s">
        <v>578</v>
      </c>
      <c r="C276" s="6" t="s">
        <v>592</v>
      </c>
      <c r="D276" s="6">
        <v>5</v>
      </c>
      <c r="E276" s="6" t="str">
        <f t="shared" si="21"/>
        <v>#if (SPI_PORT == 1) &amp;&amp; (SPI_SDI_PIN == STM32IO_G9)
#define SPI_SDI_AFIO 5
#endif</v>
      </c>
      <c r="F276" s="6"/>
      <c r="G276" s="6"/>
      <c r="H276" s="6"/>
      <c r="I276" s="6"/>
    </row>
    <row r="277" spans="1:9" ht="15" customHeight="1" x14ac:dyDescent="0.25">
      <c r="A277" s="6">
        <v>1</v>
      </c>
      <c r="B277" s="6" t="s">
        <v>609</v>
      </c>
      <c r="C277" s="6" t="s">
        <v>589</v>
      </c>
      <c r="D277" s="6">
        <v>5</v>
      </c>
      <c r="E277" s="6" t="str">
        <f t="shared" si="21"/>
        <v>#if (SPI_PORT == 1) &amp;&amp; (SPI_CS_PIN == STM32IO_G10)
#define SPI_CS_AFIO 5
#endif</v>
      </c>
      <c r="F277" s="6"/>
      <c r="G277" s="6"/>
      <c r="H277" s="6"/>
      <c r="I277" s="6"/>
    </row>
    <row r="278" spans="1:9" ht="15" customHeight="1" x14ac:dyDescent="0.25">
      <c r="A278" s="6">
        <v>1</v>
      </c>
      <c r="B278" s="6" t="s">
        <v>610</v>
      </c>
      <c r="C278" s="6" t="s">
        <v>590</v>
      </c>
      <c r="D278" s="6">
        <v>5</v>
      </c>
      <c r="E278" s="6" t="str">
        <f t="shared" si="21"/>
        <v>#if (SPI_PORT == 1) &amp;&amp; (SPI_CLK_PIN == STM32IO_G11)
#define SPI_CLK_AFIO 5
#endif</v>
      </c>
      <c r="F278" s="6"/>
      <c r="G278" s="6"/>
      <c r="H278" s="6"/>
      <c r="I278" s="6"/>
    </row>
    <row r="279" spans="1:9" ht="15" customHeight="1" x14ac:dyDescent="0.25">
      <c r="A279" s="6">
        <v>6</v>
      </c>
      <c r="B279" s="6" t="s">
        <v>611</v>
      </c>
      <c r="C279" s="6" t="s">
        <v>592</v>
      </c>
      <c r="D279" s="6">
        <v>5</v>
      </c>
      <c r="E279" s="6" t="str">
        <f t="shared" si="21"/>
        <v>#if (SPI_PORT == 6) &amp;&amp; (SPI_SDI_PIN == STM32IO_G12)
#define SPI_SDI_AFIO 5
#endif</v>
      </c>
      <c r="F279" s="6"/>
      <c r="G279" s="6"/>
      <c r="H279" s="6"/>
      <c r="I279" s="6"/>
    </row>
    <row r="280" spans="1:9" ht="15" customHeight="1" x14ac:dyDescent="0.25">
      <c r="A280" s="6">
        <v>6</v>
      </c>
      <c r="B280" s="6" t="s">
        <v>612</v>
      </c>
      <c r="C280" s="6" t="s">
        <v>590</v>
      </c>
      <c r="D280" s="6">
        <v>5</v>
      </c>
      <c r="E280" s="6" t="str">
        <f t="shared" si="21"/>
        <v>#if (SPI_PORT == 6) &amp;&amp; (SPI_CLK_PIN == STM32IO_G13)
#define SPI_CLK_AFIO 5
#endif</v>
      </c>
      <c r="F280" s="6"/>
      <c r="G280" s="6"/>
      <c r="H280" s="6"/>
      <c r="I280" s="6"/>
    </row>
    <row r="281" spans="1:9" ht="15" customHeight="1" x14ac:dyDescent="0.25">
      <c r="A281" s="6">
        <v>6</v>
      </c>
      <c r="B281" s="6" t="s">
        <v>577</v>
      </c>
      <c r="C281" s="6" t="s">
        <v>594</v>
      </c>
      <c r="D281" s="6">
        <v>5</v>
      </c>
      <c r="E281" s="6" t="str">
        <f t="shared" si="21"/>
        <v>#if (SPI_PORT == 6) &amp;&amp; (SPI_SDO_PIN == STM32IO_G14)
#define SPI_SDO_AFIO 5
#endif</v>
      </c>
      <c r="F281" s="6"/>
      <c r="G281" s="6"/>
      <c r="H281" s="6"/>
      <c r="I281" s="6"/>
    </row>
    <row r="282" spans="1:9" ht="15" customHeight="1" x14ac:dyDescent="0.25">
      <c r="A282" s="6">
        <v>5</v>
      </c>
      <c r="B282" s="6" t="s">
        <v>613</v>
      </c>
      <c r="C282" s="6" t="s">
        <v>589</v>
      </c>
      <c r="D282" s="6">
        <v>5</v>
      </c>
      <c r="E282" s="6" t="str">
        <f t="shared" si="21"/>
        <v>#if (SPI_PORT == 5) &amp;&amp; (SPI_CS_PIN == STM32IO_H5)
#define SPI_CS_AFIO 5
#endif</v>
      </c>
      <c r="F282" s="6"/>
      <c r="G282" s="6"/>
      <c r="H282" s="6"/>
      <c r="I282" s="6"/>
    </row>
    <row r="283" spans="1:9" ht="15" customHeight="1" x14ac:dyDescent="0.25">
      <c r="A283" s="6">
        <v>5</v>
      </c>
      <c r="B283" s="6" t="s">
        <v>614</v>
      </c>
      <c r="C283" s="6" t="s">
        <v>590</v>
      </c>
      <c r="D283" s="6">
        <v>5</v>
      </c>
      <c r="E283" s="6" t="str">
        <f t="shared" si="21"/>
        <v>#if (SPI_PORT == 5) &amp;&amp; (SPI_CLK_PIN == STM32IO_H6)
#define SPI_CLK_AFIO 5
#endif</v>
      </c>
      <c r="F283" s="6"/>
      <c r="G283" s="6"/>
      <c r="H283" s="6"/>
      <c r="I283" s="6"/>
    </row>
    <row r="284" spans="1:9" ht="15" customHeight="1" x14ac:dyDescent="0.25">
      <c r="A284" s="6">
        <v>5</v>
      </c>
      <c r="B284" s="6" t="s">
        <v>615</v>
      </c>
      <c r="C284" s="6" t="s">
        <v>592</v>
      </c>
      <c r="D284" s="6">
        <v>5</v>
      </c>
      <c r="E284" s="6" t="str">
        <f t="shared" si="21"/>
        <v>#if (SPI_PORT == 5) &amp;&amp; (SPI_SDI_PIN == STM32IO_H7)
#define SPI_SDI_AFIO 5
#endif</v>
      </c>
      <c r="F284" s="6"/>
      <c r="G284" s="6"/>
      <c r="H284" s="6"/>
      <c r="I284" s="6"/>
    </row>
    <row r="285" spans="1:9" ht="15" customHeight="1" x14ac:dyDescent="0.25">
      <c r="A285" s="6">
        <v>2</v>
      </c>
      <c r="B285" s="6" t="s">
        <v>616</v>
      </c>
      <c r="C285" s="6" t="s">
        <v>589</v>
      </c>
      <c r="D285" s="6">
        <v>5</v>
      </c>
      <c r="E285" s="6" t="str">
        <f t="shared" si="21"/>
        <v>#if (SPI_PORT == 2) &amp;&amp; (SPI_CS_PIN == STM32IO_I0)
#define SPI_CS_AFIO 5
#endif</v>
      </c>
      <c r="F285" s="6"/>
      <c r="G285" s="6"/>
      <c r="H285" s="6"/>
      <c r="I285" s="6"/>
    </row>
    <row r="286" spans="1:9" ht="15" customHeight="1" x14ac:dyDescent="0.25">
      <c r="A286" s="6">
        <v>2</v>
      </c>
      <c r="B286" s="6" t="s">
        <v>617</v>
      </c>
      <c r="C286" s="6" t="s">
        <v>590</v>
      </c>
      <c r="D286" s="6">
        <v>5</v>
      </c>
      <c r="E286" s="6" t="str">
        <f t="shared" si="21"/>
        <v>#if (SPI_PORT == 2) &amp;&amp; (SPI_CLK_PIN == STM32IO_I1)
#define SPI_CLK_AFIO 5
#endif</v>
      </c>
      <c r="F286" s="6"/>
      <c r="G286" s="6"/>
      <c r="H286" s="6"/>
      <c r="I286" s="6"/>
    </row>
    <row r="287" spans="1:9" ht="15" customHeight="1" x14ac:dyDescent="0.25">
      <c r="A287" s="6">
        <v>2</v>
      </c>
      <c r="B287" s="6" t="s">
        <v>618</v>
      </c>
      <c r="C287" s="6" t="s">
        <v>592</v>
      </c>
      <c r="D287" s="6">
        <v>5</v>
      </c>
      <c r="E287" s="6" t="str">
        <f t="shared" si="21"/>
        <v>#if (SPI_PORT == 2) &amp;&amp; (SPI_SDI_PIN == STM32IO_I2)
#define SPI_SDI_AFIO 5
#endif</v>
      </c>
      <c r="F287" s="6"/>
      <c r="G287" s="6"/>
      <c r="H287" s="6"/>
      <c r="I287" s="6"/>
    </row>
    <row r="288" spans="1:9" ht="15" customHeight="1" x14ac:dyDescent="0.25">
      <c r="A288" s="6">
        <v>2</v>
      </c>
      <c r="B288" s="6" t="s">
        <v>619</v>
      </c>
      <c r="C288" s="6" t="s">
        <v>594</v>
      </c>
      <c r="D288" s="6">
        <v>5</v>
      </c>
      <c r="E288" s="6" t="str">
        <f t="shared" si="21"/>
        <v>#if (SPI_PORT == 2) &amp;&amp; (SPI_SDO_PIN == STM32IO_I3)
#define SPI_SDO_AFIO 5
#endif</v>
      </c>
      <c r="F288" s="6"/>
      <c r="G288" s="6"/>
      <c r="H288" s="6"/>
      <c r="I288" s="6"/>
    </row>
    <row r="289" spans="1:9" ht="15" customHeight="1" x14ac:dyDescent="0.25">
      <c r="A289" s="6">
        <v>5</v>
      </c>
      <c r="B289" s="6" t="s">
        <v>620</v>
      </c>
      <c r="C289" s="6" t="s">
        <v>594</v>
      </c>
      <c r="D289" s="6">
        <v>5</v>
      </c>
      <c r="E289" s="6" t="str">
        <f t="shared" si="21"/>
        <v>#if (SPI_PORT == 5) &amp;&amp; (SPI_SDO_PIN == STM32IO_J10)
#define SPI_SDO_AFIO 5
#endif</v>
      </c>
      <c r="F289" s="6"/>
      <c r="G289" s="6"/>
      <c r="H289" s="6"/>
      <c r="I289" s="6"/>
    </row>
    <row r="290" spans="1:9" ht="15" customHeight="1" x14ac:dyDescent="0.25">
      <c r="A290" s="6">
        <v>5</v>
      </c>
      <c r="B290" s="6" t="s">
        <v>621</v>
      </c>
      <c r="C290" s="6" t="s">
        <v>592</v>
      </c>
      <c r="D290" s="6">
        <v>5</v>
      </c>
      <c r="E290" s="6" t="str">
        <f t="shared" si="21"/>
        <v>#if (SPI_PORT == 5) &amp;&amp; (SPI_SDI_PIN == STM32IO_J11)
#define SPI_SDI_AFIO 5
#endif</v>
      </c>
      <c r="F290" s="6"/>
      <c r="G290" s="6"/>
      <c r="H290" s="6"/>
      <c r="I290" s="6"/>
    </row>
    <row r="291" spans="1:9" ht="15" customHeight="1" x14ac:dyDescent="0.25">
      <c r="A291" s="6">
        <v>5</v>
      </c>
      <c r="B291" s="6" t="s">
        <v>622</v>
      </c>
      <c r="C291" s="6" t="s">
        <v>590</v>
      </c>
      <c r="D291" s="6">
        <v>5</v>
      </c>
      <c r="E291" s="6" t="str">
        <f t="shared" si="21"/>
        <v>#if (SPI_PORT == 5) &amp;&amp; (SPI_CLK_PIN == STM32IO_K0)
#define SPI_CLK_AFIO 5
#endif</v>
      </c>
      <c r="F291" s="6"/>
      <c r="G291" s="6"/>
      <c r="H291" s="6"/>
      <c r="I291" s="6"/>
    </row>
    <row r="292" spans="1:9" ht="15" customHeight="1" x14ac:dyDescent="0.25">
      <c r="A292" s="6">
        <v>5</v>
      </c>
      <c r="B292" s="6" t="s">
        <v>623</v>
      </c>
      <c r="C292" s="6" t="s">
        <v>589</v>
      </c>
      <c r="D292" s="6">
        <v>5</v>
      </c>
      <c r="E292" s="6" t="str">
        <f t="shared" si="21"/>
        <v>#if (SPI_PORT == 5) &amp;&amp; (SPI_CS_PIN == STM32IO_K1)
#define SPI_CS_AFIO 5
#endif</v>
      </c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" customHeight="1" x14ac:dyDescent="0.25">
      <c r="A342" s="6"/>
      <c r="B342" s="6"/>
      <c r="C342" s="6"/>
      <c r="D342" s="6"/>
      <c r="E342" s="6"/>
      <c r="F342" s="6"/>
      <c r="G342" s="6"/>
      <c r="H342" s="6"/>
      <c r="I342" s="6"/>
    </row>
    <row r="343" spans="1:9" ht="15" customHeight="1" x14ac:dyDescent="0.25">
      <c r="A343" s="6"/>
      <c r="B343" s="6"/>
      <c r="C343" s="6"/>
      <c r="D343" s="6"/>
      <c r="E343" s="6"/>
      <c r="F343" s="6"/>
      <c r="G343" s="6"/>
      <c r="H343" s="6"/>
      <c r="I343" s="6"/>
    </row>
    <row r="344" spans="1:9" ht="15" customHeight="1" x14ac:dyDescent="0.25">
      <c r="A344" s="6"/>
      <c r="B344" s="6"/>
      <c r="C344" s="6"/>
      <c r="D344" s="6"/>
      <c r="E344" s="6"/>
      <c r="F344" s="6"/>
      <c r="G344" s="6"/>
      <c r="H344" s="6"/>
      <c r="I344" s="6"/>
    </row>
    <row r="345" spans="1:9" ht="15" customHeight="1" x14ac:dyDescent="0.25">
      <c r="A345" s="6"/>
      <c r="B345" s="6"/>
      <c r="C345" s="6"/>
      <c r="D345" s="6"/>
      <c r="E345" s="6"/>
      <c r="F345" s="6"/>
      <c r="G345" s="6"/>
      <c r="H345" s="6"/>
      <c r="I345" s="6"/>
    </row>
    <row r="346" spans="1:9" ht="15" customHeight="1" x14ac:dyDescent="0.25">
      <c r="A346" s="6"/>
      <c r="B346" s="6"/>
      <c r="C346" s="6"/>
      <c r="D346" s="6"/>
      <c r="E346" s="6"/>
      <c r="F346" s="6"/>
      <c r="G346" s="6"/>
      <c r="H346" s="6"/>
      <c r="I346" s="6"/>
    </row>
    <row r="347" spans="1:9" ht="15" customHeight="1" x14ac:dyDescent="0.25">
      <c r="A347" s="6"/>
      <c r="B347" s="6"/>
      <c r="C347" s="6"/>
      <c r="D347" s="6"/>
      <c r="E347" s="6"/>
      <c r="F347" s="6"/>
      <c r="G347" s="6"/>
      <c r="H347" s="6"/>
      <c r="I347" s="6"/>
    </row>
    <row r="348" spans="1:9" ht="15" customHeight="1" x14ac:dyDescent="0.25">
      <c r="A348" s="6"/>
      <c r="B348" s="6"/>
      <c r="C348" s="6"/>
      <c r="D348" s="6"/>
      <c r="E348" s="6"/>
      <c r="F348" s="6"/>
      <c r="G348" s="6"/>
      <c r="H348" s="6"/>
      <c r="I348" s="6"/>
    </row>
    <row r="349" spans="1:9" ht="15" customHeight="1" x14ac:dyDescent="0.25">
      <c r="A349" s="6"/>
      <c r="B349" s="6"/>
      <c r="C349" s="6"/>
      <c r="D349" s="6"/>
      <c r="E349" s="6"/>
      <c r="F349" s="6"/>
      <c r="G349" s="6"/>
      <c r="H349" s="6"/>
      <c r="I349" s="6"/>
    </row>
    <row r="350" spans="1:9" ht="15" customHeight="1" x14ac:dyDescent="0.25">
      <c r="A350" s="6"/>
      <c r="B350" s="6"/>
      <c r="C350" s="6"/>
      <c r="D350" s="6"/>
      <c r="E350" s="6"/>
      <c r="F350" s="6"/>
      <c r="G350" s="6"/>
      <c r="H350" s="6"/>
      <c r="I350" s="6"/>
    </row>
    <row r="351" spans="1:9" ht="15" customHeight="1" x14ac:dyDescent="0.25">
      <c r="A351" s="6"/>
      <c r="B351" s="6"/>
      <c r="C351" s="6"/>
      <c r="D351" s="6"/>
      <c r="E351" s="6"/>
      <c r="F351" s="6"/>
      <c r="G351" s="6"/>
      <c r="H351" s="6"/>
      <c r="I351" s="6"/>
    </row>
    <row r="352" spans="1:9" ht="15" customHeight="1" x14ac:dyDescent="0.25">
      <c r="A352" s="6"/>
      <c r="B352" s="6"/>
      <c r="C352" s="6"/>
      <c r="D352" s="6"/>
      <c r="E352" s="6"/>
      <c r="F352" s="6"/>
      <c r="G352" s="6"/>
      <c r="H352" s="6"/>
      <c r="I352" s="6"/>
    </row>
    <row r="353" spans="1:9" ht="15" customHeight="1" x14ac:dyDescent="0.25">
      <c r="A353" s="6"/>
      <c r="B353" s="6"/>
      <c r="C353" s="6"/>
      <c r="D353" s="6"/>
      <c r="E353" s="6"/>
      <c r="F353" s="6"/>
      <c r="G353" s="6"/>
      <c r="H353" s="6"/>
      <c r="I353" s="6"/>
    </row>
    <row r="354" spans="1:9" ht="15" customHeight="1" x14ac:dyDescent="0.25">
      <c r="A354" s="6"/>
      <c r="B354" s="6"/>
      <c r="C354" s="6"/>
      <c r="D354" s="6"/>
      <c r="E354" s="6"/>
      <c r="F354" s="6"/>
      <c r="G354" s="6"/>
      <c r="H354" s="6"/>
      <c r="I354" s="6"/>
    </row>
    <row r="355" spans="1:9" ht="15" customHeight="1" x14ac:dyDescent="0.25">
      <c r="A355" s="6"/>
      <c r="B355" s="6"/>
      <c r="C355" s="6"/>
      <c r="D355" s="6"/>
      <c r="E355" s="6"/>
      <c r="F355" s="6"/>
      <c r="G355" s="6"/>
      <c r="H355" s="6"/>
      <c r="I355" s="6"/>
    </row>
    <row r="356" spans="1:9" ht="15" customHeight="1" x14ac:dyDescent="0.25">
      <c r="A356" s="6"/>
      <c r="B356" s="6"/>
      <c r="C356" s="6"/>
      <c r="D356" s="6"/>
      <c r="E356" s="6"/>
      <c r="F356" s="6"/>
      <c r="G356" s="6"/>
      <c r="H356" s="6"/>
      <c r="I356" s="6"/>
    </row>
    <row r="357" spans="1:9" ht="15" customHeight="1" x14ac:dyDescent="0.25">
      <c r="A357" s="6"/>
      <c r="B357" s="6"/>
      <c r="C357" s="6"/>
      <c r="D357" s="6"/>
      <c r="E357" s="6"/>
      <c r="F357" s="6"/>
      <c r="G357" s="6"/>
      <c r="H357" s="6"/>
      <c r="I357" s="6"/>
    </row>
    <row r="358" spans="1:9" ht="15" customHeight="1" x14ac:dyDescent="0.25">
      <c r="A358" s="6"/>
      <c r="B358" s="6"/>
      <c r="C358" s="6"/>
      <c r="D358" s="6"/>
      <c r="E358" s="6"/>
      <c r="F358" s="6"/>
      <c r="G358" s="6"/>
      <c r="H358" s="6"/>
      <c r="I358" s="6"/>
    </row>
    <row r="359" spans="1:9" ht="15" customHeight="1" x14ac:dyDescent="0.25">
      <c r="A359" s="6"/>
      <c r="B359" s="6"/>
      <c r="C359" s="6"/>
      <c r="D359" s="6"/>
      <c r="E359" s="6"/>
      <c r="F359" s="6"/>
      <c r="G359" s="6"/>
      <c r="H359" s="6"/>
      <c r="I359" s="6"/>
    </row>
    <row r="360" spans="1:9" ht="15" customHeight="1" x14ac:dyDescent="0.25">
      <c r="A360" s="6"/>
      <c r="B360" s="6"/>
      <c r="C360" s="6"/>
      <c r="D360" s="6"/>
      <c r="E360" s="6"/>
      <c r="F360" s="6"/>
      <c r="G360" s="6"/>
      <c r="H360" s="6"/>
      <c r="I360" s="6"/>
    </row>
    <row r="361" spans="1:9" ht="15" customHeight="1" x14ac:dyDescent="0.25">
      <c r="A361" s="6"/>
      <c r="B361" s="6"/>
      <c r="C361" s="6"/>
      <c r="D361" s="6"/>
      <c r="E361" s="6"/>
      <c r="F361" s="6"/>
      <c r="G361" s="6"/>
      <c r="H361" s="6"/>
      <c r="I361" s="6"/>
    </row>
    <row r="362" spans="1:9" ht="15" customHeight="1" x14ac:dyDescent="0.25">
      <c r="A362" s="6"/>
      <c r="B362" s="6"/>
      <c r="C362" s="6"/>
      <c r="D362" s="6"/>
      <c r="E362" s="6"/>
      <c r="F362" s="6"/>
      <c r="G362" s="6"/>
      <c r="H362" s="6"/>
      <c r="I362" s="6"/>
    </row>
    <row r="363" spans="1:9" ht="15" customHeight="1" x14ac:dyDescent="0.25">
      <c r="A363" s="6"/>
      <c r="B363" s="6"/>
      <c r="C363" s="6"/>
      <c r="D363" s="6"/>
      <c r="E363" s="6"/>
      <c r="F363" s="6"/>
      <c r="G363" s="6"/>
      <c r="H363" s="6"/>
      <c r="I363" s="6"/>
    </row>
    <row r="364" spans="1:9" ht="15" customHeight="1" x14ac:dyDescent="0.25">
      <c r="A364" s="6"/>
      <c r="B364" s="6"/>
      <c r="C364" s="6"/>
      <c r="D364" s="6"/>
      <c r="E364" s="6"/>
      <c r="F364" s="6"/>
      <c r="G364" s="6"/>
      <c r="H364" s="6"/>
      <c r="I364" s="6"/>
    </row>
    <row r="365" spans="1:9" ht="15" customHeight="1" x14ac:dyDescent="0.25">
      <c r="A365" s="6"/>
      <c r="B365" s="6"/>
      <c r="C365" s="6"/>
      <c r="D365" s="6"/>
      <c r="E365" s="6"/>
      <c r="F365" s="6"/>
      <c r="G365" s="6"/>
      <c r="H365" s="6"/>
      <c r="I365" s="6"/>
    </row>
    <row r="366" spans="1:9" ht="15" customHeight="1" x14ac:dyDescent="0.25">
      <c r="A366" s="6"/>
      <c r="B366" s="6"/>
      <c r="C366" s="6"/>
      <c r="D366" s="6"/>
      <c r="E366" s="6"/>
      <c r="F366" s="6"/>
      <c r="G366" s="6"/>
      <c r="H366" s="6"/>
      <c r="I366" s="6"/>
    </row>
    <row r="367" spans="1:9" ht="15" customHeight="1" x14ac:dyDescent="0.25">
      <c r="A367" s="6"/>
      <c r="B367" s="6"/>
      <c r="C367" s="6"/>
      <c r="D367" s="6"/>
      <c r="E367" s="6"/>
      <c r="F367" s="6"/>
      <c r="G367" s="6"/>
      <c r="H367" s="6"/>
      <c r="I367" s="6"/>
    </row>
    <row r="368" spans="1:9" ht="15" customHeight="1" x14ac:dyDescent="0.25">
      <c r="A368" s="6"/>
      <c r="B368" s="6"/>
      <c r="C368" s="6"/>
      <c r="D368" s="6"/>
      <c r="E368" s="6"/>
      <c r="F368" s="6"/>
      <c r="G368" s="6"/>
      <c r="H368" s="6"/>
      <c r="I368" s="6"/>
    </row>
    <row r="369" spans="1:9" ht="15" customHeight="1" x14ac:dyDescent="0.25">
      <c r="A369" s="6"/>
      <c r="B369" s="6"/>
      <c r="C369" s="6"/>
      <c r="D369" s="6"/>
      <c r="E369" s="6"/>
      <c r="F369" s="6"/>
      <c r="G369" s="6"/>
      <c r="H369" s="6"/>
      <c r="I369" s="6"/>
    </row>
    <row r="370" spans="1:9" ht="15" customHeight="1" x14ac:dyDescent="0.25">
      <c r="A370" s="6"/>
      <c r="B370" s="6"/>
      <c r="C370" s="6"/>
      <c r="D370" s="6"/>
      <c r="E370" s="6"/>
      <c r="F370" s="6"/>
      <c r="G370" s="6"/>
      <c r="H370" s="6"/>
      <c r="I370" s="6"/>
    </row>
    <row r="371" spans="1:9" ht="15" customHeight="1" x14ac:dyDescent="0.25">
      <c r="A371" s="6"/>
      <c r="B371" s="6"/>
      <c r="C371" s="6"/>
      <c r="D371" s="6"/>
      <c r="E371" s="6"/>
      <c r="F371" s="6"/>
      <c r="G371" s="6"/>
      <c r="H371" s="6"/>
      <c r="I371" s="6"/>
    </row>
    <row r="372" spans="1:9" ht="15" customHeight="1" x14ac:dyDescent="0.25">
      <c r="A372" s="6"/>
      <c r="B372" s="6"/>
      <c r="C372" s="6"/>
      <c r="D372" s="6"/>
      <c r="E372" s="6"/>
      <c r="F372" s="6"/>
      <c r="G372" s="6"/>
      <c r="H372" s="6"/>
      <c r="I372" s="6"/>
    </row>
    <row r="373" spans="1:9" ht="15" customHeight="1" x14ac:dyDescent="0.25">
      <c r="A373" s="6"/>
      <c r="B373" s="6"/>
      <c r="C373" s="6"/>
      <c r="D373" s="6"/>
      <c r="E373" s="6"/>
      <c r="F373" s="6"/>
      <c r="G373" s="6"/>
      <c r="H373" s="6"/>
      <c r="I373" s="6"/>
    </row>
    <row r="374" spans="1:9" ht="15" customHeight="1" x14ac:dyDescent="0.25">
      <c r="A374" s="6"/>
      <c r="B374" s="6"/>
      <c r="C374" s="6"/>
      <c r="D374" s="6"/>
      <c r="E374" s="6"/>
      <c r="F374" s="6"/>
      <c r="G374" s="6"/>
      <c r="H374" s="6"/>
      <c r="I374" s="6"/>
    </row>
    <row r="375" spans="1:9" ht="15" customHeight="1" x14ac:dyDescent="0.25">
      <c r="A375" s="6"/>
      <c r="B375" s="6"/>
      <c r="C375" s="6"/>
      <c r="D375" s="6"/>
      <c r="E375" s="6"/>
      <c r="F375" s="6"/>
      <c r="G375" s="6"/>
      <c r="H375" s="6"/>
      <c r="I375" s="6"/>
    </row>
    <row r="376" spans="1:9" ht="15" customHeight="1" x14ac:dyDescent="0.25">
      <c r="A376" s="6"/>
      <c r="B376" s="6"/>
      <c r="C376" s="6"/>
      <c r="D376" s="6"/>
      <c r="E376" s="6"/>
      <c r="F376" s="6"/>
      <c r="G376" s="6"/>
      <c r="H376" s="6"/>
      <c r="I376" s="6"/>
    </row>
    <row r="377" spans="1:9" ht="14.25" customHeight="1" x14ac:dyDescent="0.25"/>
    <row r="378" spans="1:9" ht="14.25" customHeight="1" x14ac:dyDescent="0.25"/>
    <row r="379" spans="1:9" ht="14.25" customHeight="1" x14ac:dyDescent="0.25"/>
    <row r="380" spans="1:9" ht="14.25" customHeight="1" x14ac:dyDescent="0.25"/>
    <row r="381" spans="1:9" ht="14.25" customHeight="1" x14ac:dyDescent="0.25"/>
    <row r="382" spans="1:9" ht="14.25" customHeight="1" x14ac:dyDescent="0.25"/>
    <row r="383" spans="1:9" ht="14.25" customHeight="1" x14ac:dyDescent="0.25"/>
    <row r="384" spans="1:9" ht="14.25" customHeight="1" x14ac:dyDescent="0.25"/>
    <row r="385" ht="14.25" customHeight="1" x14ac:dyDescent="0.25"/>
    <row r="386" ht="14.25" customHeight="1" x14ac:dyDescent="0.25"/>
    <row r="387" ht="14.25" customHeight="1" x14ac:dyDescent="0.25"/>
    <row r="388" ht="14.25" customHeight="1" x14ac:dyDescent="0.25"/>
    <row r="389" ht="14.25" customHeight="1" x14ac:dyDescent="0.25"/>
    <row r="390" ht="14.25" customHeight="1" x14ac:dyDescent="0.25"/>
    <row r="391" ht="14.25" customHeight="1" x14ac:dyDescent="0.25"/>
    <row r="392" ht="14.25" customHeight="1" x14ac:dyDescent="0.25"/>
    <row r="393" ht="14.25" customHeight="1" x14ac:dyDescent="0.25"/>
    <row r="394" ht="14.25" customHeight="1" x14ac:dyDescent="0.25"/>
    <row r="395" ht="14.25" customHeight="1" x14ac:dyDescent="0.25"/>
    <row r="396" ht="14.25" customHeight="1" x14ac:dyDescent="0.25"/>
    <row r="397" ht="14.25" customHeight="1" x14ac:dyDescent="0.25"/>
    <row r="398" ht="14.25" customHeight="1" x14ac:dyDescent="0.25"/>
    <row r="399" ht="14.25" customHeight="1" x14ac:dyDescent="0.25"/>
    <row r="400" ht="14.25" customHeight="1" x14ac:dyDescent="0.25"/>
    <row r="401" ht="14.25" customHeight="1" x14ac:dyDescent="0.25"/>
    <row r="402" ht="14.25" customHeight="1" x14ac:dyDescent="0.25"/>
    <row r="403" ht="14.25" customHeight="1" x14ac:dyDescent="0.25"/>
    <row r="404" ht="14.25" customHeight="1" x14ac:dyDescent="0.25"/>
    <row r="405" ht="14.25" customHeight="1" x14ac:dyDescent="0.25"/>
    <row r="406" ht="14.25" customHeight="1" x14ac:dyDescent="0.25"/>
    <row r="407" ht="14.25" customHeight="1" x14ac:dyDescent="0.25"/>
    <row r="408" ht="14.25" customHeight="1" x14ac:dyDescent="0.25"/>
    <row r="409" ht="14.25" customHeight="1" x14ac:dyDescent="0.25"/>
    <row r="410" ht="14.25" customHeight="1" x14ac:dyDescent="0.25"/>
    <row r="411" ht="14.25" customHeight="1" x14ac:dyDescent="0.25"/>
    <row r="412" ht="14.25" customHeight="1" x14ac:dyDescent="0.25"/>
    <row r="413" ht="14.25" customHeight="1" x14ac:dyDescent="0.25"/>
    <row r="414" ht="14.25" customHeight="1" x14ac:dyDescent="0.25"/>
    <row r="415" ht="14.25" customHeight="1" x14ac:dyDescent="0.25"/>
    <row r="416" ht="14.25" customHeight="1" x14ac:dyDescent="0.25"/>
    <row r="417" ht="14.25" customHeight="1" x14ac:dyDescent="0.25"/>
    <row r="418" ht="14.25" customHeight="1" x14ac:dyDescent="0.25"/>
    <row r="419" ht="14.25" customHeight="1" x14ac:dyDescent="0.25"/>
    <row r="420" ht="14.25" customHeight="1" x14ac:dyDescent="0.25"/>
    <row r="421" ht="14.25" customHeight="1" x14ac:dyDescent="0.25"/>
    <row r="422" ht="14.25" customHeight="1" x14ac:dyDescent="0.25"/>
    <row r="423" ht="14.25" customHeight="1" x14ac:dyDescent="0.25"/>
    <row r="424" ht="14.25" customHeight="1" x14ac:dyDescent="0.25"/>
    <row r="425" ht="14.25" customHeight="1" x14ac:dyDescent="0.25"/>
    <row r="426" ht="14.25" customHeight="1" x14ac:dyDescent="0.25"/>
    <row r="427" ht="14.25" customHeight="1" x14ac:dyDescent="0.25"/>
    <row r="428" ht="14.25" customHeight="1" x14ac:dyDescent="0.25"/>
    <row r="429" ht="14.25" customHeight="1" x14ac:dyDescent="0.25"/>
    <row r="430" ht="14.25" customHeight="1" x14ac:dyDescent="0.25"/>
    <row r="431" ht="14.25" customHeight="1" x14ac:dyDescent="0.25"/>
    <row r="432" ht="14.25" customHeight="1" x14ac:dyDescent="0.25"/>
    <row r="433" ht="14.25" customHeight="1" x14ac:dyDescent="0.25"/>
    <row r="434" ht="14.25" customHeight="1" x14ac:dyDescent="0.25"/>
    <row r="435" ht="14.25" customHeight="1" x14ac:dyDescent="0.25"/>
    <row r="436" ht="14.25" customHeight="1" x14ac:dyDescent="0.25"/>
    <row r="437" ht="14.25" customHeight="1" x14ac:dyDescent="0.25"/>
    <row r="438" ht="14.25" customHeight="1" x14ac:dyDescent="0.25"/>
    <row r="439" ht="14.25" customHeight="1" x14ac:dyDescent="0.25"/>
    <row r="440" ht="14.25" customHeight="1" x14ac:dyDescent="0.25"/>
    <row r="441" ht="14.25" customHeight="1" x14ac:dyDescent="0.25"/>
    <row r="442" ht="14.25" customHeight="1" x14ac:dyDescent="0.25"/>
    <row r="443" ht="14.25" customHeight="1" x14ac:dyDescent="0.25"/>
    <row r="444" ht="14.25" customHeight="1" x14ac:dyDescent="0.25"/>
    <row r="445" ht="14.25" customHeight="1" x14ac:dyDescent="0.25"/>
    <row r="446" ht="14.25" customHeight="1" x14ac:dyDescent="0.25"/>
    <row r="447" ht="14.25" customHeight="1" x14ac:dyDescent="0.25"/>
    <row r="448" ht="14.25" customHeight="1" x14ac:dyDescent="0.25"/>
    <row r="449" ht="14.25" customHeight="1" x14ac:dyDescent="0.25"/>
    <row r="450" ht="14.25" customHeight="1" x14ac:dyDescent="0.25"/>
    <row r="451" ht="14.25" customHeight="1" x14ac:dyDescent="0.25"/>
    <row r="452" ht="14.25" customHeight="1" x14ac:dyDescent="0.25"/>
    <row r="453" ht="14.25" customHeight="1" x14ac:dyDescent="0.25"/>
    <row r="454" ht="14.25" customHeight="1" x14ac:dyDescent="0.25"/>
    <row r="455" ht="14.25" customHeight="1" x14ac:dyDescent="0.25"/>
    <row r="456" ht="14.25" customHeight="1" x14ac:dyDescent="0.25"/>
    <row r="457" ht="14.25" customHeight="1" x14ac:dyDescent="0.25"/>
    <row r="458" ht="14.25" customHeight="1" x14ac:dyDescent="0.25"/>
    <row r="459" ht="14.25" customHeight="1" x14ac:dyDescent="0.25"/>
    <row r="460" ht="14.25" customHeight="1" x14ac:dyDescent="0.25"/>
    <row r="461" ht="14.25" customHeight="1" x14ac:dyDescent="0.25"/>
    <row r="462" ht="14.25" customHeight="1" x14ac:dyDescent="0.25"/>
    <row r="463" ht="14.25" customHeight="1" x14ac:dyDescent="0.25"/>
    <row r="464" ht="14.25" customHeight="1" x14ac:dyDescent="0.25"/>
    <row r="465" ht="14.25" customHeight="1" x14ac:dyDescent="0.25"/>
    <row r="466" ht="14.25" customHeight="1" x14ac:dyDescent="0.25"/>
    <row r="467" ht="14.25" customHeight="1" x14ac:dyDescent="0.25"/>
    <row r="468" ht="14.25" customHeight="1" x14ac:dyDescent="0.25"/>
    <row r="469" ht="14.25" customHeight="1" x14ac:dyDescent="0.25"/>
    <row r="470" ht="14.25" customHeight="1" x14ac:dyDescent="0.25"/>
    <row r="471" ht="14.25" customHeight="1" x14ac:dyDescent="0.25"/>
    <row r="472" ht="14.25" customHeight="1" x14ac:dyDescent="0.25"/>
    <row r="473" ht="14.25" customHeight="1" x14ac:dyDescent="0.25"/>
    <row r="474" ht="14.25" customHeight="1" x14ac:dyDescent="0.25"/>
    <row r="475" ht="14.25" customHeight="1" x14ac:dyDescent="0.25"/>
    <row r="476" ht="14.25" customHeight="1" x14ac:dyDescent="0.25"/>
    <row r="477" ht="14.25" customHeight="1" x14ac:dyDescent="0.25"/>
    <row r="478" ht="14.25" customHeight="1" x14ac:dyDescent="0.25"/>
    <row r="479" ht="14.25" customHeight="1" x14ac:dyDescent="0.25"/>
    <row r="480" ht="14.25" customHeight="1" x14ac:dyDescent="0.25"/>
    <row r="481" ht="14.25" customHeight="1" x14ac:dyDescent="0.25"/>
    <row r="482" ht="14.25" customHeight="1" x14ac:dyDescent="0.25"/>
    <row r="483" ht="14.25" customHeight="1" x14ac:dyDescent="0.25"/>
    <row r="484" ht="14.25" customHeight="1" x14ac:dyDescent="0.25"/>
    <row r="485" ht="14.25" customHeight="1" x14ac:dyDescent="0.25"/>
    <row r="486" ht="14.25" customHeight="1" x14ac:dyDescent="0.25"/>
    <row r="487" ht="14.25" customHeight="1" x14ac:dyDescent="0.25"/>
    <row r="488" ht="14.25" customHeight="1" x14ac:dyDescent="0.25"/>
    <row r="489" ht="14.25" customHeight="1" x14ac:dyDescent="0.25"/>
    <row r="490" ht="14.25" customHeight="1" x14ac:dyDescent="0.25"/>
    <row r="491" ht="14.25" customHeight="1" x14ac:dyDescent="0.25"/>
    <row r="492" ht="14.25" customHeight="1" x14ac:dyDescent="0.25"/>
    <row r="493" ht="14.25" customHeight="1" x14ac:dyDescent="0.25"/>
    <row r="494" ht="14.25" customHeight="1" x14ac:dyDescent="0.25"/>
    <row r="495" ht="14.25" customHeight="1" x14ac:dyDescent="0.25"/>
    <row r="496" ht="14.25" customHeight="1" x14ac:dyDescent="0.25"/>
    <row r="497" ht="14.25" customHeight="1" x14ac:dyDescent="0.25"/>
    <row r="498" ht="14.25" customHeight="1" x14ac:dyDescent="0.25"/>
    <row r="499" ht="14.25" customHeight="1" x14ac:dyDescent="0.25"/>
    <row r="500" ht="14.25" customHeight="1" x14ac:dyDescent="0.25"/>
    <row r="501" ht="14.25" customHeight="1" x14ac:dyDescent="0.25"/>
    <row r="502" ht="14.25" customHeight="1" x14ac:dyDescent="0.25"/>
    <row r="503" ht="14.25" customHeight="1" x14ac:dyDescent="0.25"/>
    <row r="504" ht="14.25" customHeight="1" x14ac:dyDescent="0.25"/>
    <row r="505" ht="14.25" customHeight="1" x14ac:dyDescent="0.25"/>
    <row r="506" ht="14.25" customHeight="1" x14ac:dyDescent="0.25"/>
    <row r="507" ht="14.25" customHeight="1" x14ac:dyDescent="0.25"/>
    <row r="508" ht="14.25" customHeight="1" x14ac:dyDescent="0.25"/>
    <row r="509" ht="14.25" customHeight="1" x14ac:dyDescent="0.25"/>
    <row r="510" ht="14.25" customHeight="1" x14ac:dyDescent="0.25"/>
    <row r="511" ht="14.25" customHeight="1" x14ac:dyDescent="0.25"/>
    <row r="512" ht="14.25" customHeight="1" x14ac:dyDescent="0.25"/>
    <row r="513" ht="14.25" customHeight="1" x14ac:dyDescent="0.25"/>
    <row r="514" ht="14.25" customHeight="1" x14ac:dyDescent="0.25"/>
    <row r="515" ht="14.25" customHeight="1" x14ac:dyDescent="0.25"/>
    <row r="516" ht="14.25" customHeight="1" x14ac:dyDescent="0.25"/>
    <row r="517" ht="14.25" customHeight="1" x14ac:dyDescent="0.25"/>
    <row r="518" ht="14.25" customHeight="1" x14ac:dyDescent="0.25"/>
    <row r="519" ht="14.25" customHeight="1" x14ac:dyDescent="0.25"/>
    <row r="520" ht="14.25" customHeight="1" x14ac:dyDescent="0.25"/>
    <row r="521" ht="14.25" customHeight="1" x14ac:dyDescent="0.25"/>
    <row r="522" ht="14.25" customHeight="1" x14ac:dyDescent="0.25"/>
    <row r="523" ht="14.25" customHeight="1" x14ac:dyDescent="0.25"/>
    <row r="524" ht="14.25" customHeight="1" x14ac:dyDescent="0.25"/>
    <row r="525" ht="14.25" customHeight="1" x14ac:dyDescent="0.25"/>
    <row r="526" ht="14.25" customHeight="1" x14ac:dyDescent="0.25"/>
    <row r="527" ht="14.25" customHeight="1" x14ac:dyDescent="0.25"/>
    <row r="528" ht="14.25" customHeight="1" x14ac:dyDescent="0.25"/>
    <row r="529" ht="14.25" customHeight="1" x14ac:dyDescent="0.25"/>
    <row r="530" ht="14.25" customHeight="1" x14ac:dyDescent="0.25"/>
    <row r="531" ht="14.25" customHeight="1" x14ac:dyDescent="0.25"/>
    <row r="532" ht="14.25" customHeight="1" x14ac:dyDescent="0.25"/>
    <row r="533" ht="14.25" customHeight="1" x14ac:dyDescent="0.25"/>
    <row r="534" ht="14.25" customHeight="1" x14ac:dyDescent="0.25"/>
    <row r="535" ht="14.25" customHeight="1" x14ac:dyDescent="0.25"/>
    <row r="536" ht="14.25" customHeight="1" x14ac:dyDescent="0.25"/>
    <row r="537" ht="14.25" customHeight="1" x14ac:dyDescent="0.25"/>
    <row r="538" ht="14.25" customHeight="1" x14ac:dyDescent="0.25"/>
    <row r="539" ht="14.25" customHeight="1" x14ac:dyDescent="0.25"/>
    <row r="540" ht="14.25" customHeight="1" x14ac:dyDescent="0.25"/>
    <row r="541" ht="14.25" customHeight="1" x14ac:dyDescent="0.25"/>
    <row r="542" ht="14.25" customHeight="1" x14ac:dyDescent="0.25"/>
    <row r="543" ht="14.25" customHeight="1" x14ac:dyDescent="0.25"/>
    <row r="544" ht="14.25" customHeight="1" x14ac:dyDescent="0.25"/>
    <row r="545" ht="14.25" customHeight="1" x14ac:dyDescent="0.25"/>
    <row r="546" ht="14.25" customHeight="1" x14ac:dyDescent="0.25"/>
    <row r="547" ht="14.25" customHeight="1" x14ac:dyDescent="0.25"/>
    <row r="548" ht="14.25" customHeight="1" x14ac:dyDescent="0.25"/>
    <row r="549" ht="14.25" customHeight="1" x14ac:dyDescent="0.25"/>
    <row r="550" ht="14.25" customHeight="1" x14ac:dyDescent="0.25"/>
    <row r="551" ht="14.25" customHeight="1" x14ac:dyDescent="0.25"/>
    <row r="552" ht="14.25" customHeight="1" x14ac:dyDescent="0.25"/>
    <row r="553" ht="14.25" customHeight="1" x14ac:dyDescent="0.25"/>
    <row r="554" ht="14.25" customHeight="1" x14ac:dyDescent="0.25"/>
    <row r="555" ht="14.25" customHeight="1" x14ac:dyDescent="0.25"/>
    <row r="556" ht="14.25" customHeight="1" x14ac:dyDescent="0.25"/>
    <row r="557" ht="14.25" customHeight="1" x14ac:dyDescent="0.25"/>
    <row r="558" ht="14.25" customHeight="1" x14ac:dyDescent="0.25"/>
    <row r="559" ht="14.25" customHeight="1" x14ac:dyDescent="0.25"/>
    <row r="560" ht="14.25" customHeight="1" x14ac:dyDescent="0.25"/>
    <row r="561" ht="14.25" customHeight="1" x14ac:dyDescent="0.25"/>
    <row r="562" ht="14.25" customHeight="1" x14ac:dyDescent="0.25"/>
    <row r="563" ht="14.25" customHeight="1" x14ac:dyDescent="0.25"/>
    <row r="564" ht="14.25" customHeight="1" x14ac:dyDescent="0.25"/>
    <row r="565" ht="14.25" customHeight="1" x14ac:dyDescent="0.25"/>
    <row r="566" ht="14.25" customHeight="1" x14ac:dyDescent="0.25"/>
    <row r="567" ht="14.25" customHeight="1" x14ac:dyDescent="0.25"/>
    <row r="568" ht="14.25" customHeight="1" x14ac:dyDescent="0.25"/>
    <row r="569" ht="14.25" customHeight="1" x14ac:dyDescent="0.25"/>
    <row r="570" ht="14.25" customHeight="1" x14ac:dyDescent="0.25"/>
    <row r="571" ht="14.25" customHeight="1" x14ac:dyDescent="0.25"/>
    <row r="572" ht="14.25" customHeight="1" x14ac:dyDescent="0.25"/>
    <row r="573" ht="14.25" customHeight="1" x14ac:dyDescent="0.25"/>
    <row r="574" ht="14.25" customHeight="1" x14ac:dyDescent="0.25"/>
    <row r="575" ht="14.25" customHeight="1" x14ac:dyDescent="0.25"/>
    <row r="576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  <row r="621" ht="14.25" customHeight="1" x14ac:dyDescent="0.25"/>
    <row r="622" ht="14.25" customHeight="1" x14ac:dyDescent="0.25"/>
    <row r="623" ht="14.25" customHeight="1" x14ac:dyDescent="0.25"/>
    <row r="624" ht="14.25" customHeight="1" x14ac:dyDescent="0.25"/>
    <row r="625" ht="14.25" customHeight="1" x14ac:dyDescent="0.25"/>
    <row r="626" ht="14.25" customHeight="1" x14ac:dyDescent="0.25"/>
    <row r="627" ht="14.25" customHeight="1" x14ac:dyDescent="0.25"/>
    <row r="628" ht="14.25" customHeight="1" x14ac:dyDescent="0.25"/>
    <row r="629" ht="14.25" customHeight="1" x14ac:dyDescent="0.25"/>
    <row r="630" ht="14.25" customHeight="1" x14ac:dyDescent="0.25"/>
    <row r="631" ht="14.25" customHeight="1" x14ac:dyDescent="0.25"/>
    <row r="632" ht="14.25" customHeight="1" x14ac:dyDescent="0.25"/>
    <row r="633" ht="14.25" customHeight="1" x14ac:dyDescent="0.25"/>
    <row r="634" ht="14.25" customHeight="1" x14ac:dyDescent="0.25"/>
    <row r="635" ht="14.25" customHeight="1" x14ac:dyDescent="0.25"/>
    <row r="636" ht="14.25" customHeight="1" x14ac:dyDescent="0.25"/>
    <row r="637" ht="14.25" customHeight="1" x14ac:dyDescent="0.25"/>
    <row r="638" ht="14.25" customHeight="1" x14ac:dyDescent="0.25"/>
    <row r="639" ht="14.25" customHeight="1" x14ac:dyDescent="0.25"/>
    <row r="640" ht="14.25" customHeight="1" x14ac:dyDescent="0.25"/>
    <row r="641" ht="14.25" customHeight="1" x14ac:dyDescent="0.25"/>
    <row r="642" ht="14.25" customHeight="1" x14ac:dyDescent="0.25"/>
    <row r="643" ht="14.25" customHeight="1" x14ac:dyDescent="0.25"/>
    <row r="644" ht="14.25" customHeight="1" x14ac:dyDescent="0.25"/>
    <row r="645" ht="14.25" customHeight="1" x14ac:dyDescent="0.25"/>
    <row r="646" ht="14.25" customHeight="1" x14ac:dyDescent="0.25"/>
    <row r="647" ht="14.25" customHeight="1" x14ac:dyDescent="0.25"/>
    <row r="648" ht="14.25" customHeight="1" x14ac:dyDescent="0.25"/>
    <row r="649" ht="14.25" customHeight="1" x14ac:dyDescent="0.25"/>
    <row r="650" ht="14.25" customHeight="1" x14ac:dyDescent="0.25"/>
    <row r="651" ht="14.25" customHeight="1" x14ac:dyDescent="0.25"/>
    <row r="652" ht="14.25" customHeight="1" x14ac:dyDescent="0.25"/>
    <row r="653" ht="14.25" customHeight="1" x14ac:dyDescent="0.25"/>
    <row r="654" ht="14.25" customHeight="1" x14ac:dyDescent="0.25"/>
    <row r="655" ht="14.25" customHeight="1" x14ac:dyDescent="0.25"/>
    <row r="656" ht="14.25" customHeight="1" x14ac:dyDescent="0.25"/>
    <row r="657" ht="14.25" customHeight="1" x14ac:dyDescent="0.25"/>
    <row r="658" ht="14.25" customHeight="1" x14ac:dyDescent="0.25"/>
    <row r="659" ht="14.25" customHeight="1" x14ac:dyDescent="0.25"/>
    <row r="660" ht="14.25" customHeight="1" x14ac:dyDescent="0.25"/>
    <row r="661" ht="14.25" customHeight="1" x14ac:dyDescent="0.25"/>
    <row r="662" ht="14.25" customHeight="1" x14ac:dyDescent="0.25"/>
    <row r="663" ht="14.25" customHeight="1" x14ac:dyDescent="0.25"/>
    <row r="664" ht="14.25" customHeight="1" x14ac:dyDescent="0.25"/>
    <row r="665" ht="14.25" customHeight="1" x14ac:dyDescent="0.25"/>
    <row r="666" ht="14.25" customHeight="1" x14ac:dyDescent="0.25"/>
    <row r="667" ht="14.25" customHeight="1" x14ac:dyDescent="0.25"/>
    <row r="668" ht="14.25" customHeight="1" x14ac:dyDescent="0.25"/>
    <row r="669" ht="14.25" customHeight="1" x14ac:dyDescent="0.25"/>
    <row r="670" ht="14.25" customHeight="1" x14ac:dyDescent="0.25"/>
    <row r="671" ht="14.25" customHeight="1" x14ac:dyDescent="0.25"/>
    <row r="672" ht="14.25" customHeight="1" x14ac:dyDescent="0.25"/>
    <row r="673" ht="14.25" customHeight="1" x14ac:dyDescent="0.25"/>
    <row r="674" ht="14.25" customHeight="1" x14ac:dyDescent="0.25"/>
    <row r="675" ht="14.25" customHeight="1" x14ac:dyDescent="0.25"/>
    <row r="676" ht="14.25" customHeight="1" x14ac:dyDescent="0.25"/>
    <row r="677" ht="14.25" customHeight="1" x14ac:dyDescent="0.25"/>
    <row r="678" ht="14.25" customHeight="1" x14ac:dyDescent="0.25"/>
    <row r="679" ht="14.25" customHeight="1" x14ac:dyDescent="0.25"/>
    <row r="680" ht="14.25" customHeight="1" x14ac:dyDescent="0.25"/>
    <row r="681" ht="14.25" customHeight="1" x14ac:dyDescent="0.25"/>
    <row r="682" ht="14.25" customHeight="1" x14ac:dyDescent="0.25"/>
    <row r="683" ht="14.25" customHeight="1" x14ac:dyDescent="0.25"/>
    <row r="684" ht="14.25" customHeight="1" x14ac:dyDescent="0.25"/>
    <row r="685" ht="14.25" customHeight="1" x14ac:dyDescent="0.25"/>
    <row r="686" ht="14.25" customHeight="1" x14ac:dyDescent="0.25"/>
    <row r="687" ht="14.25" customHeight="1" x14ac:dyDescent="0.25"/>
    <row r="688" ht="14.25" customHeight="1" x14ac:dyDescent="0.25"/>
    <row r="689" ht="14.25" customHeight="1" x14ac:dyDescent="0.25"/>
    <row r="690" ht="14.25" customHeight="1" x14ac:dyDescent="0.25"/>
    <row r="691" ht="14.25" customHeight="1" x14ac:dyDescent="0.25"/>
    <row r="692" ht="14.25" customHeight="1" x14ac:dyDescent="0.25"/>
    <row r="693" ht="14.25" customHeight="1" x14ac:dyDescent="0.25"/>
    <row r="694" ht="14.25" customHeight="1" x14ac:dyDescent="0.25"/>
    <row r="695" ht="14.25" customHeight="1" x14ac:dyDescent="0.25"/>
    <row r="696" ht="14.25" customHeight="1" x14ac:dyDescent="0.25"/>
    <row r="697" ht="14.25" customHeight="1" x14ac:dyDescent="0.25"/>
    <row r="698" ht="14.25" customHeight="1" x14ac:dyDescent="0.25"/>
    <row r="699" ht="14.25" customHeight="1" x14ac:dyDescent="0.25"/>
    <row r="700" ht="14.25" customHeight="1" x14ac:dyDescent="0.25"/>
    <row r="701" ht="14.25" customHeight="1" x14ac:dyDescent="0.25"/>
    <row r="702" ht="14.25" customHeight="1" x14ac:dyDescent="0.25"/>
    <row r="703" ht="14.25" customHeight="1" x14ac:dyDescent="0.25"/>
    <row r="704" ht="14.25" customHeight="1" x14ac:dyDescent="0.25"/>
    <row r="705" ht="14.25" customHeight="1" x14ac:dyDescent="0.25"/>
    <row r="706" ht="14.25" customHeight="1" x14ac:dyDescent="0.25"/>
    <row r="707" ht="14.25" customHeight="1" x14ac:dyDescent="0.25"/>
    <row r="708" ht="14.25" customHeight="1" x14ac:dyDescent="0.25"/>
    <row r="709" ht="14.25" customHeight="1" x14ac:dyDescent="0.25"/>
    <row r="710" ht="14.25" customHeight="1" x14ac:dyDescent="0.25"/>
    <row r="711" ht="14.25" customHeight="1" x14ac:dyDescent="0.25"/>
    <row r="712" ht="14.25" customHeight="1" x14ac:dyDescent="0.25"/>
    <row r="713" ht="14.25" customHeight="1" x14ac:dyDescent="0.25"/>
    <row r="714" ht="14.25" customHeight="1" x14ac:dyDescent="0.25"/>
    <row r="715" ht="14.25" customHeight="1" x14ac:dyDescent="0.25"/>
    <row r="716" ht="14.25" customHeight="1" x14ac:dyDescent="0.25"/>
    <row r="717" ht="14.25" customHeight="1" x14ac:dyDescent="0.25"/>
    <row r="718" ht="14.25" customHeight="1" x14ac:dyDescent="0.25"/>
    <row r="719" ht="14.25" customHeight="1" x14ac:dyDescent="0.25"/>
    <row r="720" ht="14.25" customHeight="1" x14ac:dyDescent="0.25"/>
    <row r="721" ht="14.25" customHeight="1" x14ac:dyDescent="0.25"/>
    <row r="722" ht="14.25" customHeight="1" x14ac:dyDescent="0.25"/>
    <row r="723" ht="14.25" customHeight="1" x14ac:dyDescent="0.25"/>
    <row r="724" ht="14.25" customHeight="1" x14ac:dyDescent="0.25"/>
    <row r="725" ht="14.25" customHeight="1" x14ac:dyDescent="0.25"/>
    <row r="726" ht="14.25" customHeight="1" x14ac:dyDescent="0.25"/>
    <row r="727" ht="14.25" customHeight="1" x14ac:dyDescent="0.25"/>
    <row r="728" ht="14.25" customHeight="1" x14ac:dyDescent="0.25"/>
    <row r="729" ht="14.25" customHeight="1" x14ac:dyDescent="0.25"/>
    <row r="730" ht="14.25" customHeight="1" x14ac:dyDescent="0.25"/>
    <row r="731" ht="14.25" customHeight="1" x14ac:dyDescent="0.25"/>
    <row r="732" ht="14.25" customHeight="1" x14ac:dyDescent="0.25"/>
    <row r="733" ht="14.25" customHeight="1" x14ac:dyDescent="0.25"/>
    <row r="734" ht="14.25" customHeight="1" x14ac:dyDescent="0.25"/>
    <row r="735" ht="14.25" customHeight="1" x14ac:dyDescent="0.25"/>
    <row r="736" ht="14.25" customHeight="1" x14ac:dyDescent="0.25"/>
    <row r="737" ht="14.25" customHeight="1" x14ac:dyDescent="0.25"/>
    <row r="738" ht="14.25" customHeight="1" x14ac:dyDescent="0.25"/>
    <row r="739" ht="14.25" customHeight="1" x14ac:dyDescent="0.25"/>
    <row r="740" ht="14.25" customHeight="1" x14ac:dyDescent="0.25"/>
    <row r="741" ht="14.25" customHeight="1" x14ac:dyDescent="0.25"/>
    <row r="742" ht="14.25" customHeight="1" x14ac:dyDescent="0.25"/>
    <row r="743" ht="14.25" customHeight="1" x14ac:dyDescent="0.25"/>
    <row r="744" ht="14.25" customHeight="1" x14ac:dyDescent="0.25"/>
    <row r="745" ht="14.25" customHeight="1" x14ac:dyDescent="0.25"/>
    <row r="746" ht="14.25" customHeight="1" x14ac:dyDescent="0.25"/>
    <row r="747" ht="14.25" customHeight="1" x14ac:dyDescent="0.25"/>
    <row r="748" ht="14.25" customHeight="1" x14ac:dyDescent="0.25"/>
    <row r="749" ht="14.25" customHeight="1" x14ac:dyDescent="0.25"/>
    <row r="750" ht="14.25" customHeight="1" x14ac:dyDescent="0.25"/>
    <row r="751" ht="14.25" customHeight="1" x14ac:dyDescent="0.25"/>
    <row r="752" ht="14.25" customHeight="1" x14ac:dyDescent="0.25"/>
    <row r="753" ht="14.25" customHeight="1" x14ac:dyDescent="0.25"/>
    <row r="754" ht="14.25" customHeight="1" x14ac:dyDescent="0.25"/>
    <row r="755" ht="14.25" customHeight="1" x14ac:dyDescent="0.25"/>
    <row r="756" ht="14.25" customHeight="1" x14ac:dyDescent="0.25"/>
    <row r="757" ht="14.25" customHeight="1" x14ac:dyDescent="0.25"/>
    <row r="758" ht="14.25" customHeight="1" x14ac:dyDescent="0.25"/>
    <row r="759" ht="14.25" customHeight="1" x14ac:dyDescent="0.25"/>
    <row r="760" ht="14.25" customHeight="1" x14ac:dyDescent="0.25"/>
    <row r="761" ht="14.25" customHeight="1" x14ac:dyDescent="0.25"/>
    <row r="762" ht="14.25" customHeight="1" x14ac:dyDescent="0.25"/>
    <row r="763" ht="14.25" customHeight="1" x14ac:dyDescent="0.25"/>
    <row r="764" ht="14.25" customHeight="1" x14ac:dyDescent="0.25"/>
    <row r="765" ht="14.25" customHeight="1" x14ac:dyDescent="0.25"/>
    <row r="766" ht="14.25" customHeight="1" x14ac:dyDescent="0.25"/>
    <row r="767" ht="14.25" customHeight="1" x14ac:dyDescent="0.25"/>
    <row r="768" ht="14.25" customHeight="1" x14ac:dyDescent="0.25"/>
    <row r="769" ht="14.25" customHeight="1" x14ac:dyDescent="0.25"/>
    <row r="770" ht="14.25" customHeight="1" x14ac:dyDescent="0.25"/>
    <row r="771" ht="14.25" customHeight="1" x14ac:dyDescent="0.25"/>
    <row r="772" ht="14.25" customHeight="1" x14ac:dyDescent="0.25"/>
    <row r="773" ht="14.25" customHeight="1" x14ac:dyDescent="0.25"/>
    <row r="774" ht="14.25" customHeight="1" x14ac:dyDescent="0.25"/>
    <row r="775" ht="14.25" customHeight="1" x14ac:dyDescent="0.25"/>
    <row r="776" ht="14.25" customHeight="1" x14ac:dyDescent="0.25"/>
    <row r="777" ht="14.25" customHeight="1" x14ac:dyDescent="0.25"/>
    <row r="778" ht="14.25" customHeight="1" x14ac:dyDescent="0.25"/>
    <row r="779" ht="14.25" customHeight="1" x14ac:dyDescent="0.25"/>
    <row r="780" ht="14.25" customHeight="1" x14ac:dyDescent="0.25"/>
    <row r="781" ht="14.25" customHeight="1" x14ac:dyDescent="0.25"/>
    <row r="782" ht="14.25" customHeight="1" x14ac:dyDescent="0.25"/>
    <row r="783" ht="14.25" customHeight="1" x14ac:dyDescent="0.25"/>
    <row r="784" ht="14.25" customHeight="1" x14ac:dyDescent="0.25"/>
    <row r="785" ht="14.25" customHeight="1" x14ac:dyDescent="0.25"/>
    <row r="786" ht="14.25" customHeight="1" x14ac:dyDescent="0.25"/>
    <row r="787" ht="14.25" customHeight="1" x14ac:dyDescent="0.25"/>
    <row r="788" ht="14.25" customHeight="1" x14ac:dyDescent="0.25"/>
    <row r="789" ht="14.25" customHeight="1" x14ac:dyDescent="0.25"/>
    <row r="790" ht="14.25" customHeight="1" x14ac:dyDescent="0.25"/>
    <row r="791" ht="14.25" customHeight="1" x14ac:dyDescent="0.25"/>
    <row r="792" ht="14.25" customHeight="1" x14ac:dyDescent="0.25"/>
    <row r="793" ht="14.25" customHeight="1" x14ac:dyDescent="0.25"/>
    <row r="794" ht="14.25" customHeight="1" x14ac:dyDescent="0.25"/>
    <row r="795" ht="14.25" customHeight="1" x14ac:dyDescent="0.25"/>
    <row r="796" ht="14.25" customHeight="1" x14ac:dyDescent="0.25"/>
    <row r="797" ht="14.25" customHeight="1" x14ac:dyDescent="0.25"/>
    <row r="798" ht="14.25" customHeight="1" x14ac:dyDescent="0.25"/>
    <row r="799" ht="14.25" customHeight="1" x14ac:dyDescent="0.25"/>
    <row r="800" ht="14.25" customHeight="1" x14ac:dyDescent="0.25"/>
    <row r="801" ht="14.25" customHeight="1" x14ac:dyDescent="0.25"/>
    <row r="802" ht="14.25" customHeight="1" x14ac:dyDescent="0.25"/>
    <row r="803" ht="14.25" customHeight="1" x14ac:dyDescent="0.25"/>
    <row r="804" ht="14.25" customHeight="1" x14ac:dyDescent="0.25"/>
    <row r="805" ht="14.25" customHeight="1" x14ac:dyDescent="0.25"/>
    <row r="806" ht="14.25" customHeight="1" x14ac:dyDescent="0.25"/>
    <row r="807" ht="14.25" customHeight="1" x14ac:dyDescent="0.25"/>
    <row r="808" ht="14.25" customHeight="1" x14ac:dyDescent="0.25"/>
    <row r="809" ht="14.25" customHeight="1" x14ac:dyDescent="0.25"/>
    <row r="810" ht="14.25" customHeight="1" x14ac:dyDescent="0.25"/>
    <row r="811" ht="14.25" customHeight="1" x14ac:dyDescent="0.25"/>
    <row r="812" ht="14.25" customHeight="1" x14ac:dyDescent="0.25"/>
    <row r="813" ht="14.25" customHeight="1" x14ac:dyDescent="0.25"/>
    <row r="814" ht="14.25" customHeight="1" x14ac:dyDescent="0.25"/>
    <row r="815" ht="14.25" customHeight="1" x14ac:dyDescent="0.25"/>
    <row r="816" ht="14.25" customHeight="1" x14ac:dyDescent="0.25"/>
    <row r="817" ht="14.25" customHeight="1" x14ac:dyDescent="0.25"/>
    <row r="818" ht="14.25" customHeight="1" x14ac:dyDescent="0.25"/>
    <row r="819" ht="14.25" customHeight="1" x14ac:dyDescent="0.25"/>
    <row r="820" ht="14.25" customHeight="1" x14ac:dyDescent="0.25"/>
    <row r="821" ht="14.25" customHeight="1" x14ac:dyDescent="0.25"/>
    <row r="822" ht="14.25" customHeight="1" x14ac:dyDescent="0.25"/>
    <row r="823" ht="14.25" customHeight="1" x14ac:dyDescent="0.25"/>
    <row r="824" ht="14.25" customHeight="1" x14ac:dyDescent="0.25"/>
    <row r="825" ht="14.25" customHeight="1" x14ac:dyDescent="0.25"/>
    <row r="826" ht="14.25" customHeight="1" x14ac:dyDescent="0.25"/>
    <row r="827" ht="14.25" customHeight="1" x14ac:dyDescent="0.25"/>
    <row r="828" ht="14.25" customHeight="1" x14ac:dyDescent="0.25"/>
    <row r="829" ht="14.25" customHeight="1" x14ac:dyDescent="0.25"/>
    <row r="830" ht="14.25" customHeight="1" x14ac:dyDescent="0.25"/>
    <row r="831" ht="14.25" customHeight="1" x14ac:dyDescent="0.25"/>
    <row r="832" ht="14.25" customHeight="1" x14ac:dyDescent="0.25"/>
    <row r="833" ht="14.25" customHeight="1" x14ac:dyDescent="0.25"/>
    <row r="834" ht="14.25" customHeight="1" x14ac:dyDescent="0.25"/>
    <row r="835" ht="14.25" customHeight="1" x14ac:dyDescent="0.25"/>
    <row r="836" ht="14.25" customHeight="1" x14ac:dyDescent="0.25"/>
    <row r="837" ht="14.25" customHeight="1" x14ac:dyDescent="0.25"/>
    <row r="838" ht="14.25" customHeight="1" x14ac:dyDescent="0.25"/>
    <row r="839" ht="14.25" customHeight="1" x14ac:dyDescent="0.25"/>
    <row r="840" ht="14.25" customHeight="1" x14ac:dyDescent="0.25"/>
    <row r="841" ht="14.25" customHeight="1" x14ac:dyDescent="0.25"/>
    <row r="842" ht="14.25" customHeight="1" x14ac:dyDescent="0.25"/>
    <row r="843" ht="14.25" customHeight="1" x14ac:dyDescent="0.25"/>
    <row r="844" ht="14.25" customHeight="1" x14ac:dyDescent="0.25"/>
    <row r="845" ht="14.25" customHeight="1" x14ac:dyDescent="0.25"/>
    <row r="846" ht="14.25" customHeight="1" x14ac:dyDescent="0.25"/>
    <row r="847" ht="14.25" customHeight="1" x14ac:dyDescent="0.25"/>
    <row r="848" ht="14.25" customHeight="1" x14ac:dyDescent="0.25"/>
    <row r="849" ht="14.25" customHeight="1" x14ac:dyDescent="0.25"/>
    <row r="850" ht="14.25" customHeight="1" x14ac:dyDescent="0.25"/>
    <row r="851" ht="14.25" customHeight="1" x14ac:dyDescent="0.25"/>
    <row r="852" ht="14.25" customHeight="1" x14ac:dyDescent="0.25"/>
    <row r="853" ht="14.25" customHeight="1" x14ac:dyDescent="0.25"/>
    <row r="854" ht="14.25" customHeight="1" x14ac:dyDescent="0.25"/>
    <row r="855" ht="14.25" customHeight="1" x14ac:dyDescent="0.25"/>
    <row r="856" ht="14.25" customHeight="1" x14ac:dyDescent="0.25"/>
    <row r="857" ht="14.25" customHeight="1" x14ac:dyDescent="0.25"/>
    <row r="858" ht="14.25" customHeight="1" x14ac:dyDescent="0.25"/>
    <row r="859" ht="14.25" customHeight="1" x14ac:dyDescent="0.25"/>
    <row r="860" ht="14.25" customHeight="1" x14ac:dyDescent="0.25"/>
    <row r="861" ht="14.25" customHeight="1" x14ac:dyDescent="0.25"/>
    <row r="862" ht="14.25" customHeight="1" x14ac:dyDescent="0.25"/>
    <row r="863" ht="14.25" customHeight="1" x14ac:dyDescent="0.25"/>
    <row r="864" ht="14.25" customHeight="1" x14ac:dyDescent="0.25"/>
    <row r="865" ht="14.25" customHeight="1" x14ac:dyDescent="0.25"/>
    <row r="866" ht="14.25" customHeight="1" x14ac:dyDescent="0.25"/>
    <row r="867" ht="14.25" customHeight="1" x14ac:dyDescent="0.25"/>
    <row r="868" ht="14.25" customHeight="1" x14ac:dyDescent="0.25"/>
    <row r="869" ht="14.25" customHeight="1" x14ac:dyDescent="0.25"/>
    <row r="870" ht="14.25" customHeight="1" x14ac:dyDescent="0.25"/>
    <row r="871" ht="14.25" customHeight="1" x14ac:dyDescent="0.25"/>
    <row r="872" ht="14.25" customHeight="1" x14ac:dyDescent="0.25"/>
    <row r="873" ht="14.25" customHeight="1" x14ac:dyDescent="0.25"/>
    <row r="874" ht="14.25" customHeight="1" x14ac:dyDescent="0.25"/>
    <row r="875" ht="14.25" customHeight="1" x14ac:dyDescent="0.25"/>
    <row r="876" ht="14.25" customHeight="1" x14ac:dyDescent="0.25"/>
    <row r="877" ht="14.25" customHeight="1" x14ac:dyDescent="0.25"/>
    <row r="878" ht="14.25" customHeight="1" x14ac:dyDescent="0.25"/>
    <row r="879" ht="14.25" customHeight="1" x14ac:dyDescent="0.25"/>
    <row r="880" ht="14.25" customHeight="1" x14ac:dyDescent="0.25"/>
    <row r="881" ht="14.25" customHeight="1" x14ac:dyDescent="0.25"/>
    <row r="882" ht="14.25" customHeight="1" x14ac:dyDescent="0.25"/>
    <row r="883" ht="14.25" customHeight="1" x14ac:dyDescent="0.25"/>
    <row r="884" ht="14.25" customHeight="1" x14ac:dyDescent="0.25"/>
    <row r="885" ht="14.25" customHeight="1" x14ac:dyDescent="0.25"/>
    <row r="886" ht="14.25" customHeight="1" x14ac:dyDescent="0.25"/>
    <row r="887" ht="14.25" customHeight="1" x14ac:dyDescent="0.25"/>
    <row r="888" ht="14.25" customHeight="1" x14ac:dyDescent="0.25"/>
    <row r="889" ht="14.25" customHeight="1" x14ac:dyDescent="0.25"/>
    <row r="890" ht="14.25" customHeight="1" x14ac:dyDescent="0.25"/>
    <row r="891" ht="14.25" customHeight="1" x14ac:dyDescent="0.25"/>
    <row r="892" ht="14.25" customHeight="1" x14ac:dyDescent="0.25"/>
    <row r="893" ht="14.25" customHeight="1" x14ac:dyDescent="0.25"/>
    <row r="894" ht="14.25" customHeight="1" x14ac:dyDescent="0.25"/>
    <row r="895" ht="14.25" customHeight="1" x14ac:dyDescent="0.25"/>
    <row r="896" ht="14.25" customHeight="1" x14ac:dyDescent="0.25"/>
    <row r="897" ht="14.25" customHeight="1" x14ac:dyDescent="0.25"/>
    <row r="898" ht="14.25" customHeight="1" x14ac:dyDescent="0.25"/>
    <row r="899" ht="14.25" customHeight="1" x14ac:dyDescent="0.25"/>
    <row r="900" ht="14.25" customHeight="1" x14ac:dyDescent="0.25"/>
    <row r="901" ht="14.25" customHeight="1" x14ac:dyDescent="0.25"/>
    <row r="902" ht="14.25" customHeight="1" x14ac:dyDescent="0.25"/>
    <row r="903" ht="14.25" customHeight="1" x14ac:dyDescent="0.25"/>
    <row r="904" ht="14.25" customHeight="1" x14ac:dyDescent="0.25"/>
    <row r="905" ht="14.25" customHeight="1" x14ac:dyDescent="0.25"/>
    <row r="906" ht="14.25" customHeight="1" x14ac:dyDescent="0.25"/>
    <row r="907" ht="14.25" customHeight="1" x14ac:dyDescent="0.25"/>
    <row r="908" ht="14.25" customHeight="1" x14ac:dyDescent="0.25"/>
    <row r="909" ht="14.25" customHeight="1" x14ac:dyDescent="0.25"/>
    <row r="910" ht="14.25" customHeight="1" x14ac:dyDescent="0.25"/>
    <row r="911" ht="14.25" customHeight="1" x14ac:dyDescent="0.25"/>
    <row r="912" ht="14.25" customHeight="1" x14ac:dyDescent="0.25"/>
    <row r="913" ht="14.25" customHeight="1" x14ac:dyDescent="0.25"/>
    <row r="914" ht="14.25" customHeight="1" x14ac:dyDescent="0.25"/>
    <row r="915" ht="14.25" customHeight="1" x14ac:dyDescent="0.25"/>
    <row r="916" ht="14.25" customHeight="1" x14ac:dyDescent="0.25"/>
    <row r="917" ht="14.25" customHeight="1" x14ac:dyDescent="0.25"/>
    <row r="918" ht="14.25" customHeight="1" x14ac:dyDescent="0.25"/>
    <row r="919" ht="14.25" customHeight="1" x14ac:dyDescent="0.25"/>
    <row r="920" ht="14.25" customHeight="1" x14ac:dyDescent="0.25"/>
    <row r="921" ht="14.25" customHeight="1" x14ac:dyDescent="0.25"/>
    <row r="922" ht="14.25" customHeight="1" x14ac:dyDescent="0.25"/>
    <row r="923" ht="14.25" customHeight="1" x14ac:dyDescent="0.25"/>
    <row r="924" ht="14.25" customHeight="1" x14ac:dyDescent="0.25"/>
    <row r="925" ht="14.25" customHeight="1" x14ac:dyDescent="0.25"/>
    <row r="926" ht="14.25" customHeight="1" x14ac:dyDescent="0.25"/>
    <row r="927" ht="14.25" customHeight="1" x14ac:dyDescent="0.25"/>
    <row r="928" ht="14.25" customHeight="1" x14ac:dyDescent="0.25"/>
    <row r="929" ht="14.25" customHeight="1" x14ac:dyDescent="0.25"/>
    <row r="930" ht="14.25" customHeight="1" x14ac:dyDescent="0.25"/>
    <row r="931" ht="14.25" customHeight="1" x14ac:dyDescent="0.25"/>
    <row r="932" ht="14.25" customHeight="1" x14ac:dyDescent="0.25"/>
    <row r="933" ht="14.25" customHeight="1" x14ac:dyDescent="0.25"/>
    <row r="934" ht="14.25" customHeight="1" x14ac:dyDescent="0.25"/>
    <row r="935" ht="14.25" customHeight="1" x14ac:dyDescent="0.25"/>
    <row r="936" ht="14.25" customHeight="1" x14ac:dyDescent="0.25"/>
    <row r="937" ht="14.25" customHeight="1" x14ac:dyDescent="0.25"/>
    <row r="938" ht="14.25" customHeight="1" x14ac:dyDescent="0.25"/>
    <row r="939" ht="14.25" customHeight="1" x14ac:dyDescent="0.25"/>
    <row r="940" ht="14.25" customHeight="1" x14ac:dyDescent="0.25"/>
    <row r="941" ht="14.25" customHeight="1" x14ac:dyDescent="0.25"/>
    <row r="942" ht="14.25" customHeight="1" x14ac:dyDescent="0.25"/>
    <row r="943" ht="14.25" customHeight="1" x14ac:dyDescent="0.25"/>
    <row r="944" ht="14.25" customHeight="1" x14ac:dyDescent="0.25"/>
    <row r="945" ht="14.25" customHeight="1" x14ac:dyDescent="0.25"/>
    <row r="946" ht="14.25" customHeight="1" x14ac:dyDescent="0.25"/>
    <row r="947" ht="14.25" customHeight="1" x14ac:dyDescent="0.25"/>
    <row r="948" ht="14.25" customHeight="1" x14ac:dyDescent="0.25"/>
    <row r="949" ht="14.25" customHeight="1" x14ac:dyDescent="0.25"/>
    <row r="950" ht="14.25" customHeight="1" x14ac:dyDescent="0.25"/>
    <row r="951" ht="14.25" customHeight="1" x14ac:dyDescent="0.25"/>
    <row r="952" ht="14.25" customHeight="1" x14ac:dyDescent="0.25"/>
    <row r="953" ht="14.25" customHeight="1" x14ac:dyDescent="0.25"/>
    <row r="954" ht="14.25" customHeight="1" x14ac:dyDescent="0.25"/>
    <row r="955" ht="14.25" customHeight="1" x14ac:dyDescent="0.25"/>
    <row r="956" ht="14.25" customHeight="1" x14ac:dyDescent="0.25"/>
    <row r="957" ht="14.25" customHeight="1" x14ac:dyDescent="0.25"/>
    <row r="958" ht="14.25" customHeight="1" x14ac:dyDescent="0.25"/>
    <row r="959" ht="14.25" customHeight="1" x14ac:dyDescent="0.25"/>
    <row r="960" ht="14.25" customHeight="1" x14ac:dyDescent="0.25"/>
    <row r="961" ht="14.25" customHeight="1" x14ac:dyDescent="0.25"/>
    <row r="962" ht="14.25" customHeight="1" x14ac:dyDescent="0.25"/>
    <row r="963" ht="14.25" customHeight="1" x14ac:dyDescent="0.25"/>
    <row r="964" ht="14.25" customHeight="1" x14ac:dyDescent="0.25"/>
    <row r="965" ht="14.25" customHeight="1" x14ac:dyDescent="0.25"/>
    <row r="966" ht="14.25" customHeight="1" x14ac:dyDescent="0.25"/>
    <row r="967" ht="14.25" customHeight="1" x14ac:dyDescent="0.25"/>
    <row r="968" ht="14.25" customHeight="1" x14ac:dyDescent="0.25"/>
    <row r="969" ht="14.25" customHeight="1" x14ac:dyDescent="0.25"/>
    <row r="970" ht="14.25" customHeight="1" x14ac:dyDescent="0.25"/>
    <row r="971" ht="14.25" customHeight="1" x14ac:dyDescent="0.25"/>
    <row r="972" ht="14.25" customHeight="1" x14ac:dyDescent="0.25"/>
    <row r="973" ht="14.25" customHeight="1" x14ac:dyDescent="0.25"/>
    <row r="974" ht="14.25" customHeight="1" x14ac:dyDescent="0.25"/>
    <row r="975" ht="14.25" customHeight="1" x14ac:dyDescent="0.25"/>
    <row r="976" ht="14.25" customHeight="1" x14ac:dyDescent="0.25"/>
    <row r="977" ht="14.25" customHeight="1" x14ac:dyDescent="0.25"/>
    <row r="978" ht="14.25" customHeight="1" x14ac:dyDescent="0.25"/>
    <row r="979" ht="14.25" customHeight="1" x14ac:dyDescent="0.25"/>
    <row r="980" ht="14.25" customHeight="1" x14ac:dyDescent="0.25"/>
    <row r="981" ht="14.25" customHeight="1" x14ac:dyDescent="0.25"/>
    <row r="982" ht="14.25" customHeight="1" x14ac:dyDescent="0.25"/>
    <row r="983" ht="14.25" customHeight="1" x14ac:dyDescent="0.25"/>
    <row r="984" ht="14.25" customHeight="1" x14ac:dyDescent="0.25"/>
    <row r="985" ht="14.25" customHeight="1" x14ac:dyDescent="0.25"/>
    <row r="986" ht="14.25" customHeight="1" x14ac:dyDescent="0.25"/>
    <row r="987" ht="14.25" customHeight="1" x14ac:dyDescent="0.25"/>
    <row r="988" ht="14.25" customHeight="1" x14ac:dyDescent="0.25"/>
    <row r="989" ht="14.25" customHeight="1" x14ac:dyDescent="0.25"/>
    <row r="990" ht="14.25" customHeight="1" x14ac:dyDescent="0.25"/>
    <row r="991" ht="14.25" customHeight="1" x14ac:dyDescent="0.25"/>
    <row r="992" ht="14.25" customHeight="1" x14ac:dyDescent="0.25"/>
    <row r="993" ht="14.25" customHeight="1" x14ac:dyDescent="0.25"/>
    <row r="994" ht="14.25" customHeight="1" x14ac:dyDescent="0.25"/>
    <row r="995" ht="14.25" customHeight="1" x14ac:dyDescent="0.25"/>
    <row r="996" ht="14.25" customHeight="1" x14ac:dyDescent="0.25"/>
    <row r="997" ht="14.25" customHeight="1" x14ac:dyDescent="0.25"/>
    <row r="998" ht="14.25" customHeight="1" x14ac:dyDescent="0.25"/>
    <row r="999" ht="14.25" customHeight="1" x14ac:dyDescent="0.25"/>
    <row r="1000" ht="14.25" customHeight="1" x14ac:dyDescent="0.25"/>
    <row r="1001" ht="14.25" customHeight="1" x14ac:dyDescent="0.25"/>
    <row r="1002" ht="14.25" customHeight="1" x14ac:dyDescent="0.25"/>
    <row r="1003" ht="14.25" customHeight="1" x14ac:dyDescent="0.25"/>
    <row r="1004" ht="14.25" customHeight="1" x14ac:dyDescent="0.25"/>
    <row r="1005" ht="14.25" customHeight="1" x14ac:dyDescent="0.25"/>
    <row r="1006" ht="14.25" customHeight="1" x14ac:dyDescent="0.25"/>
    <row r="1007" ht="14.25" customHeight="1" x14ac:dyDescent="0.25"/>
    <row r="1008" ht="14.25" customHeight="1" x14ac:dyDescent="0.25"/>
    <row r="1009" ht="14.25" customHeight="1" x14ac:dyDescent="0.25"/>
    <row r="1010" ht="14.25" customHeight="1" x14ac:dyDescent="0.25"/>
    <row r="1011" ht="14.25" customHeight="1" x14ac:dyDescent="0.25"/>
    <row r="1012" ht="14.25" customHeight="1" x14ac:dyDescent="0.25"/>
    <row r="1013" ht="14.25" customHeight="1" x14ac:dyDescent="0.25"/>
    <row r="1014" ht="14.25" customHeight="1" x14ac:dyDescent="0.25"/>
    <row r="1015" ht="14.25" customHeight="1" x14ac:dyDescent="0.25"/>
    <row r="1016" ht="14.25" customHeight="1" x14ac:dyDescent="0.25"/>
    <row r="1017" ht="14.25" customHeight="1" x14ac:dyDescent="0.25"/>
    <row r="1018" ht="14.25" customHeight="1" x14ac:dyDescent="0.25"/>
    <row r="1019" ht="14.25" customHeight="1" x14ac:dyDescent="0.25"/>
    <row r="1020" ht="14.25" customHeight="1" x14ac:dyDescent="0.25"/>
    <row r="1021" ht="14.25" customHeight="1" x14ac:dyDescent="0.25"/>
    <row r="1022" ht="14.25" customHeight="1" x14ac:dyDescent="0.25"/>
    <row r="1023" ht="14.25" customHeight="1" x14ac:dyDescent="0.25"/>
    <row r="1024" ht="14.25" customHeight="1" x14ac:dyDescent="0.25"/>
    <row r="1025" ht="14.25" customHeight="1" x14ac:dyDescent="0.25"/>
    <row r="1026" ht="14.25" customHeight="1" x14ac:dyDescent="0.25"/>
    <row r="1027" ht="14.25" customHeight="1" x14ac:dyDescent="0.25"/>
    <row r="1028" ht="14.25" customHeight="1" x14ac:dyDescent="0.25"/>
    <row r="1029" ht="14.25" customHeight="1" x14ac:dyDescent="0.25"/>
    <row r="1030" ht="14.25" customHeight="1" x14ac:dyDescent="0.25"/>
    <row r="1031" ht="14.25" customHeight="1" x14ac:dyDescent="0.25"/>
    <row r="1032" ht="14.25" customHeight="1" x14ac:dyDescent="0.25"/>
    <row r="1033" ht="14.25" customHeight="1" x14ac:dyDescent="0.25"/>
    <row r="1034" ht="14.25" customHeight="1" x14ac:dyDescent="0.25"/>
    <row r="1035" ht="14.25" customHeight="1" x14ac:dyDescent="0.25"/>
    <row r="1036" ht="14.25" customHeight="1" x14ac:dyDescent="0.25"/>
    <row r="1037" ht="14.25" customHeight="1" x14ac:dyDescent="0.25"/>
    <row r="1038" ht="14.25" customHeight="1" x14ac:dyDescent="0.25"/>
    <row r="1039" ht="14.25" customHeight="1" x14ac:dyDescent="0.25"/>
    <row r="1040" ht="14.25" customHeight="1" x14ac:dyDescent="0.25"/>
    <row r="1041" ht="14.25" customHeight="1" x14ac:dyDescent="0.25"/>
    <row r="1042" ht="14.25" customHeight="1" x14ac:dyDescent="0.25"/>
    <row r="1043" ht="14.25" customHeight="1" x14ac:dyDescent="0.25"/>
    <row r="1044" ht="14.25" customHeight="1" x14ac:dyDescent="0.25"/>
    <row r="1045" ht="14.25" customHeight="1" x14ac:dyDescent="0.25"/>
    <row r="1046" ht="14.25" customHeight="1" x14ac:dyDescent="0.25"/>
    <row r="1047" ht="14.25" customHeight="1" x14ac:dyDescent="0.25"/>
    <row r="1048" ht="14.25" customHeight="1" x14ac:dyDescent="0.25"/>
    <row r="1049" ht="14.25" customHeight="1" x14ac:dyDescent="0.25"/>
    <row r="1050" ht="14.25" customHeight="1" x14ac:dyDescent="0.25"/>
    <row r="1051" ht="14.25" customHeight="1" x14ac:dyDescent="0.25"/>
    <row r="1052" ht="14.25" customHeight="1" x14ac:dyDescent="0.25"/>
    <row r="1053" ht="14.25" customHeight="1" x14ac:dyDescent="0.25"/>
    <row r="1054" ht="14.25" customHeight="1" x14ac:dyDescent="0.25"/>
    <row r="1055" ht="14.25" customHeight="1" x14ac:dyDescent="0.25"/>
    <row r="1056" ht="14.25" customHeight="1" x14ac:dyDescent="0.25"/>
    <row r="1057" ht="14.25" customHeight="1" x14ac:dyDescent="0.25"/>
    <row r="1058" ht="14.25" customHeight="1" x14ac:dyDescent="0.25"/>
    <row r="1059" ht="14.25" customHeight="1" x14ac:dyDescent="0.25"/>
    <row r="1060" ht="14.25" customHeight="1" x14ac:dyDescent="0.25"/>
    <row r="1061" ht="14.25" customHeight="1" x14ac:dyDescent="0.25"/>
    <row r="1062" ht="14.25" customHeight="1" x14ac:dyDescent="0.25"/>
    <row r="1063" ht="14.25" customHeight="1" x14ac:dyDescent="0.25"/>
    <row r="1064" ht="14.25" customHeight="1" x14ac:dyDescent="0.25"/>
    <row r="1065" ht="14.25" customHeight="1" x14ac:dyDescent="0.25"/>
    <row r="1066" ht="14.25" customHeight="1" x14ac:dyDescent="0.25"/>
    <row r="1067" ht="14.25" customHeight="1" x14ac:dyDescent="0.25"/>
    <row r="1068" ht="14.25" customHeight="1" x14ac:dyDescent="0.25"/>
    <row r="1069" ht="14.25" customHeight="1" x14ac:dyDescent="0.25"/>
    <row r="1070" ht="14.25" customHeight="1" x14ac:dyDescent="0.25"/>
    <row r="1071" ht="14.25" customHeight="1" x14ac:dyDescent="0.25"/>
    <row r="1072" ht="14.25" customHeight="1" x14ac:dyDescent="0.25"/>
  </sheetData>
  <mergeCells count="2">
    <mergeCell ref="A1:C1"/>
    <mergeCell ref="F2:H2"/>
  </mergeCells>
  <pageMargins left="0.7" right="0.7" top="0.75" bottom="0.75" header="0" footer="0"/>
  <pageSetup orientation="landscape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I1036"/>
  <sheetViews>
    <sheetView topLeftCell="A73" workbookViewId="0">
      <selection activeCell="E98" sqref="E81:E9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4">
        <v>0</v>
      </c>
      <c r="E3" s="9" t="str">
        <f t="shared" ref="E3:E121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38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ref="H39:H42" si="5">"#if (defined("&amp;C39&amp;"_OCR) &amp;&amp; defined("&amp;C39&amp;"_TIMER) &amp;&amp; defined("&amp;C39&amp;"))
#define "&amp;C39&amp;"_OCRREG (__ocrreg__("&amp;C39&amp;"_TIMER, "&amp;C39&amp;"_OCR))
#define "&amp;C39&amp;"_TMRAREG (__tmrareg__("&amp;C39&amp;"_TIMER))
#define "&amp;C39&amp;"_TMRBREG (__tmrbreg__("&amp;C39&amp;"_TIMER))
#define "&amp;C39&amp;"_ENABLE_MASK __pwmenmask__("&amp;C39&amp;"_OCR)
#if ("&amp;C39&amp;"_TIMER == 2)
#define "&amp;C39&amp;"_PRESCALLER 0x04
#elif ("&amp;C39&amp;"_TIMER == 0)
#define "&amp;C39&amp;"_PRESCALLER 0x03
#else
#define "&amp;C39&amp;"_PRESCALLER 0x0B
#endif
#if ("&amp;C39&amp;"_TIMER == 0 || "&amp;C39&amp;"_TIMER == 2)
#define "&amp;C39&amp;"_MODE 0x03
#else
#define "&amp;C39&amp;"_MODE 0x01
#endif
#define "&amp;B39&amp;"_OCR "&amp;C39&amp;"_OCR
#define "&amp;B39&amp;"_TIMER "&amp;C39&amp;"_TIMER
#define "&amp;B39&amp;"_OCRREG "&amp;C39&amp;"_OCRREG
#define "&amp;B39&amp;"_TMRAREG "&amp;C39&amp;"_TMRAREG
#define "&amp;B39&amp;"_TMRBREG "&amp;C39&amp;"_TMRBREG
#define "&amp;B39&amp;"_ENABLE_MASK "&amp;C39&amp;"_ENABLE_MASK
#define "&amp;B39&amp;"_MODE "&amp;C39&amp;"_MODE
#define "&amp;B39&amp;"_PRESCALLER "&amp;C39&amp;"_PRESCALLER
#endif"</f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5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5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5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6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6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6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6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6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6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6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6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6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6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6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6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6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6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6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6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6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6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6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6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6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6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6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6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6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6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6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6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6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6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6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6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6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6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6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6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6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6"/>
        <v>#if DOUT31&gt;=0
mcu_config_output(DOUT31);
#endif</v>
      </c>
    </row>
    <row r="81" spans="1:9" ht="15" customHeight="1" x14ac:dyDescent="0.25">
      <c r="A81" s="4">
        <v>79</v>
      </c>
      <c r="B81" s="4" t="str">
        <f t="shared" ref="B81:B98" si="7">"DIO"&amp;A81</f>
        <v>DIO79</v>
      </c>
      <c r="C81" s="4" t="s">
        <v>527</v>
      </c>
      <c r="D81" s="4">
        <v>12</v>
      </c>
      <c r="E81" s="9" t="str">
        <f t="shared" ref="E81:E98" si="8">"#if(defined("&amp;C81&amp;"_BIT))
#define "&amp;B81&amp;" "&amp;A81&amp;"
#define "&amp;C81&amp;" "&amp;A81&amp;"
#define "&amp;B81&amp;"_BIT ("&amp;C81&amp;"_BIT)
#endif"</f>
        <v>#if(defined(DOUT32_BIT))
#define DIO79 79
#define DOUT32 79
#define DIO79_BIT (DOUT32_BIT)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7"/>
        <v>DIO80</v>
      </c>
      <c r="C82" s="4" t="s">
        <v>528</v>
      </c>
      <c r="D82" s="4">
        <v>13</v>
      </c>
      <c r="E82" s="9" t="str">
        <f t="shared" si="8"/>
        <v>#if(defined(DOUT33_BIT))
#define DIO80 80
#define DOUT33 80
#define DIO80_BIT (DOUT33_BIT)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7"/>
        <v>DIO81</v>
      </c>
      <c r="C83" s="4" t="s">
        <v>529</v>
      </c>
      <c r="D83" s="4">
        <v>14</v>
      </c>
      <c r="E83" s="9" t="str">
        <f t="shared" si="8"/>
        <v>#if(defined(DOUT34_BIT))
#define DIO81 81
#define DOUT34 81
#define DIO81_BIT (DOUT34_BIT)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7"/>
        <v>DIO82</v>
      </c>
      <c r="C84" s="4" t="s">
        <v>530</v>
      </c>
      <c r="D84" s="4">
        <v>15</v>
      </c>
      <c r="E84" s="9" t="str">
        <f t="shared" si="8"/>
        <v>#if(defined(DOUT35_BIT))
#define DIO82 82
#define DOUT35 82
#define DIO82_BIT (DOUT35_BIT)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7"/>
        <v>DIO83</v>
      </c>
      <c r="C85" s="4" t="s">
        <v>531</v>
      </c>
      <c r="D85" s="4">
        <v>16</v>
      </c>
      <c r="E85" s="9" t="str">
        <f t="shared" si="8"/>
        <v>#if(defined(DOUT36_BIT))
#define DIO83 83
#define DOUT36 83
#define DIO83_BIT (DOUT36_BIT)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7"/>
        <v>DIO84</v>
      </c>
      <c r="C86" s="4" t="s">
        <v>532</v>
      </c>
      <c r="D86" s="4">
        <v>17</v>
      </c>
      <c r="E86" s="9" t="str">
        <f t="shared" si="8"/>
        <v>#if(defined(DOUT37_BIT))
#define DIO84 84
#define DOUT37 84
#define DIO84_BIT (DOUT37_BIT)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7"/>
        <v>DIO85</v>
      </c>
      <c r="C87" s="4" t="s">
        <v>533</v>
      </c>
      <c r="D87" s="4">
        <v>18</v>
      </c>
      <c r="E87" s="9" t="str">
        <f t="shared" si="8"/>
        <v>#if(defined(DOUT38_BIT))
#define DIO85 85
#define DOUT38 85
#define DIO85_BIT (DOUT38_BIT)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7"/>
        <v>DIO86</v>
      </c>
      <c r="C88" s="4" t="s">
        <v>534</v>
      </c>
      <c r="D88" s="4">
        <v>19</v>
      </c>
      <c r="E88" s="9" t="str">
        <f t="shared" si="8"/>
        <v>#if(defined(DOUT39_BIT))
#define DIO86 86
#define DOUT39 86
#define DIO86_BIT (DOUT39_BIT)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7"/>
        <v>DIO87</v>
      </c>
      <c r="C89" s="4" t="s">
        <v>535</v>
      </c>
      <c r="D89" s="4">
        <v>20</v>
      </c>
      <c r="E89" s="9" t="str">
        <f t="shared" si="8"/>
        <v>#if(defined(DOUT40_BIT))
#define DIO87 87
#define DOUT40 87
#define DIO87_BIT (DOUT40_BIT)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7"/>
        <v>DIO88</v>
      </c>
      <c r="C90" s="4" t="s">
        <v>536</v>
      </c>
      <c r="D90" s="4">
        <v>21</v>
      </c>
      <c r="E90" s="9" t="str">
        <f t="shared" si="8"/>
        <v>#if(defined(DOUT41_BIT))
#define DIO88 88
#define DOUT41 88
#define DIO88_BIT (DOUT41_BIT)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7"/>
        <v>DIO89</v>
      </c>
      <c r="C91" s="4" t="s">
        <v>537</v>
      </c>
      <c r="D91" s="4">
        <v>22</v>
      </c>
      <c r="E91" s="9" t="str">
        <f t="shared" si="8"/>
        <v>#if(defined(DOUT42_BIT))
#define DIO89 89
#define DOUT42 89
#define DIO89_BIT (DOUT42_BIT)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7"/>
        <v>DIO90</v>
      </c>
      <c r="C92" s="4" t="s">
        <v>538</v>
      </c>
      <c r="D92" s="4">
        <v>23</v>
      </c>
      <c r="E92" s="9" t="str">
        <f t="shared" si="8"/>
        <v>#if(defined(DOUT43_BIT))
#define DIO90 90
#define DOUT43 90
#define DIO90_BIT (DOUT43_BIT)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7"/>
        <v>DIO91</v>
      </c>
      <c r="C93" s="4" t="s">
        <v>539</v>
      </c>
      <c r="D93" s="4">
        <v>24</v>
      </c>
      <c r="E93" s="9" t="str">
        <f t="shared" si="8"/>
        <v>#if(defined(DOUT44_BIT))
#define DIO91 91
#define DOUT44 91
#define DIO91_BIT (DOUT44_BIT)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7"/>
        <v>DIO92</v>
      </c>
      <c r="C94" s="4" t="s">
        <v>540</v>
      </c>
      <c r="D94" s="4">
        <v>25</v>
      </c>
      <c r="E94" s="9" t="str">
        <f t="shared" si="8"/>
        <v>#if(defined(DOUT45_BIT))
#define DIO92 92
#define DOUT45 92
#define DIO92_BIT (DOUT45_BIT)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7"/>
        <v>DIO93</v>
      </c>
      <c r="C95" s="4" t="s">
        <v>541</v>
      </c>
      <c r="D95" s="4">
        <v>26</v>
      </c>
      <c r="E95" s="9" t="str">
        <f t="shared" si="8"/>
        <v>#if(defined(DOUT46_BIT))
#define DIO93 93
#define DOUT46 93
#define DIO93_BIT (DOUT46_BIT)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7"/>
        <v>DIO94</v>
      </c>
      <c r="C96" s="4" t="s">
        <v>542</v>
      </c>
      <c r="D96" s="4">
        <v>27</v>
      </c>
      <c r="E96" s="9" t="str">
        <f t="shared" si="8"/>
        <v>#if(defined(DOUT47_BIT))
#define DIO94 94
#define DOUT47 94
#define DIO94_BIT (DOUT47_BIT)
#endif</v>
      </c>
      <c r="F96" s="11"/>
      <c r="G96" s="11"/>
      <c r="H96" s="12"/>
      <c r="I96" s="4"/>
    </row>
    <row r="97" spans="1:9" ht="15" customHeight="1" x14ac:dyDescent="0.25">
      <c r="A97" s="4">
        <v>95</v>
      </c>
      <c r="B97" s="4" t="str">
        <f t="shared" si="7"/>
        <v>DIO95</v>
      </c>
      <c r="C97" s="4" t="s">
        <v>543</v>
      </c>
      <c r="D97" s="4">
        <v>28</v>
      </c>
      <c r="E97" s="9" t="str">
        <f t="shared" si="8"/>
        <v>#if(defined(DOUT48_BIT))
#define DIO95 95
#define DOUT48 95
#define DIO95_BIT (DOUT48_BIT)
#endif</v>
      </c>
      <c r="F97" s="11"/>
      <c r="G97" s="11"/>
      <c r="H97" s="12"/>
      <c r="I97" s="4"/>
    </row>
    <row r="98" spans="1:9" ht="15" customHeight="1" x14ac:dyDescent="0.25">
      <c r="A98" s="4">
        <v>96</v>
      </c>
      <c r="B98" s="4" t="str">
        <f t="shared" si="7"/>
        <v>DIO96</v>
      </c>
      <c r="C98" s="4" t="s">
        <v>544</v>
      </c>
      <c r="D98" s="4">
        <v>29</v>
      </c>
      <c r="E98" s="9" t="str">
        <f t="shared" si="8"/>
        <v>#if(defined(DOUT49_BIT))
#define DIO96 96
#define DOUT49 96
#define DIO96_BIT (DOUT49_BIT)
#endif</v>
      </c>
      <c r="F98" s="11"/>
      <c r="G98" s="11"/>
      <c r="H98" s="12"/>
      <c r="I98" s="4"/>
    </row>
    <row r="99" spans="1:9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1"/>
        <v>#if(defined(LIMIT_X_BIT))
#define DIO100 100
#define LIMIT_X 100
#define DIO100_BIT (LIMIT_X_BIT)
#endif</v>
      </c>
      <c r="F99" s="12" t="str">
        <f t="shared" ref="F99:F107" si="9">"#if(defined("&amp;C99&amp;"_ISR) &amp;&amp; defined("&amp;C99&amp;"))
#define "&amp;B99&amp;"_ISR ("&amp;C99&amp;"_ISR)
#define "&amp;C99&amp;"_ISRCALLBACK mcu_limit_isr
#define "&amp;B99&amp;"_ISRCALLBACK mcu_limit_isr
#endif"</f>
        <v>#if(defined(LIMIT_X_ISR) &amp;&amp; defined(LIMIT_X))
#define DIO100_ISR (LIMIT_X_ISR)
#define LIMIT_X_ISRCALLBACK mcu_limit_isr
#define DIO100_ISRCALLBACK mcu_limit_isr
#endif</v>
      </c>
      <c r="G99" s="9" t="str">
        <f t="shared" ref="G99:G112" si="10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4" t="str">
        <f t="shared" ref="I99:I112" si="11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</row>
    <row r="100" spans="1:9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1"/>
        <v>#if(defined(LIMIT_Y_BIT))
#define DIO101 101
#define LIMIT_Y 101
#define DIO101_BIT (LIMIT_Y_BIT)
#endif</v>
      </c>
      <c r="F100" s="12" t="str">
        <f t="shared" si="9"/>
        <v>#if(defined(LIMIT_Y_ISR) &amp;&amp; defined(LIMIT_Y))
#define DIO101_ISR (LIMIT_Y_ISR)
#define LIMIT_Y_ISRCALLBACK mcu_limit_isr
#define DIO101_ISRCALLBACK mcu_limit_isr
#endif</v>
      </c>
      <c r="G100" s="9" t="str">
        <f t="shared" si="10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4" t="str">
        <f t="shared" si="11"/>
        <v>#if LIMIT_Y&gt;=0
mcu_config_input(LIMIT_Y);
#ifdef LIMIT_Y_PULLUP
mcu_config_pullup(LIMIT_Y);
#endif
#ifdef LIMIT_Y_ISR
mcu_config_input_isr(LIMIT_Y);
#endif
#endif</v>
      </c>
    </row>
    <row r="101" spans="1:9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1"/>
        <v>#if(defined(LIMIT_Z_BIT))
#define DIO102 102
#define LIMIT_Z 102
#define DIO102_BIT (LIMIT_Z_BIT)
#endif</v>
      </c>
      <c r="F101" s="12" t="str">
        <f t="shared" si="9"/>
        <v>#if(defined(LIMIT_Z_ISR) &amp;&amp; defined(LIMIT_Z))
#define DIO102_ISR (LIMIT_Z_ISR)
#define LIMIT_Z_ISRCALLBACK mcu_limit_isr
#define DIO102_ISRCALLBACK mcu_limit_isr
#endif</v>
      </c>
      <c r="G101" s="9" t="str">
        <f t="shared" si="10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4" t="str">
        <f t="shared" si="11"/>
        <v>#if LIMIT_Z&gt;=0
mcu_config_input(LIMIT_Z);
#ifdef LIMIT_Z_PULLUP
mcu_config_pullup(LIMIT_Z);
#endif
#ifdef LIMIT_Z_ISR
mcu_config_input_isr(LIMIT_Z);
#endif
#endif</v>
      </c>
    </row>
    <row r="102" spans="1:9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1"/>
        <v>#if(defined(LIMIT_X2_BIT))
#define DIO103 103
#define LIMIT_X2 103
#define DIO103_BIT (LIMIT_X2_BIT)
#endif</v>
      </c>
      <c r="F102" s="12" t="str">
        <f t="shared" si="9"/>
        <v>#if(defined(LIMIT_X2_ISR) &amp;&amp; defined(LIMIT_X2))
#define DIO103_ISR (LIMIT_X2_ISR)
#define LIMIT_X2_ISRCALLBACK mcu_limit_isr
#define DIO103_ISRCALLBACK mcu_limit_isr
#endif</v>
      </c>
      <c r="G102" s="9" t="str">
        <f t="shared" si="10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4" t="str">
        <f t="shared" si="11"/>
        <v>#if LIMIT_X2&gt;=0
mcu_config_input(LIMIT_X2);
#ifdef LIMIT_X2_PULLUP
mcu_config_pullup(LIMIT_X2);
#endif
#ifdef LIMIT_X2_ISR
mcu_config_input_isr(LIMIT_X2);
#endif
#endif</v>
      </c>
    </row>
    <row r="103" spans="1:9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1"/>
        <v>#if(defined(LIMIT_Y2_BIT))
#define DIO104 104
#define LIMIT_Y2 104
#define DIO104_BIT (LIMIT_Y2_BIT)
#endif</v>
      </c>
      <c r="F103" s="12" t="str">
        <f t="shared" si="9"/>
        <v>#if(defined(LIMIT_Y2_ISR) &amp;&amp; defined(LIMIT_Y2))
#define DIO104_ISR (LIMIT_Y2_ISR)
#define LIMIT_Y2_ISRCALLBACK mcu_limit_isr
#define DIO104_ISRCALLBACK mcu_limit_isr
#endif</v>
      </c>
      <c r="G103" s="9" t="str">
        <f t="shared" si="10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4" t="str">
        <f t="shared" si="11"/>
        <v>#if LIMIT_Y2&gt;=0
mcu_config_input(LIMIT_Y2);
#ifdef LIMIT_Y2_PULLUP
mcu_config_pullup(LIMIT_Y2);
#endif
#ifdef LIMIT_Y2_ISR
mcu_config_input_isr(LIMIT_Y2);
#endif
#endif</v>
      </c>
    </row>
    <row r="104" spans="1:9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1"/>
        <v>#if(defined(LIMIT_Z2_BIT))
#define DIO105 105
#define LIMIT_Z2 105
#define DIO105_BIT (LIMIT_Z2_BIT)
#endif</v>
      </c>
      <c r="F104" s="12" t="str">
        <f t="shared" si="9"/>
        <v>#if(defined(LIMIT_Z2_ISR) &amp;&amp; defined(LIMIT_Z2))
#define DIO105_ISR (LIMIT_Z2_ISR)
#define LIMIT_Z2_ISRCALLBACK mcu_limit_isr
#define DIO105_ISRCALLBACK mcu_limit_isr
#endif</v>
      </c>
      <c r="G104" s="9" t="str">
        <f t="shared" si="10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4" t="str">
        <f t="shared" si="11"/>
        <v>#if LIMIT_Z2&gt;=0
mcu_config_input(LIMIT_Z2);
#ifdef LIMIT_Z2_PULLUP
mcu_config_pullup(LIMIT_Z2);
#endif
#ifdef LIMIT_Z2_ISR
mcu_config_input_isr(LIMIT_Z2);
#endif
#endif</v>
      </c>
    </row>
    <row r="105" spans="1:9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1"/>
        <v>#if(defined(LIMIT_A_BIT))
#define DIO106 106
#define LIMIT_A 106
#define DIO106_BIT (LIMIT_A_BIT)
#endif</v>
      </c>
      <c r="F105" s="12" t="str">
        <f t="shared" si="9"/>
        <v>#if(defined(LIMIT_A_ISR) &amp;&amp; defined(LIMIT_A))
#define DIO106_ISR (LIMIT_A_ISR)
#define LIMIT_A_ISRCALLBACK mcu_limit_isr
#define DIO106_ISRCALLBACK mcu_limit_isr
#endif</v>
      </c>
      <c r="G105" s="9" t="str">
        <f t="shared" si="10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4" t="str">
        <f t="shared" si="11"/>
        <v>#if LIMIT_A&gt;=0
mcu_config_input(LIMIT_A);
#ifdef LIMIT_A_PULLUP
mcu_config_pullup(LIMIT_A);
#endif
#ifdef LIMIT_A_ISR
mcu_config_input_isr(LIMIT_A);
#endif
#endif</v>
      </c>
    </row>
    <row r="106" spans="1:9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1"/>
        <v>#if(defined(LIMIT_B_BIT))
#define DIO107 107
#define LIMIT_B 107
#define DIO107_BIT (LIMIT_B_BIT)
#endif</v>
      </c>
      <c r="F106" s="12" t="str">
        <f t="shared" si="9"/>
        <v>#if(defined(LIMIT_B_ISR) &amp;&amp; defined(LIMIT_B))
#define DIO107_ISR (LIMIT_B_ISR)
#define LIMIT_B_ISRCALLBACK mcu_limit_isr
#define DIO107_ISRCALLBACK mcu_limit_isr
#endif</v>
      </c>
      <c r="G106" s="9" t="str">
        <f t="shared" si="10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4" t="str">
        <f t="shared" si="11"/>
        <v>#if LIMIT_B&gt;=0
mcu_config_input(LIMIT_B);
#ifdef LIMIT_B_PULLUP
mcu_config_pullup(LIMIT_B);
#endif
#ifdef LIMIT_B_ISR
mcu_config_input_isr(LIMIT_B);
#endif
#endif</v>
      </c>
    </row>
    <row r="107" spans="1:9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1"/>
        <v>#if(defined(LIMIT_C_BIT))
#define DIO108 108
#define LIMIT_C 108
#define DIO108_BIT (LIMIT_C_BIT)
#endif</v>
      </c>
      <c r="F107" s="12" t="str">
        <f t="shared" si="9"/>
        <v>#if(defined(LIMIT_C_ISR) &amp;&amp; defined(LIMIT_C))
#define DIO108_ISR (LIMIT_C_ISR)
#define LIMIT_C_ISRCALLBACK mcu_limit_isr
#define DIO108_ISRCALLBACK mcu_limit_isr
#endif</v>
      </c>
      <c r="G107" s="9" t="str">
        <f t="shared" si="10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4" t="str">
        <f t="shared" si="11"/>
        <v>#if LIMIT_C&gt;=0
mcu_config_input(LIMIT_C);
#ifdef LIMIT_C_PULLUP
mcu_config_pullup(LIMIT_C);
#endif
#ifdef LIMIT_C_ISR
mcu_config_input_isr(LIMIT_C);
#endif
#endif</v>
      </c>
    </row>
    <row r="108" spans="1:9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1"/>
        <v>#if(defined(PROBE_BIT))
#define DIO109 109
#define PROBE 109
#define DIO109_BIT (PROBE_BIT)
#endif</v>
      </c>
      <c r="F108" s="12" t="str">
        <f>"#if(defined("&amp;C108&amp;"_ISR) &amp;&amp; defined("&amp;C108&amp;"))
#define "&amp;B108&amp;"_ISR ("&amp;C108&amp;"_ISR)
#define "&amp;C108&amp;"_ISRCALLBACK mcu_probe_isr
#define "&amp;B108&amp;"_ISRCALLBACK mcu_probe_isr
#endif"</f>
        <v>#if(defined(PROBE_ISR) &amp;&amp; defined(PROBE))
#define DIO109_ISR (PROBE_ISR)
#define PROBE_ISRCALLBACK mcu_probe_isr
#define DIO109_ISRCALLBACK mcu_probe_isr
#endif</v>
      </c>
      <c r="G108" s="9" t="str">
        <f t="shared" si="10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4" t="str">
        <f t="shared" si="11"/>
        <v>#if PROBE&gt;=0
mcu_config_input(PROBE);
#ifdef PROBE_PULLUP
mcu_config_pullup(PROBE);
#endif
#ifdef PROBE_ISR
mcu_config_input_isr(PROBE);
#endif
#endif</v>
      </c>
    </row>
    <row r="109" spans="1:9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1"/>
        <v>#if(defined(ESTOP_BIT))
#define DIO110 110
#define ESTOP 110
#define DIO110_BIT (ESTOP_BIT)
#endif</v>
      </c>
      <c r="F109" s="12" t="str">
        <f t="shared" ref="F109:F112" si="12">"#if(defined("&amp;C109&amp;"_ISR) &amp;&amp; defined("&amp;C109&amp;"))
#define "&amp;B109&amp;"_ISR ("&amp;C109&amp;"_ISR)
#define "&amp;C109&amp;"_ISRCALLBACK mcu_control_isr
#define "&amp;B109&amp;"_ISRCALLBACK mcu_control_isr
#endif"</f>
        <v>#if(defined(ESTOP_ISR) &amp;&amp; defined(ESTOP))
#define DIO110_ISR (ESTOP_ISR)
#define ESTOP_ISRCALLBACK mcu_control_isr
#define DIO110_ISRCALLBACK mcu_control_isr
#endif</v>
      </c>
      <c r="G109" s="9" t="str">
        <f t="shared" si="10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4" t="str">
        <f t="shared" si="11"/>
        <v>#if ESTOP&gt;=0
mcu_config_input(ESTOP);
#ifdef ESTOP_PULLUP
mcu_config_pullup(ESTOP);
#endif
#ifdef ESTOP_ISR
mcu_config_input_isr(ESTOP);
#endif
#endif</v>
      </c>
    </row>
    <row r="110" spans="1:9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1"/>
        <v>#if(defined(SAFETY_DOOR_BIT))
#define DIO111 111
#define SAFETY_DOOR 111
#define DIO111_BIT (SAFETY_DOOR_BIT)
#endif</v>
      </c>
      <c r="F110" s="12" t="str">
        <f t="shared" si="12"/>
        <v>#if(defined(SAFETY_DOOR_ISR) &amp;&amp; defined(SAFETY_DOOR))
#define DIO111_ISR (SAFETY_DOOR_ISR)
#define SAFETY_DOOR_ISRCALLBACK mcu_control_isr
#define DIO111_ISRCALLBACK mcu_control_isr
#endif</v>
      </c>
      <c r="G110" s="9" t="str">
        <f t="shared" si="10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4" t="str">
        <f t="shared" si="11"/>
        <v>#if SAFETY_DOOR&gt;=0
mcu_config_input(SAFETY_DOOR);
#ifdef SAFETY_DOOR_PULLUP
mcu_config_pullup(SAFETY_DOOR);
#endif
#ifdef SAFETY_DOOR_ISR
mcu_config_input_isr(SAFETY_DOOR);
#endif
#endif</v>
      </c>
    </row>
    <row r="111" spans="1:9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1"/>
        <v>#if(defined(FHOLD_BIT))
#define DIO112 112
#define FHOLD 112
#define DIO112_BIT (FHOLD_BIT)
#endif</v>
      </c>
      <c r="F111" s="12" t="str">
        <f t="shared" si="12"/>
        <v>#if(defined(FHOLD_ISR) &amp;&amp; defined(FHOLD))
#define DIO112_ISR (FHOLD_ISR)
#define FHOLD_ISRCALLBACK mcu_control_isr
#define DIO112_ISRCALLBACK mcu_control_isr
#endif</v>
      </c>
      <c r="G111" s="9" t="str">
        <f t="shared" si="10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4" t="str">
        <f t="shared" si="11"/>
        <v>#if FHOLD&gt;=0
mcu_config_input(FHOLD);
#ifdef FHOLD_PULLUP
mcu_config_pullup(FHOLD);
#endif
#ifdef FHOLD_ISR
mcu_config_input_isr(FHOLD);
#endif
#endif</v>
      </c>
    </row>
    <row r="112" spans="1:9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1"/>
        <v>#if(defined(CS_RES_BIT))
#define DIO113 113
#define CS_RES 113
#define DIO113_BIT (CS_RES_BIT)
#endif</v>
      </c>
      <c r="F112" s="12" t="str">
        <f t="shared" si="12"/>
        <v>#if(defined(CS_RES_ISR) &amp;&amp; defined(CS_RES))
#define DIO113_ISR (CS_RES_ISR)
#define CS_RES_ISRCALLBACK mcu_control_isr
#define DIO113_ISRCALLBACK mcu_control_isr
#endif</v>
      </c>
      <c r="G112" s="9" t="str">
        <f t="shared" si="10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4" t="str">
        <f t="shared" si="11"/>
        <v>#if CS_RES&gt;=0
mcu_config_input(CS_RES);
#ifdef CS_RES_PULLUP
mcu_config_pullup(CS_RES);
#endif
#ifdef CS_RES_ISR
mcu_config_input_isr(CS_RES);
#endif
#endif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1"/>
        <v>#if(defined(ANALOG0_BIT))
#define DIO114 114
#define ANALOG0 114
#define DIO114_BIT (ANALOG0_BIT)
#endif</v>
      </c>
      <c r="F113" s="9"/>
      <c r="G113" s="9"/>
      <c r="H113" s="12" t="str">
        <f t="shared" ref="H113:H128" si="13">"#ifdef "&amp;C113&amp;"
#define "&amp;B113&amp;"_PRESC "&amp;C113&amp;"_PRESC
#define  "&amp;B113&amp;"_CHANNEL "&amp;C113&amp;"_CHANNEL
#endif"</f>
        <v>#ifdef ANALOG0
#define DIO114_PRESC ANALOG0_PRESC
#define  DIO114_CHANNEL ANALOG0_CHANNEL
#endif</v>
      </c>
      <c r="I113" s="4" t="str">
        <f t="shared" ref="I113:I128" si="14"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1"/>
        <v>#if(defined(ANALOG1_BIT))
#define DIO115 115
#define ANALOG1 115
#define DIO115_BIT (ANALOG1_BIT)
#endif</v>
      </c>
      <c r="F114" s="9"/>
      <c r="G114" s="9"/>
      <c r="H114" s="12" t="str">
        <f t="shared" si="13"/>
        <v>#ifdef ANALOG1
#define DIO115_PRESC ANALOG1_PRESC
#define  DIO115_CHANNEL ANALOG1_CHANNEL
#endif</v>
      </c>
      <c r="I114" s="4" t="str">
        <f t="shared" si="14"/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1"/>
        <v>#if(defined(ANALOG2_BIT))
#define DIO116 116
#define ANALOG2 116
#define DIO116_BIT (ANALOG2_BIT)
#endif</v>
      </c>
      <c r="F115" s="9"/>
      <c r="G115" s="9"/>
      <c r="H115" s="12" t="str">
        <f t="shared" si="13"/>
        <v>#ifdef ANALOG2
#define DIO116_PRESC ANALOG2_PRESC
#define  DIO116_CHANNEL ANALOG2_CHANNEL
#endif</v>
      </c>
      <c r="I115" s="4" t="str">
        <f t="shared" si="14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1"/>
        <v>#if(defined(ANALOG3_BIT))
#define DIO117 117
#define ANALOG3 117
#define DIO117_BIT (ANALOG3_BIT)
#endif</v>
      </c>
      <c r="F116" s="9"/>
      <c r="G116" s="9"/>
      <c r="H116" s="12" t="str">
        <f t="shared" si="13"/>
        <v>#ifdef ANALOG3
#define DIO117_PRESC ANALOG3_PRESC
#define  DIO117_CHANNEL ANALOG3_CHANNEL
#endif</v>
      </c>
      <c r="I116" s="4" t="str">
        <f t="shared" si="14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1"/>
        <v>#if(defined(ANALOG4_BIT))
#define DIO118 118
#define ANALOG4 118
#define DIO118_BIT (ANALOG4_BIT)
#endif</v>
      </c>
      <c r="F117" s="9"/>
      <c r="G117" s="9"/>
      <c r="H117" s="12" t="str">
        <f t="shared" si="13"/>
        <v>#ifdef ANALOG4
#define DIO118_PRESC ANALOG4_PRESC
#define  DIO118_CHANNEL ANALOG4_CHANNEL
#endif</v>
      </c>
      <c r="I117" s="4" t="str">
        <f t="shared" si="14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1"/>
        <v>#if(defined(ANALOG5_BIT))
#define DIO119 119
#define ANALOG5 119
#define DIO119_BIT (ANALOG5_BIT)
#endif</v>
      </c>
      <c r="F118" s="9"/>
      <c r="G118" s="9"/>
      <c r="H118" s="12" t="str">
        <f t="shared" si="13"/>
        <v>#ifdef ANALOG5
#define DIO119_PRESC ANALOG5_PRESC
#define  DIO119_CHANNEL ANALOG5_CHANNEL
#endif</v>
      </c>
      <c r="I118" s="4" t="str">
        <f t="shared" si="14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1"/>
        <v>#if(defined(ANALOG6_BIT))
#define DIO120 120
#define ANALOG6 120
#define DIO120_BIT (ANALOG6_BIT)
#endif</v>
      </c>
      <c r="F119" s="9"/>
      <c r="G119" s="9"/>
      <c r="H119" s="12" t="str">
        <f t="shared" si="13"/>
        <v>#ifdef ANALOG6
#define DIO120_PRESC ANALOG6_PRESC
#define  DIO120_CHANNEL ANALOG6_CHANNEL
#endif</v>
      </c>
      <c r="I119" s="4" t="str">
        <f t="shared" si="14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1"/>
        <v>#if(defined(ANALOG7_BIT))
#define DIO121 121
#define ANALOG7 121
#define DIO121_BIT (ANALOG7_BIT)
#endif</v>
      </c>
      <c r="F120" s="9"/>
      <c r="G120" s="9"/>
      <c r="H120" s="12" t="str">
        <f t="shared" si="13"/>
        <v>#ifdef ANALOG7
#define DIO121_PRESC ANALOG7_PRESC
#define  DIO121_CHANNEL ANALOG7_CHANNEL
#endif</v>
      </c>
      <c r="I120" s="4" t="str">
        <f t="shared" si="14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1"/>
        <v>#if(defined(ANALOG8_BIT))
#define DIO122 122
#define ANALOG8 122
#define DIO122_BIT (ANALOG8_BIT)
#endif</v>
      </c>
      <c r="F121" s="9"/>
      <c r="G121" s="9"/>
      <c r="H121" s="12" t="str">
        <f t="shared" si="13"/>
        <v>#ifdef ANALOG8
#define DIO122_PRESC ANALOG8_PRESC
#define  DIO122_CHANNEL ANALOG8_CHANNEL
#endif</v>
      </c>
      <c r="I121" s="4" t="str">
        <f t="shared" si="14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ref="E122:E185" si="15">"#if(defined("&amp;C122&amp;"_BIT))
#define "&amp;B122&amp;" "&amp;A122&amp;"
#define "&amp;C122&amp;" "&amp;A122&amp;"
#define "&amp;B122&amp;"_BIT ("&amp;C122&amp;"_BIT)
#endif"</f>
        <v>#if(defined(ANALOG9_BIT))
#define DIO123 123
#define ANALOG9 123
#define DIO123_BIT (ANALOG9_BIT)
#endif</v>
      </c>
      <c r="F122" s="9"/>
      <c r="G122" s="9"/>
      <c r="H122" s="12" t="str">
        <f t="shared" si="13"/>
        <v>#ifdef ANALOG9
#define DIO123_PRESC ANALOG9_PRESC
#define  DIO123_CHANNEL ANALOG9_CHANNEL
#endif</v>
      </c>
      <c r="I122" s="4" t="str">
        <f t="shared" si="14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15"/>
        <v>#if(defined(ANALOG10_BIT))
#define DIO124 124
#define ANALOG10 124
#define DIO124_BIT (ANALOG10_BIT)
#endif</v>
      </c>
      <c r="F123" s="9"/>
      <c r="G123" s="9"/>
      <c r="H123" s="12" t="str">
        <f t="shared" si="13"/>
        <v>#ifdef ANALOG10
#define DIO124_PRESC ANALOG10_PRESC
#define  DIO124_CHANNEL ANALOG10_CHANNEL
#endif</v>
      </c>
      <c r="I123" s="4" t="str">
        <f t="shared" si="14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15"/>
        <v>#if(defined(ANALOG11_BIT))
#define DIO125 125
#define ANALOG11 125
#define DIO125_BIT (ANALOG11_BIT)
#endif</v>
      </c>
      <c r="F124" s="9"/>
      <c r="G124" s="9"/>
      <c r="H124" s="12" t="str">
        <f t="shared" si="13"/>
        <v>#ifdef ANALOG11
#define DIO125_PRESC ANALOG11_PRESC
#define  DIO125_CHANNEL ANALOG11_CHANNEL
#endif</v>
      </c>
      <c r="I124" s="4" t="str">
        <f t="shared" si="14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15"/>
        <v>#if(defined(ANALOG12_BIT))
#define DIO126 126
#define ANALOG12 126
#define DIO126_BIT (ANALOG12_BIT)
#endif</v>
      </c>
      <c r="F125" s="9"/>
      <c r="G125" s="9"/>
      <c r="H125" s="12" t="str">
        <f t="shared" si="13"/>
        <v>#ifdef ANALOG12
#define DIO126_PRESC ANALOG12_PRESC
#define  DIO126_CHANNEL ANALOG12_CHANNEL
#endif</v>
      </c>
      <c r="I125" s="4" t="str">
        <f t="shared" si="14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15"/>
        <v>#if(defined(ANALOG13_BIT))
#define DIO127 127
#define ANALOG13 127
#define DIO127_BIT (ANALOG13_BIT)
#endif</v>
      </c>
      <c r="F126" s="9"/>
      <c r="G126" s="9"/>
      <c r="H126" s="12" t="str">
        <f t="shared" si="13"/>
        <v>#ifdef ANALOG13
#define DIO127_PRESC ANALOG13_PRESC
#define  DIO127_CHANNEL ANALOG13_CHANNEL
#endif</v>
      </c>
      <c r="I126" s="4" t="str">
        <f t="shared" si="14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15"/>
        <v>#if(defined(ANALOG14_BIT))
#define DIO128 128
#define ANALOG14 128
#define DIO128_BIT (ANALOG14_BIT)
#endif</v>
      </c>
      <c r="F127" s="9"/>
      <c r="G127" s="9"/>
      <c r="H127" s="12" t="str">
        <f t="shared" si="13"/>
        <v>#ifdef ANALOG14
#define DIO128_PRESC ANALOG14_PRESC
#define  DIO128_CHANNEL ANALOG14_CHANNEL
#endif</v>
      </c>
      <c r="I127" s="4" t="str">
        <f t="shared" si="14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15"/>
        <v>#if(defined(ANALOG15_BIT))
#define DIO129 129
#define ANALOG15 129
#define DIO129_BIT (ANALOG15_BIT)
#endif</v>
      </c>
      <c r="F128" s="9"/>
      <c r="G128" s="9"/>
      <c r="H128" s="12" t="str">
        <f t="shared" si="13"/>
        <v>#ifdef ANALOG15
#define DIO129_PRESC ANALOG15_PRESC
#define  DIO129_CHANNEL ANALOG15_CHANNEL
#endif</v>
      </c>
      <c r="I128" s="4" t="str">
        <f t="shared" si="14"/>
        <v>#if ANALOG15&gt;=0
mcu_config_analog(ANALOG15);
#endif</v>
      </c>
    </row>
    <row r="129" spans="1:9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15"/>
        <v>#if(defined(DIN0_BIT))
#define DIO130 130
#define DIN0 130
#define DIO130_BIT (DIN0_BIT)
#endif</v>
      </c>
      <c r="F129" s="12" t="str">
        <f t="shared" ref="F129:F136" si="16">"#if(defined("&amp;C129&amp;"_ISR) &amp;&amp; defined("&amp;C129&amp;"))
#define "&amp;B129&amp;"_ISR ("&amp;C129&amp;"_ISR)
#define "&amp;C129&amp;"_ISRCALLBACK mcu_din_isr
#define "&amp;B129&amp;"_ISRCALLBACK mcu_din_isr
#endif"</f>
        <v>#if(defined(DIN0_ISR) &amp;&amp; defined(DIN0))
#define DIO130_ISR (DIN0_ISR)
#define DIN0_ISRCALLBACK mcu_din_isr
#define DIO130_ISRCALLBACK mcu_din_isr
#endif</v>
      </c>
      <c r="G129" s="9" t="str">
        <f t="shared" ref="G129:G136" si="17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4" t="str">
        <f t="shared" ref="I129:I136" si="18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</row>
    <row r="130" spans="1:9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15"/>
        <v>#if(defined(DIN1_BIT))
#define DIO131 131
#define DIN1 131
#define DIO131_BIT (DIN1_BIT)
#endif</v>
      </c>
      <c r="F130" s="12" t="str">
        <f t="shared" si="16"/>
        <v>#if(defined(DIN1_ISR) &amp;&amp; defined(DIN1))
#define DIO131_ISR (DIN1_ISR)
#define DIN1_ISRCALLBACK mcu_din_isr
#define DIO131_ISRCALLBACK mcu_din_isr
#endif</v>
      </c>
      <c r="G130" s="9" t="str">
        <f t="shared" si="17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4" t="str">
        <f t="shared" si="18"/>
        <v>#if DIN1&gt;=0
mcu_config_input(DIN1);
#ifdef DIN1_PULLUP
mcu_config_pullup(DIN1);
#endif
#ifdef DIN1_ISR
mcu_config_input_isr(DIN1);
#endif
#endif</v>
      </c>
    </row>
    <row r="131" spans="1:9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15"/>
        <v>#if(defined(DIN2_BIT))
#define DIO132 132
#define DIN2 132
#define DIO132_BIT (DIN2_BIT)
#endif</v>
      </c>
      <c r="F131" s="12" t="str">
        <f t="shared" si="16"/>
        <v>#if(defined(DIN2_ISR) &amp;&amp; defined(DIN2))
#define DIO132_ISR (DIN2_ISR)
#define DIN2_ISRCALLBACK mcu_din_isr
#define DIO132_ISRCALLBACK mcu_din_isr
#endif</v>
      </c>
      <c r="G131" s="9" t="str">
        <f t="shared" si="17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4" t="str">
        <f t="shared" si="18"/>
        <v>#if DIN2&gt;=0
mcu_config_input(DIN2);
#ifdef DIN2_PULLUP
mcu_config_pullup(DIN2);
#endif
#ifdef DIN2_ISR
mcu_config_input_isr(DIN2);
#endif
#endif</v>
      </c>
    </row>
    <row r="132" spans="1:9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15"/>
        <v>#if(defined(DIN3_BIT))
#define DIO133 133
#define DIN3 133
#define DIO133_BIT (DIN3_BIT)
#endif</v>
      </c>
      <c r="F132" s="12" t="str">
        <f t="shared" si="16"/>
        <v>#if(defined(DIN3_ISR) &amp;&amp; defined(DIN3))
#define DIO133_ISR (DIN3_ISR)
#define DIN3_ISRCALLBACK mcu_din_isr
#define DIO133_ISRCALLBACK mcu_din_isr
#endif</v>
      </c>
      <c r="G132" s="9" t="str">
        <f t="shared" si="17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4" t="str">
        <f t="shared" si="18"/>
        <v>#if DIN3&gt;=0
mcu_config_input(DIN3);
#ifdef DIN3_PULLUP
mcu_config_pullup(DIN3);
#endif
#ifdef DIN3_ISR
mcu_config_input_isr(DIN3);
#endif
#endif</v>
      </c>
    </row>
    <row r="133" spans="1:9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15"/>
        <v>#if(defined(DIN4_BIT))
#define DIO134 134
#define DIN4 134
#define DIO134_BIT (DIN4_BIT)
#endif</v>
      </c>
      <c r="F133" s="12" t="str">
        <f t="shared" si="16"/>
        <v>#if(defined(DIN4_ISR) &amp;&amp; defined(DIN4))
#define DIO134_ISR (DIN4_ISR)
#define DIN4_ISRCALLBACK mcu_din_isr
#define DIO134_ISRCALLBACK mcu_din_isr
#endif</v>
      </c>
      <c r="G133" s="9" t="str">
        <f t="shared" si="17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4" t="str">
        <f t="shared" si="18"/>
        <v>#if DIN4&gt;=0
mcu_config_input(DIN4);
#ifdef DIN4_PULLUP
mcu_config_pullup(DIN4);
#endif
#ifdef DIN4_ISR
mcu_config_input_isr(DIN4);
#endif
#endif</v>
      </c>
    </row>
    <row r="134" spans="1:9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15"/>
        <v>#if(defined(DIN5_BIT))
#define DIO135 135
#define DIN5 135
#define DIO135_BIT (DIN5_BIT)
#endif</v>
      </c>
      <c r="F134" s="12" t="str">
        <f t="shared" si="16"/>
        <v>#if(defined(DIN5_ISR) &amp;&amp; defined(DIN5))
#define DIO135_ISR (DIN5_ISR)
#define DIN5_ISRCALLBACK mcu_din_isr
#define DIO135_ISRCALLBACK mcu_din_isr
#endif</v>
      </c>
      <c r="G134" s="9" t="str">
        <f t="shared" si="17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4" t="str">
        <f t="shared" si="18"/>
        <v>#if DIN5&gt;=0
mcu_config_input(DIN5);
#ifdef DIN5_PULLUP
mcu_config_pullup(DIN5);
#endif
#ifdef DIN5_ISR
mcu_config_input_isr(DIN5);
#endif
#endif</v>
      </c>
    </row>
    <row r="135" spans="1:9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15"/>
        <v>#if(defined(DIN6_BIT))
#define DIO136 136
#define DIN6 136
#define DIO136_BIT (DIN6_BIT)
#endif</v>
      </c>
      <c r="F135" s="12" t="str">
        <f t="shared" si="16"/>
        <v>#if(defined(DIN6_ISR) &amp;&amp; defined(DIN6))
#define DIO136_ISR (DIN6_ISR)
#define DIN6_ISRCALLBACK mcu_din_isr
#define DIO136_ISRCALLBACK mcu_din_isr
#endif</v>
      </c>
      <c r="G135" s="9" t="str">
        <f t="shared" si="17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4" t="str">
        <f t="shared" si="18"/>
        <v>#if DIN6&gt;=0
mcu_config_input(DIN6);
#ifdef DIN6_PULLUP
mcu_config_pullup(DIN6);
#endif
#ifdef DIN6_ISR
mcu_config_input_isr(DIN6);
#endif
#endif</v>
      </c>
    </row>
    <row r="136" spans="1:9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15"/>
        <v>#if(defined(DIN7_BIT))
#define DIO137 137
#define DIN7 137
#define DIO137_BIT (DIN7_BIT)
#endif</v>
      </c>
      <c r="F136" s="12" t="str">
        <f t="shared" si="16"/>
        <v>#if(defined(DIN7_ISR) &amp;&amp; defined(DIN7))
#define DIO137_ISR (DIN7_ISR)
#define DIN7_ISRCALLBACK mcu_din_isr
#define DIO137_ISRCALLBACK mcu_din_isr
#endif</v>
      </c>
      <c r="G136" s="9" t="str">
        <f t="shared" si="17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4" t="str">
        <f t="shared" si="18"/>
        <v>#if DIN7&gt;=0
mcu_config_input(DIN7);
#ifdef DIN7_PULLUP
mcu_config_pullup(DIN7);
#endif
#ifdef DIN7_ISR
mcu_config_input_isr(DIN7);
#endif
#endif</v>
      </c>
    </row>
    <row r="137" spans="1:9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15"/>
        <v>#if(defined(DIN8_BIT))
#define DIO138 138
#define DIN8 138
#define DIO138_BIT (DIN8_BIT)
#endif</v>
      </c>
      <c r="F137" s="6"/>
      <c r="G137" s="6"/>
      <c r="H137" s="6"/>
      <c r="I137" s="4" t="str">
        <f t="shared" ref="I137:I184" si="19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9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15"/>
        <v>#if(defined(DIN9_BIT))
#define DIO139 139
#define DIN9 139
#define DIO139_BIT (DIN9_BIT)
#endif</v>
      </c>
      <c r="F138" s="6"/>
      <c r="G138" s="6"/>
      <c r="H138" s="6"/>
      <c r="I138" s="4" t="str">
        <f t="shared" si="19"/>
        <v>#if DIN9&gt;=0
mcu_config_input(DIN9);
#ifdef DIN9_PULLUP
mcu_config_pullup(DIN9);
#endif
#endif</v>
      </c>
    </row>
    <row r="139" spans="1:9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15"/>
        <v>#if(defined(DIN10_BIT))
#define DIO140 140
#define DIN10 140
#define DIO140_BIT (DIN10_BIT)
#endif</v>
      </c>
      <c r="F139" s="6"/>
      <c r="G139" s="6"/>
      <c r="H139" s="6"/>
      <c r="I139" s="4" t="str">
        <f t="shared" si="19"/>
        <v>#if DIN10&gt;=0
mcu_config_input(DIN10);
#ifdef DIN10_PULLUP
mcu_config_pullup(DIN10);
#endif
#endif</v>
      </c>
    </row>
    <row r="140" spans="1:9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15"/>
        <v>#if(defined(DIN11_BIT))
#define DIO141 141
#define DIN11 141
#define DIO141_BIT (DIN11_BIT)
#endif</v>
      </c>
      <c r="F140" s="6"/>
      <c r="G140" s="6"/>
      <c r="H140" s="6"/>
      <c r="I140" s="4" t="str">
        <f t="shared" si="19"/>
        <v>#if DIN11&gt;=0
mcu_config_input(DIN11);
#ifdef DIN11_PULLUP
mcu_config_pullup(DIN11);
#endif
#endif</v>
      </c>
    </row>
    <row r="141" spans="1:9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15"/>
        <v>#if(defined(DIN12_BIT))
#define DIO142 142
#define DIN12 142
#define DIO142_BIT (DIN12_BIT)
#endif</v>
      </c>
      <c r="F141" s="6"/>
      <c r="G141" s="6"/>
      <c r="H141" s="6"/>
      <c r="I141" s="4" t="str">
        <f t="shared" si="19"/>
        <v>#if DIN12&gt;=0
mcu_config_input(DIN12);
#ifdef DIN12_PULLUP
mcu_config_pullup(DIN12);
#endif
#endif</v>
      </c>
    </row>
    <row r="142" spans="1:9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15"/>
        <v>#if(defined(DIN13_BIT))
#define DIO143 143
#define DIN13 143
#define DIO143_BIT (DIN13_BIT)
#endif</v>
      </c>
      <c r="F142" s="6"/>
      <c r="G142" s="6"/>
      <c r="H142" s="6"/>
      <c r="I142" s="4" t="str">
        <f t="shared" si="19"/>
        <v>#if DIN13&gt;=0
mcu_config_input(DIN13);
#ifdef DIN13_PULLUP
mcu_config_pullup(DIN13);
#endif
#endif</v>
      </c>
    </row>
    <row r="143" spans="1:9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15"/>
        <v>#if(defined(DIN14_BIT))
#define DIO144 144
#define DIN14 144
#define DIO144_BIT (DIN14_BIT)
#endif</v>
      </c>
      <c r="F143" s="6"/>
      <c r="G143" s="6"/>
      <c r="H143" s="6"/>
      <c r="I143" s="4" t="str">
        <f t="shared" si="19"/>
        <v>#if DIN14&gt;=0
mcu_config_input(DIN14);
#ifdef DIN14_PULLUP
mcu_config_pullup(DIN14);
#endif
#endif</v>
      </c>
    </row>
    <row r="144" spans="1:9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15"/>
        <v>#if(defined(DIN15_BIT))
#define DIO145 145
#define DIN15 145
#define DIO145_BIT (DIN15_BIT)
#endif</v>
      </c>
      <c r="F144" s="6"/>
      <c r="G144" s="6"/>
      <c r="H144" s="6"/>
      <c r="I144" s="4" t="str">
        <f t="shared" si="19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15"/>
        <v>#if(defined(DIN16_BIT))
#define DIO146 146
#define DIN16 146
#define DIO146_BIT (DIN16_BIT)
#endif</v>
      </c>
      <c r="F145" s="6"/>
      <c r="G145" s="6"/>
      <c r="H145" s="6"/>
      <c r="I145" s="4" t="str">
        <f t="shared" si="19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15"/>
        <v>#if(defined(DIN17_BIT))
#define DIO147 147
#define DIN17 147
#define DIO147_BIT (DIN17_BIT)
#endif</v>
      </c>
      <c r="F146" s="6"/>
      <c r="G146" s="6"/>
      <c r="H146" s="6"/>
      <c r="I146" s="4" t="str">
        <f t="shared" si="19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15"/>
        <v>#if(defined(DIN18_BIT))
#define DIO148 148
#define DIN18 148
#define DIO148_BIT (DIN18_BIT)
#endif</v>
      </c>
      <c r="F147" s="6"/>
      <c r="G147" s="6"/>
      <c r="H147" s="6"/>
      <c r="I147" s="4" t="str">
        <f t="shared" si="19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15"/>
        <v>#if(defined(DIN19_BIT))
#define DIO149 149
#define DIN19 149
#define DIO149_BIT (DIN19_BIT)
#endif</v>
      </c>
      <c r="F148" s="6"/>
      <c r="G148" s="6"/>
      <c r="H148" s="6"/>
      <c r="I148" s="4" t="str">
        <f t="shared" si="19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15"/>
        <v>#if(defined(DIN20_BIT))
#define DIO150 150
#define DIN20 150
#define DIO150_BIT (DIN20_BIT)
#endif</v>
      </c>
      <c r="F149" s="6"/>
      <c r="G149" s="6"/>
      <c r="H149" s="6"/>
      <c r="I149" s="4" t="str">
        <f t="shared" si="19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si="15"/>
        <v>#if(defined(DIN21_BIT))
#define DIO151 151
#define DIN21 151
#define DIO151_BIT (DIN21_BIT)
#endif</v>
      </c>
      <c r="F150" s="6"/>
      <c r="G150" s="6"/>
      <c r="H150" s="6"/>
      <c r="I150" s="4" t="str">
        <f t="shared" si="19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15"/>
        <v>#if(defined(DIN22_BIT))
#define DIO152 152
#define DIN22 152
#define DIO152_BIT (DIN22_BIT)
#endif</v>
      </c>
      <c r="F151" s="6"/>
      <c r="G151" s="6"/>
      <c r="H151" s="6"/>
      <c r="I151" s="4" t="str">
        <f t="shared" si="19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15"/>
        <v>#if(defined(DIN23_BIT))
#define DIO153 153
#define DIN23 153
#define DIO153_BIT (DIN23_BIT)
#endif</v>
      </c>
      <c r="F152" s="6"/>
      <c r="G152" s="6"/>
      <c r="H152" s="6"/>
      <c r="I152" s="4" t="str">
        <f t="shared" si="19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15"/>
        <v>#if(defined(DIN24_BIT))
#define DIO154 154
#define DIN24 154
#define DIO154_BIT (DIN24_BIT)
#endif</v>
      </c>
      <c r="F153" s="6"/>
      <c r="G153" s="6"/>
      <c r="H153" s="6"/>
      <c r="I153" s="4" t="str">
        <f t="shared" si="19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15"/>
        <v>#if(defined(DIN25_BIT))
#define DIO155 155
#define DIN25 155
#define DIO155_BIT (DIN25_BIT)
#endif</v>
      </c>
      <c r="F154" s="6"/>
      <c r="G154" s="6"/>
      <c r="H154" s="6"/>
      <c r="I154" s="4" t="str">
        <f t="shared" si="19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15"/>
        <v>#if(defined(DIN26_BIT))
#define DIO156 156
#define DIN26 156
#define DIO156_BIT (DIN26_BIT)
#endif</v>
      </c>
      <c r="F155" s="6"/>
      <c r="G155" s="6"/>
      <c r="H155" s="6"/>
      <c r="I155" s="4" t="str">
        <f t="shared" si="19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15"/>
        <v>#if(defined(DIN27_BIT))
#define DIO157 157
#define DIN27 157
#define DIO157_BIT (DIN27_BIT)
#endif</v>
      </c>
      <c r="F156" s="6"/>
      <c r="G156" s="6"/>
      <c r="H156" s="6"/>
      <c r="I156" s="4" t="str">
        <f t="shared" si="19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15"/>
        <v>#if(defined(DIN28_BIT))
#define DIO158 158
#define DIN28 158
#define DIO158_BIT (DIN28_BIT)
#endif</v>
      </c>
      <c r="F157" s="6"/>
      <c r="G157" s="6"/>
      <c r="H157" s="6"/>
      <c r="I157" s="4" t="str">
        <f t="shared" si="19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15"/>
        <v>#if(defined(DIN29_BIT))
#define DIO159 159
#define DIN29 159
#define DIO159_BIT (DIN29_BIT)
#endif</v>
      </c>
      <c r="F158" s="6"/>
      <c r="G158" s="6"/>
      <c r="H158" s="6"/>
      <c r="I158" s="4" t="str">
        <f t="shared" si="19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15"/>
        <v>#if(defined(DIN30_BIT))
#define DIO160 160
#define DIN30 160
#define DIO160_BIT (DIN30_BIT)
#endif</v>
      </c>
      <c r="F159" s="6"/>
      <c r="G159" s="6"/>
      <c r="H159" s="6"/>
      <c r="I159" s="4" t="str">
        <f t="shared" si="19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15"/>
        <v>#if(defined(DIN31_BIT))
#define DIO161 161
#define DIN31 161
#define DIO161_BIT (DIN31_BIT)
#endif</v>
      </c>
      <c r="F160" s="6"/>
      <c r="G160" s="6"/>
      <c r="H160" s="6"/>
      <c r="I160" s="4" t="str">
        <f t="shared" si="19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0">"DIO"&amp;A161</f>
        <v>DIO162</v>
      </c>
      <c r="C161" s="5" t="s">
        <v>545</v>
      </c>
      <c r="D161" s="6"/>
      <c r="E161" s="9" t="str">
        <f t="shared" ref="E161:E178" si="21">"#if(defined("&amp;C161&amp;"_BIT))
#define "&amp;B161&amp;" "&amp;A161&amp;"
#define "&amp;C161&amp;" "&amp;A161&amp;"
#define "&amp;B161&amp;"_BIT ("&amp;C161&amp;"_BIT)
#endif"</f>
        <v>#if(defined(DIN32_BIT))
#define DIO162 162
#define DIN32 162
#define DIO162_BIT (DIN32_BIT)
#endif</v>
      </c>
      <c r="F161" s="6"/>
      <c r="G161" s="6"/>
      <c r="H161" s="6"/>
      <c r="I161" s="4"/>
    </row>
    <row r="162" spans="1:9" ht="15" customHeight="1" x14ac:dyDescent="0.25">
      <c r="A162" s="4">
        <v>163</v>
      </c>
      <c r="B162" s="4" t="str">
        <f t="shared" si="20"/>
        <v>DIO163</v>
      </c>
      <c r="C162" s="5" t="s">
        <v>546</v>
      </c>
      <c r="D162" s="6"/>
      <c r="E162" s="9" t="str">
        <f t="shared" si="21"/>
        <v>#if(defined(DIN33_BIT))
#define DIO163 163
#define DIN33 163
#define DIO163_BIT (DIN33_BIT)
#endif</v>
      </c>
      <c r="F162" s="6"/>
      <c r="G162" s="6"/>
      <c r="H162" s="6"/>
      <c r="I162" s="4"/>
    </row>
    <row r="163" spans="1:9" ht="15" customHeight="1" x14ac:dyDescent="0.25">
      <c r="A163" s="4">
        <v>164</v>
      </c>
      <c r="B163" s="4" t="str">
        <f t="shared" si="20"/>
        <v>DIO164</v>
      </c>
      <c r="C163" s="5" t="s">
        <v>547</v>
      </c>
      <c r="D163" s="6"/>
      <c r="E163" s="9" t="str">
        <f t="shared" si="21"/>
        <v>#if(defined(DIN34_BIT))
#define DIO164 164
#define DIN34 164
#define DIO164_BIT (DIN34_BIT)
#endif</v>
      </c>
      <c r="F163" s="6"/>
      <c r="G163" s="6"/>
      <c r="H163" s="6"/>
      <c r="I163" s="4"/>
    </row>
    <row r="164" spans="1:9" ht="15" customHeight="1" x14ac:dyDescent="0.25">
      <c r="A164" s="4">
        <v>165</v>
      </c>
      <c r="B164" s="4" t="str">
        <f t="shared" si="20"/>
        <v>DIO165</v>
      </c>
      <c r="C164" s="5" t="s">
        <v>548</v>
      </c>
      <c r="D164" s="6"/>
      <c r="E164" s="9" t="str">
        <f t="shared" si="21"/>
        <v>#if(defined(DIN35_BIT))
#define DIO165 165
#define DIN35 165
#define DIO165_BIT (DIN35_BIT)
#endif</v>
      </c>
      <c r="F164" s="6"/>
      <c r="G164" s="6"/>
      <c r="H164" s="6"/>
      <c r="I164" s="4"/>
    </row>
    <row r="165" spans="1:9" ht="15" customHeight="1" x14ac:dyDescent="0.25">
      <c r="A165" s="4">
        <v>166</v>
      </c>
      <c r="B165" s="4" t="str">
        <f t="shared" si="20"/>
        <v>DIO166</v>
      </c>
      <c r="C165" s="5" t="s">
        <v>549</v>
      </c>
      <c r="D165" s="6"/>
      <c r="E165" s="9" t="str">
        <f t="shared" si="21"/>
        <v>#if(defined(DIN36_BIT))
#define DIO166 166
#define DIN36 166
#define DIO166_BIT (DIN36_BIT)
#endif</v>
      </c>
      <c r="F165" s="6"/>
      <c r="G165" s="6"/>
      <c r="H165" s="6"/>
      <c r="I165" s="4"/>
    </row>
    <row r="166" spans="1:9" ht="15" customHeight="1" x14ac:dyDescent="0.25">
      <c r="A166" s="4">
        <v>167</v>
      </c>
      <c r="B166" s="4" t="str">
        <f t="shared" si="20"/>
        <v>DIO167</v>
      </c>
      <c r="C166" s="5" t="s">
        <v>550</v>
      </c>
      <c r="D166" s="6"/>
      <c r="E166" s="9" t="str">
        <f t="shared" si="21"/>
        <v>#if(defined(DIN37_BIT))
#define DIO167 167
#define DIN37 167
#define DIO167_BIT (DIN37_BIT)
#endif</v>
      </c>
      <c r="F166" s="6"/>
      <c r="G166" s="6"/>
      <c r="H166" s="6"/>
      <c r="I166" s="4"/>
    </row>
    <row r="167" spans="1:9" ht="15" customHeight="1" x14ac:dyDescent="0.25">
      <c r="A167" s="4">
        <v>168</v>
      </c>
      <c r="B167" s="4" t="str">
        <f t="shared" si="20"/>
        <v>DIO168</v>
      </c>
      <c r="C167" s="5" t="s">
        <v>551</v>
      </c>
      <c r="D167" s="6"/>
      <c r="E167" s="9" t="str">
        <f t="shared" si="21"/>
        <v>#if(defined(DIN38_BIT))
#define DIO168 168
#define DIN38 168
#define DIO168_BIT (DIN38_BIT)
#endif</v>
      </c>
      <c r="F167" s="6"/>
      <c r="G167" s="6"/>
      <c r="H167" s="6"/>
      <c r="I167" s="4"/>
    </row>
    <row r="168" spans="1:9" ht="15" customHeight="1" x14ac:dyDescent="0.25">
      <c r="A168" s="4">
        <v>169</v>
      </c>
      <c r="B168" s="4" t="str">
        <f t="shared" si="20"/>
        <v>DIO169</v>
      </c>
      <c r="C168" s="5" t="s">
        <v>552</v>
      </c>
      <c r="D168" s="6"/>
      <c r="E168" s="9" t="str">
        <f t="shared" si="21"/>
        <v>#if(defined(DIN39_BIT))
#define DIO169 169
#define DIN39 169
#define DIO169_BIT (DIN39_BIT)
#endif</v>
      </c>
      <c r="F168" s="6"/>
      <c r="G168" s="6"/>
      <c r="H168" s="6"/>
      <c r="I168" s="4"/>
    </row>
    <row r="169" spans="1:9" ht="15" customHeight="1" x14ac:dyDescent="0.25">
      <c r="A169" s="4">
        <v>170</v>
      </c>
      <c r="B169" s="4" t="str">
        <f t="shared" si="20"/>
        <v>DIO170</v>
      </c>
      <c r="C169" s="5" t="s">
        <v>553</v>
      </c>
      <c r="D169" s="6"/>
      <c r="E169" s="9" t="str">
        <f t="shared" si="21"/>
        <v>#if(defined(DIN40_BIT))
#define DIO170 170
#define DIN40 170
#define DIO170_BIT (DIN40_BIT)
#endif</v>
      </c>
      <c r="F169" s="6"/>
      <c r="G169" s="6"/>
      <c r="H169" s="6"/>
      <c r="I169" s="4"/>
    </row>
    <row r="170" spans="1:9" ht="15" customHeight="1" x14ac:dyDescent="0.25">
      <c r="A170" s="4">
        <v>171</v>
      </c>
      <c r="B170" s="4" t="str">
        <f t="shared" si="20"/>
        <v>DIO171</v>
      </c>
      <c r="C170" s="5" t="s">
        <v>554</v>
      </c>
      <c r="D170" s="6"/>
      <c r="E170" s="9" t="str">
        <f t="shared" si="21"/>
        <v>#if(defined(DIN41_BIT))
#define DIO171 171
#define DIN41 171
#define DIO171_BIT (DIN41_BIT)
#endif</v>
      </c>
      <c r="F170" s="6"/>
      <c r="G170" s="6"/>
      <c r="H170" s="6"/>
      <c r="I170" s="4"/>
    </row>
    <row r="171" spans="1:9" ht="15" customHeight="1" x14ac:dyDescent="0.25">
      <c r="A171" s="4">
        <v>172</v>
      </c>
      <c r="B171" s="4" t="str">
        <f t="shared" si="20"/>
        <v>DIO172</v>
      </c>
      <c r="C171" s="5" t="s">
        <v>555</v>
      </c>
      <c r="D171" s="6"/>
      <c r="E171" s="9" t="str">
        <f t="shared" si="21"/>
        <v>#if(defined(DIN42_BIT))
#define DIO172 172
#define DIN42 172
#define DIO172_BIT (DIN42_BIT)
#endif</v>
      </c>
      <c r="F171" s="6"/>
      <c r="G171" s="6"/>
      <c r="H171" s="6"/>
      <c r="I171" s="4"/>
    </row>
    <row r="172" spans="1:9" ht="15" customHeight="1" x14ac:dyDescent="0.25">
      <c r="A172" s="4">
        <v>173</v>
      </c>
      <c r="B172" s="4" t="str">
        <f t="shared" si="20"/>
        <v>DIO173</v>
      </c>
      <c r="C172" s="5" t="s">
        <v>556</v>
      </c>
      <c r="D172" s="6"/>
      <c r="E172" s="9" t="str">
        <f t="shared" si="21"/>
        <v>#if(defined(DIN43_BIT))
#define DIO173 173
#define DIN43 173
#define DIO173_BIT (DIN43_BIT)
#endif</v>
      </c>
      <c r="F172" s="6"/>
      <c r="G172" s="6"/>
      <c r="H172" s="6"/>
      <c r="I172" s="4"/>
    </row>
    <row r="173" spans="1:9" ht="15" customHeight="1" x14ac:dyDescent="0.25">
      <c r="A173" s="4">
        <v>174</v>
      </c>
      <c r="B173" s="4" t="str">
        <f t="shared" si="20"/>
        <v>DIO174</v>
      </c>
      <c r="C173" s="5" t="s">
        <v>557</v>
      </c>
      <c r="D173" s="6"/>
      <c r="E173" s="9" t="str">
        <f t="shared" si="21"/>
        <v>#if(defined(DIN44_BIT))
#define DIO174 174
#define DIN44 174
#define DIO174_BIT (DIN44_BIT)
#endif</v>
      </c>
      <c r="F173" s="6"/>
      <c r="G173" s="6"/>
      <c r="H173" s="6"/>
      <c r="I173" s="4"/>
    </row>
    <row r="174" spans="1:9" ht="15" customHeight="1" x14ac:dyDescent="0.25">
      <c r="A174" s="4">
        <v>175</v>
      </c>
      <c r="B174" s="4" t="str">
        <f t="shared" si="20"/>
        <v>DIO175</v>
      </c>
      <c r="C174" s="5" t="s">
        <v>558</v>
      </c>
      <c r="D174" s="6"/>
      <c r="E174" s="9" t="str">
        <f t="shared" si="21"/>
        <v>#if(defined(DIN45_BIT))
#define DIO175 175
#define DIN45 175
#define DIO175_BIT (DIN45_BIT)
#endif</v>
      </c>
      <c r="F174" s="6"/>
      <c r="G174" s="6"/>
      <c r="H174" s="6"/>
      <c r="I174" s="4"/>
    </row>
    <row r="175" spans="1:9" ht="15" customHeight="1" x14ac:dyDescent="0.25">
      <c r="A175" s="4">
        <v>176</v>
      </c>
      <c r="B175" s="4" t="str">
        <f t="shared" si="20"/>
        <v>DIO176</v>
      </c>
      <c r="C175" s="5" t="s">
        <v>559</v>
      </c>
      <c r="D175" s="6"/>
      <c r="E175" s="9" t="str">
        <f t="shared" si="21"/>
        <v>#if(defined(DIN46_BIT))
#define DIO176 176
#define DIN46 176
#define DIO176_BIT (DIN46_BIT)
#endif</v>
      </c>
      <c r="F175" s="6"/>
      <c r="G175" s="6"/>
      <c r="H175" s="6"/>
      <c r="I175" s="4"/>
    </row>
    <row r="176" spans="1:9" ht="15" customHeight="1" x14ac:dyDescent="0.25">
      <c r="A176" s="4">
        <v>177</v>
      </c>
      <c r="B176" s="4" t="str">
        <f t="shared" si="20"/>
        <v>DIO177</v>
      </c>
      <c r="C176" s="5" t="s">
        <v>560</v>
      </c>
      <c r="D176" s="6"/>
      <c r="E176" s="9" t="str">
        <f t="shared" si="21"/>
        <v>#if(defined(DIN47_BIT))
#define DIO177 177
#define DIN47 177
#define DIO177_BIT (DIN47_BIT)
#endif</v>
      </c>
      <c r="F176" s="6"/>
      <c r="G176" s="6"/>
      <c r="H176" s="6"/>
      <c r="I176" s="4"/>
    </row>
    <row r="177" spans="1:9" ht="15" customHeight="1" x14ac:dyDescent="0.25">
      <c r="A177" s="4">
        <v>178</v>
      </c>
      <c r="B177" s="4" t="str">
        <f t="shared" si="20"/>
        <v>DIO178</v>
      </c>
      <c r="C177" s="5" t="s">
        <v>561</v>
      </c>
      <c r="D177" s="6"/>
      <c r="E177" s="9" t="str">
        <f t="shared" si="21"/>
        <v>#if(defined(DIN48_BIT))
#define DIO178 178
#define DIN48 178
#define DIO178_BIT (DIN48_BIT)
#endif</v>
      </c>
      <c r="F177" s="6"/>
      <c r="G177" s="6"/>
      <c r="H177" s="6"/>
      <c r="I177" s="4"/>
    </row>
    <row r="178" spans="1:9" ht="15" customHeight="1" x14ac:dyDescent="0.25">
      <c r="A178" s="4">
        <v>179</v>
      </c>
      <c r="B178" s="4" t="str">
        <f t="shared" si="20"/>
        <v>DIO179</v>
      </c>
      <c r="C178" s="5" t="s">
        <v>562</v>
      </c>
      <c r="D178" s="6"/>
      <c r="E178" s="9" t="str">
        <f t="shared" si="21"/>
        <v>#if(defined(DIN49_BIT))
#define DIO179 179
#define DIN49 179
#define DIO179_BIT (DIN49_BIT)
#endif</v>
      </c>
      <c r="F178" s="6"/>
      <c r="G178" s="6"/>
      <c r="H178" s="6"/>
      <c r="I178" s="4"/>
    </row>
    <row r="179" spans="1:9" ht="15" customHeight="1" x14ac:dyDescent="0.25">
      <c r="A179" s="4">
        <v>200</v>
      </c>
      <c r="B179" s="4" t="str">
        <f t="shared" si="0"/>
        <v>DIO200</v>
      </c>
      <c r="C179" s="4" t="s">
        <v>105</v>
      </c>
      <c r="D179" s="6"/>
      <c r="E179" s="9" t="str">
        <f t="shared" si="15"/>
        <v>#if(defined(TX_BIT))
#define DIO200 200
#define TX 200
#define DIO200_BIT (TX_BIT)
#endif</v>
      </c>
      <c r="F179" s="6"/>
      <c r="G179" s="6"/>
      <c r="H179" s="6"/>
      <c r="I179" s="4" t="str">
        <f>"#if "&amp;C179&amp;"&gt;=0
mcu_config_output("&amp;C179&amp;");
#endif"</f>
        <v>#if TX&gt;=0
mcu_config_output(TX);
#endif</v>
      </c>
    </row>
    <row r="180" spans="1:9" ht="15" customHeight="1" x14ac:dyDescent="0.25">
      <c r="A180" s="4">
        <v>201</v>
      </c>
      <c r="B180" s="4" t="str">
        <f t="shared" si="0"/>
        <v>DIO201</v>
      </c>
      <c r="C180" s="4" t="s">
        <v>106</v>
      </c>
      <c r="D180" s="6"/>
      <c r="E180" s="9" t="str">
        <f t="shared" si="15"/>
        <v>#if(defined(RX_BIT))
#define DIO201 201
#define RX 201
#define DIO201_BIT (RX_BIT)
#endif</v>
      </c>
      <c r="F180" s="6"/>
      <c r="G180" s="6"/>
      <c r="H180" s="6"/>
      <c r="I180" s="4" t="str">
        <f t="shared" si="19"/>
        <v>#if RX&gt;=0
mcu_config_input(RX);
#ifdef RX_PULLUP
mcu_config_pullup(RX);
#endif
#endif</v>
      </c>
    </row>
    <row r="181" spans="1:9" ht="15" customHeight="1" x14ac:dyDescent="0.25">
      <c r="A181" s="4">
        <v>202</v>
      </c>
      <c r="B181" s="4" t="str">
        <f t="shared" si="0"/>
        <v>DIO202</v>
      </c>
      <c r="C181" s="4" t="s">
        <v>107</v>
      </c>
      <c r="D181" s="6"/>
      <c r="E181" s="9" t="str">
        <f t="shared" si="15"/>
        <v>#if(defined(USB_DM_BIT))
#define DIO202 202
#define USB_DM 202
#define DIO202_BIT (USB_DM_BIT)
#endif</v>
      </c>
      <c r="F181" s="6"/>
      <c r="G181" s="6"/>
      <c r="H181" s="6"/>
      <c r="I181" s="4" t="str">
        <f t="shared" si="19"/>
        <v>#if USB_DM&gt;=0
mcu_config_input(USB_DM);
#ifdef USB_DM_PULLUP
mcu_config_pullup(USB_DM);
#endif
#endif</v>
      </c>
    </row>
    <row r="182" spans="1:9" ht="15" customHeight="1" x14ac:dyDescent="0.25">
      <c r="A182" s="4">
        <v>203</v>
      </c>
      <c r="B182" s="4" t="str">
        <f t="shared" si="0"/>
        <v>DIO203</v>
      </c>
      <c r="C182" s="4" t="s">
        <v>108</v>
      </c>
      <c r="D182" s="6"/>
      <c r="E182" s="9" t="str">
        <f t="shared" si="15"/>
        <v>#if(defined(USB_DP_BIT))
#define DIO203 203
#define USB_DP 203
#define DIO203_BIT (USB_DP_BIT)
#endif</v>
      </c>
      <c r="F182" s="6"/>
      <c r="G182" s="6"/>
      <c r="H182" s="6"/>
      <c r="I182" s="4" t="str">
        <f t="shared" si="19"/>
        <v>#if USB_DP&gt;=0
mcu_config_input(USB_DP);
#ifdef USB_DP_PULLUP
mcu_config_pullup(USB_DP);
#endif
#endif</v>
      </c>
    </row>
    <row r="183" spans="1:9" ht="15" customHeight="1" x14ac:dyDescent="0.25">
      <c r="A183" s="4">
        <v>204</v>
      </c>
      <c r="B183" s="4" t="str">
        <f t="shared" si="0"/>
        <v>DIO204</v>
      </c>
      <c r="C183" s="4" t="s">
        <v>223</v>
      </c>
      <c r="D183" s="6"/>
      <c r="E183" s="9" t="str">
        <f t="shared" si="15"/>
        <v>#if(defined(SPI_CLK_BIT))
#define DIO204 204
#define SPI_CLK 204
#define DIO204_BIT (SPI_CLK_BIT)
#endif</v>
      </c>
      <c r="F183" s="6"/>
      <c r="G183" s="6"/>
      <c r="H183" s="6"/>
      <c r="I183" s="13" t="str">
        <f>"#if "&amp;C183&amp;"&gt;=0
mcu_config_output("&amp;C183&amp;");
#endif"</f>
        <v>#if SPI_CLK&gt;=0
mcu_config_output(SPI_CLK);
#endif</v>
      </c>
    </row>
    <row r="184" spans="1:9" ht="15" customHeight="1" x14ac:dyDescent="0.25">
      <c r="A184" s="4">
        <v>205</v>
      </c>
      <c r="B184" s="4" t="str">
        <f t="shared" ref="B184:B190" si="22">"DIO"&amp;A184</f>
        <v>DIO205</v>
      </c>
      <c r="C184" s="4" t="s">
        <v>224</v>
      </c>
      <c r="D184" s="6"/>
      <c r="E184" s="9" t="str">
        <f t="shared" si="15"/>
        <v>#if(defined(SPI_SDI_BIT))
#define DIO205 205
#define SPI_SDI 205
#define DIO205_BIT (SPI_SDI_BIT)
#endif</v>
      </c>
      <c r="F184" s="6"/>
      <c r="G184" s="6"/>
      <c r="H184" s="6"/>
      <c r="I184" s="4" t="str">
        <f t="shared" si="19"/>
        <v>#if SPI_SDI&gt;=0
mcu_config_input(SPI_SDI);
#ifdef SPI_SDI_PULLUP
mcu_config_pullup(SPI_SDI);
#endif
#endif</v>
      </c>
    </row>
    <row r="185" spans="1:9" ht="15" customHeight="1" x14ac:dyDescent="0.25">
      <c r="A185" s="4">
        <v>206</v>
      </c>
      <c r="B185" s="4" t="str">
        <f t="shared" si="22"/>
        <v>DIO206</v>
      </c>
      <c r="C185" s="4" t="s">
        <v>225</v>
      </c>
      <c r="D185" s="6"/>
      <c r="E185" s="9" t="str">
        <f t="shared" si="15"/>
        <v>#if(defined(SPI_SDO_BIT))
#define DIO206 206
#define SPI_SDO 206
#define DIO206_BIT (SPI_SDO_BIT)
#endif</v>
      </c>
      <c r="F185" s="6"/>
      <c r="G185" s="6"/>
      <c r="H185" s="6"/>
      <c r="I185" s="4" t="str">
        <f>"#if "&amp;C185&amp;"&gt;=0
mcu_config_output("&amp;C185&amp;");
#endif"</f>
        <v>#if SPI_SDO&gt;=0
mcu_config_output(SPI_SDO);
#endif</v>
      </c>
    </row>
    <row r="186" spans="1:9" ht="15" customHeight="1" x14ac:dyDescent="0.25">
      <c r="A186" s="4">
        <v>207</v>
      </c>
      <c r="B186" s="4" t="str">
        <f t="shared" si="22"/>
        <v>DIO207</v>
      </c>
      <c r="C186" s="4" t="s">
        <v>459</v>
      </c>
      <c r="D186" s="6"/>
      <c r="E186" s="9" t="str">
        <f t="shared" ref="E186:E188" si="23">"#if(defined("&amp;C186&amp;"_BIT))
#define "&amp;B186&amp;" "&amp;A186&amp;"
#define "&amp;C186&amp;" "&amp;A186&amp;"
#define "&amp;B186&amp;"_BIT ("&amp;C186&amp;"_BIT)
#endif"</f>
        <v>#if(defined(SPI_CS_BIT))
#define DIO207 207
#define SPI_CS 207
#define DIO207_BIT (SPI_CS_BIT)
#endif</v>
      </c>
      <c r="F186" s="6"/>
      <c r="G186" s="6"/>
      <c r="H186" s="6"/>
      <c r="I186" s="4" t="str">
        <f>"#if "&amp;C186&amp;"&gt;=0
mcu_config_output("&amp;C186&amp;");
#endif"</f>
        <v>#if SPI_CS&gt;=0
mcu_config_output(SPI_CS);
#endif</v>
      </c>
    </row>
    <row r="187" spans="1:9" ht="15" customHeight="1" x14ac:dyDescent="0.25">
      <c r="A187" s="4">
        <v>208</v>
      </c>
      <c r="B187" s="4" t="str">
        <f t="shared" si="22"/>
        <v>DIO208</v>
      </c>
      <c r="C187" s="4" t="s">
        <v>237</v>
      </c>
      <c r="D187" s="6"/>
      <c r="E187" s="9" t="str">
        <f t="shared" si="23"/>
        <v>#if(defined(I2C_SCL_BIT))
#define DIO208 208
#define I2C_SCL 208
#define DIO208_BIT (I2C_SCL_BIT)
#endif</v>
      </c>
      <c r="F187" s="6"/>
      <c r="G187" s="6"/>
      <c r="H187" s="6"/>
      <c r="I187" s="4" t="str">
        <f>"#if "&amp;C187&amp;"&gt;=0
mcu_config_input("&amp;C187&amp;");
mcu_config_pullup("&amp;C187&amp;");
#endif"</f>
        <v>#if I2C_SCL&gt;=0
mcu_config_input(I2C_SCL);
mcu_config_pullup(I2C_SCL);
#endif</v>
      </c>
    </row>
    <row r="188" spans="1:9" ht="15" customHeight="1" x14ac:dyDescent="0.25">
      <c r="A188" s="4">
        <v>209</v>
      </c>
      <c r="B188" s="4" t="str">
        <f t="shared" si="22"/>
        <v>DIO209</v>
      </c>
      <c r="C188" s="4" t="s">
        <v>238</v>
      </c>
      <c r="D188" s="6"/>
      <c r="E188" s="9" t="str">
        <f t="shared" si="23"/>
        <v>#if(defined(I2C_SDA_BIT))
#define DIO209 209
#define I2C_SDA 209
#define DIO209_BIT (I2C_SDA_BIT)
#endif</v>
      </c>
      <c r="F188" s="6"/>
      <c r="G188" s="6"/>
      <c r="H188" s="6"/>
      <c r="I188" s="4" t="str">
        <f>"#if "&amp;C188&amp;"&gt;=0
mcu_config_input("&amp;C188&amp;");
mcu_config_pullup("&amp;C188&amp;");
#endif"</f>
        <v>#if I2C_SDA&gt;=0
mcu_config_input(I2C_SDA);
mcu_config_pullup(I2C_SDA);
#endif</v>
      </c>
    </row>
    <row r="189" spans="1:9" ht="15" customHeight="1" x14ac:dyDescent="0.25">
      <c r="A189" s="4">
        <v>210</v>
      </c>
      <c r="B189" s="4" t="str">
        <f t="shared" si="22"/>
        <v>DIO210</v>
      </c>
      <c r="C189" s="4" t="s">
        <v>467</v>
      </c>
      <c r="D189" s="6"/>
      <c r="E189" s="9" t="str">
        <f>"#if(defined("&amp;C189&amp;"_BIT))
#define "&amp;B189&amp;" "&amp;A189&amp;"
#define "&amp;C189&amp;" "&amp;A189&amp;"
#define "&amp;B189&amp;"_BIT ("&amp;C189&amp;"_BIT)
#endif"</f>
        <v>#if(defined(TX2_BIT))
#define DIO210 210
#define TX2 210
#define DIO210_BIT (TX2_BIT)
#endif</v>
      </c>
      <c r="F189" s="6"/>
      <c r="G189" s="6"/>
      <c r="H189" s="6"/>
      <c r="I189" s="4" t="str">
        <f>"#if "&amp;C189&amp;"&gt;=0
mcu_config_output("&amp;C189&amp;");
#endif"</f>
        <v>#if TX2&gt;=0
mcu_config_output(TX2);
#endif</v>
      </c>
    </row>
    <row r="190" spans="1:9" ht="15" customHeight="1" x14ac:dyDescent="0.25">
      <c r="A190" s="4">
        <v>211</v>
      </c>
      <c r="B190" s="4" t="str">
        <f t="shared" si="22"/>
        <v>DIO211</v>
      </c>
      <c r="C190" s="4" t="s">
        <v>468</v>
      </c>
      <c r="D190" s="6"/>
      <c r="E190" s="9" t="str">
        <f>"#if(defined("&amp;C190&amp;"_BIT))
#define "&amp;B190&amp;" "&amp;A190&amp;"
#define "&amp;C190&amp;" "&amp;A190&amp;"
#define "&amp;B190&amp;"_BIT ("&amp;C190&amp;"_BIT)
#endif"</f>
        <v>#if(defined(RX2_BIT))
#define DIO211 211
#define RX2 211
#define DIO211_BIT (RX2_BIT)
#endif</v>
      </c>
      <c r="F190" s="6"/>
      <c r="G190" s="6"/>
      <c r="H190" s="6"/>
      <c r="I190" s="4" t="str">
        <f t="shared" ref="I190" si="24">"#if "&amp;C190&amp;"&gt;=0
mcu_config_input("&amp;C190&amp;");
#ifdef "&amp;C190&amp;"_PULLUP
mcu_config_pullup("&amp;C190&amp;");
#endif
#endif"</f>
        <v>#if RX2&gt;=0
mcu_config_input(RX2);
#ifdef RX2_PULLUP
mcu_config_pullup(RX2);
#endif
#endif</v>
      </c>
    </row>
    <row r="191" spans="1:9" ht="15" customHeight="1" x14ac:dyDescent="0.25">
      <c r="A191" s="4">
        <v>212</v>
      </c>
      <c r="B191" s="4" t="s">
        <v>519</v>
      </c>
      <c r="C191" s="29" t="s">
        <v>520</v>
      </c>
      <c r="D191" s="6"/>
      <c r="E191" s="9" t="str">
        <f t="shared" ref="E191:E194" si="25">"#if(defined("&amp;C191&amp;"_BIT))
#define "&amp;B191&amp;" "&amp;A191&amp;"
#define "&amp;C191&amp;" "&amp;A191&amp;"
#define "&amp;B191&amp;"_BIT ("&amp;C191&amp;"_BIT)
#endif"</f>
        <v>#if(defined(SPI2_CLK_BIT))
#define DIO212 212
#define SPI2_CLK 212
#define DIO212_BIT (SPI2_CLK_BIT)
#endif</v>
      </c>
      <c r="F191" s="6"/>
      <c r="G191" s="6"/>
      <c r="H191" s="6"/>
      <c r="I191" s="13" t="str">
        <f>"#if "&amp;C191&amp;"&gt;=0
mcu_config_output("&amp;C191&amp;");
#endif"</f>
        <v>#if SPI2_CLK&gt;=0
mcu_config_output(SPI2_CLK);
#endif</v>
      </c>
    </row>
    <row r="192" spans="1:9" ht="15" customHeight="1" x14ac:dyDescent="0.25">
      <c r="A192" s="4">
        <v>213</v>
      </c>
      <c r="B192" s="4" t="s">
        <v>521</v>
      </c>
      <c r="C192" s="29" t="s">
        <v>522</v>
      </c>
      <c r="D192" s="6"/>
      <c r="E192" s="9" t="str">
        <f t="shared" si="25"/>
        <v>#if(defined(SPI2_SDI_BIT))
#define DIO213 213
#define SPI2_SDI 213
#define DIO213_BIT (SPI2_SDI_BIT)
#endif</v>
      </c>
      <c r="F192" s="6"/>
      <c r="G192" s="6"/>
      <c r="H192" s="6"/>
      <c r="I192" s="4" t="str">
        <f t="shared" ref="I192" si="26">"#if "&amp;C192&amp;"&gt;=0
mcu_config_input("&amp;C192&amp;");
#ifdef "&amp;C192&amp;"_PULLUP
mcu_config_pullup("&amp;C192&amp;");
#endif
#endif"</f>
        <v>#if SPI2_SDI&gt;=0
mcu_config_input(SPI2_SDI);
#ifdef SPI2_SDI_PULLUP
mcu_config_pullup(SPI2_SDI);
#endif
#endif</v>
      </c>
    </row>
    <row r="193" spans="1:9" ht="15" customHeight="1" x14ac:dyDescent="0.25">
      <c r="A193" s="4">
        <v>214</v>
      </c>
      <c r="B193" s="4" t="s">
        <v>523</v>
      </c>
      <c r="C193" s="29" t="s">
        <v>524</v>
      </c>
      <c r="D193" s="6"/>
      <c r="E193" s="9" t="str">
        <f t="shared" si="25"/>
        <v>#if(defined(SPI2_SDO_BIT))
#define DIO214 214
#define SPI2_SDO 214
#define DIO214_BIT (SPI2_SDO_BIT)
#endif</v>
      </c>
      <c r="F193" s="6"/>
      <c r="G193" s="6"/>
      <c r="H193" s="6"/>
      <c r="I193" s="4" t="str">
        <f>"#if "&amp;C193&amp;"&gt;=0
mcu_config_output("&amp;C193&amp;");
#endif"</f>
        <v>#if SPI2_SDO&gt;=0
mcu_config_output(SPI2_SDO);
#endif</v>
      </c>
    </row>
    <row r="194" spans="1:9" ht="15" customHeight="1" x14ac:dyDescent="0.25">
      <c r="A194" s="4">
        <v>215</v>
      </c>
      <c r="B194" s="4" t="s">
        <v>525</v>
      </c>
      <c r="C194" s="29" t="s">
        <v>526</v>
      </c>
      <c r="D194" s="6"/>
      <c r="E194" s="9" t="str">
        <f t="shared" si="25"/>
        <v>#if(defined(SPI2_CS_BIT))
#define DIO215 215
#define SPI2_CS 215
#define DIO215_BIT (SPI2_CS_BIT)
#endif</v>
      </c>
      <c r="F194" s="6"/>
      <c r="G194" s="6"/>
      <c r="H194" s="6"/>
      <c r="I194" s="4" t="str">
        <f>"#if "&amp;C194&amp;"&gt;=0
mcu_config_output("&amp;C194&amp;");
#endif"</f>
        <v>#if SPI2_CS&gt;=0
mcu_config_output(SPI2_CS);
#endif</v>
      </c>
    </row>
    <row r="195" spans="1:9" ht="15" customHeight="1" x14ac:dyDescent="0.25">
      <c r="A195" s="6"/>
      <c r="B195" s="6"/>
      <c r="C195" s="6"/>
      <c r="D195" s="6"/>
      <c r="E195" s="6"/>
      <c r="F195" s="6"/>
      <c r="G195" s="6"/>
      <c r="H195" s="6"/>
      <c r="I195" s="6"/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E340" s="6"/>
      <c r="F340" s="6"/>
      <c r="G340" s="6"/>
      <c r="H340" s="6"/>
      <c r="I340" s="6"/>
    </row>
    <row r="341" spans="1:9" ht="15.75" customHeight="1" x14ac:dyDescent="0.25">
      <c r="A341" s="6"/>
      <c r="B341" s="6"/>
      <c r="C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/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BEDAF-2F7D-4B75-9B0C-27B1054C722F}">
  <sheetPr>
    <outlinePr summaryBelow="0" summaryRight="0"/>
  </sheetPr>
  <dimension ref="A1:J1037"/>
  <sheetViews>
    <sheetView topLeftCell="A161" workbookViewId="0">
      <selection activeCell="E178" sqref="E161:E178"/>
    </sheetView>
  </sheetViews>
  <sheetFormatPr defaultColWidth="14.42578125" defaultRowHeight="15" customHeight="1" x14ac:dyDescent="0.25"/>
  <cols>
    <col min="1" max="1" width="9" customWidth="1"/>
    <col min="2" max="2" width="7.5703125" customWidth="1"/>
    <col min="3" max="3" width="10" customWidth="1"/>
    <col min="4" max="4" width="10.85546875" customWidth="1"/>
    <col min="5" max="5" width="32.85546875" customWidth="1"/>
    <col min="6" max="8" width="22.140625" customWidth="1"/>
    <col min="9" max="9" width="38.7109375" bestFit="1" customWidth="1"/>
    <col min="10" max="22" width="22.140625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84" si="0">"DIO"&amp;A3</f>
        <v>DIO1</v>
      </c>
      <c r="C3" s="4" t="s">
        <v>7</v>
      </c>
      <c r="D3" s="4">
        <v>0</v>
      </c>
      <c r="E3" s="9" t="str">
        <f>"#if(defined("&amp;C3&amp;"_BIT))
#define "&amp;C3&amp;" "&amp;A3&amp;"
#if ("&amp;C3&amp;"_BIT&lt;32)
#define "&amp;C3&amp;"_OUTREG OUT0
#define "&amp;C3&amp;"_INREG IN0
#else
#define "&amp;C3&amp;"_OUTREG OUT1
#define "&amp;C3&amp;"_INREG IN1
#endif
#define "&amp;B3&amp;" "&amp;A3&amp;"
#define "&amp;B3&amp;"_BIT "&amp;C3&amp;"_BIT
#define "&amp;B3&amp;"_OUTREG "&amp;C3&amp;"_OUTREG
#define "&amp;B3&amp;"_INREG "&amp;C3&amp;"_INREG
#endif"</f>
        <v>#if(defined(STEP0_BIT))
#define STEP0 1
#if (STEP0_BIT&lt;32)
#define STEP0_OUTREG OUT0
#define STEP0_INREG IN0
#else
#define STEP0_OUTREG OUT1
#define STEP0_INREG IN1
#endif
#define DIO1 1
#define DIO1_BIT STEP0_BIT
#define DIO1_OUTREG STEP0_OUTREG
#define DIO1_INREG STEP0_INREG
#endif</v>
      </c>
      <c r="F3" s="9"/>
      <c r="G3" s="9"/>
      <c r="H3" s="9"/>
      <c r="I3" s="4" t="str">
        <f t="shared" ref="I3:I27" si="1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ref="E4:E67" si="2">"#if(defined("&amp;C4&amp;"_BIT))
#define "&amp;C4&amp;" "&amp;A4&amp;"
#if ("&amp;C4&amp;"_BIT&lt;32)
#define "&amp;C4&amp;"_OUTREG OUT0
#define "&amp;C4&amp;"_INREG IN0
#else
#define "&amp;C4&amp;"_OUTREG OUT1
#define "&amp;C4&amp;"_INREG IN1
#endif
#define "&amp;B4&amp;" "&amp;A4&amp;"
#define "&amp;B4&amp;"_BIT "&amp;C4&amp;"_BIT
#define "&amp;B4&amp;"_OUTREG "&amp;C4&amp;"_OUTREG
#define "&amp;B4&amp;"_INREG "&amp;C4&amp;"_INREG
#endif"</f>
        <v>#if(defined(STEP1_BIT))
#define STEP1 2
#if (STEP1_BIT&lt;32)
#define STEP1_OUTREG OUT0
#define STEP1_INREG IN0
#else
#define STEP1_OUTREG OUT1
#define STEP1_INREG IN1
#endif
#define DIO2 2
#define DIO2_BIT STEP1_BIT
#define DIO2_OUTREG STEP1_OUTREG
#define DIO2_INREG STEP1_INREG
#endif</v>
      </c>
      <c r="F4" s="9"/>
      <c r="G4" s="9"/>
      <c r="H4" s="9"/>
      <c r="I4" s="4" t="str">
        <f t="shared" si="1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2"/>
        <v>#if(defined(STEP2_BIT))
#define STEP2 3
#if (STEP2_BIT&lt;32)
#define STEP2_OUTREG OUT0
#define STEP2_INREG IN0
#else
#define STEP2_OUTREG OUT1
#define STEP2_INREG IN1
#endif
#define DIO3 3
#define DIO3_BIT STEP2_BIT
#define DIO3_OUTREG STEP2_OUTREG
#define DIO3_INREG STEP2_INREG
#endif</v>
      </c>
      <c r="F5" s="9"/>
      <c r="G5" s="9"/>
      <c r="H5" s="9"/>
      <c r="I5" s="4" t="str">
        <f t="shared" si="1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2"/>
        <v>#if(defined(STEP3_BIT))
#define STEP3 4
#if (STEP3_BIT&lt;32)
#define STEP3_OUTREG OUT0
#define STEP3_INREG IN0
#else
#define STEP3_OUTREG OUT1
#define STEP3_INREG IN1
#endif
#define DIO4 4
#define DIO4_BIT STEP3_BIT
#define DIO4_OUTREG STEP3_OUTREG
#define DIO4_INREG STEP3_INREG
#endif</v>
      </c>
      <c r="F6" s="9"/>
      <c r="G6" s="9"/>
      <c r="H6" s="9"/>
      <c r="I6" s="4" t="str">
        <f t="shared" si="1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2"/>
        <v>#if(defined(STEP4_BIT))
#define STEP4 5
#if (STEP4_BIT&lt;32)
#define STEP4_OUTREG OUT0
#define STEP4_INREG IN0
#else
#define STEP4_OUTREG OUT1
#define STEP4_INREG IN1
#endif
#define DIO5 5
#define DIO5_BIT STEP4_BIT
#define DIO5_OUTREG STEP4_OUTREG
#define DIO5_INREG STEP4_INREG
#endif</v>
      </c>
      <c r="F7" s="9"/>
      <c r="G7" s="9"/>
      <c r="H7" s="9"/>
      <c r="I7" s="4" t="str">
        <f t="shared" si="1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2"/>
        <v>#if(defined(STEP5_BIT))
#define STEP5 6
#if (STEP5_BIT&lt;32)
#define STEP5_OUTREG OUT0
#define STEP5_INREG IN0
#else
#define STEP5_OUTREG OUT1
#define STEP5_INREG IN1
#endif
#define DIO6 6
#define DIO6_BIT STEP5_BIT
#define DIO6_OUTREG STEP5_OUTREG
#define DIO6_INREG STEP5_INREG
#endif</v>
      </c>
      <c r="F8" s="9"/>
      <c r="G8" s="9"/>
      <c r="H8" s="9"/>
      <c r="I8" s="4" t="str">
        <f t="shared" si="1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2"/>
        <v>#if(defined(STEP6_BIT))
#define STEP6 7
#if (STEP6_BIT&lt;32)
#define STEP6_OUTREG OUT0
#define STEP6_INREG IN0
#else
#define STEP6_OUTREG OUT1
#define STEP6_INREG IN1
#endif
#define DIO7 7
#define DIO7_BIT STEP6_BIT
#define DIO7_OUTREG STEP6_OUTREG
#define DIO7_INREG STEP6_INREG
#endif</v>
      </c>
      <c r="F9" s="9"/>
      <c r="G9" s="9"/>
      <c r="H9" s="9"/>
      <c r="I9" s="4" t="str">
        <f t="shared" si="1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2"/>
        <v>#if(defined(STEP7_BIT))
#define STEP7 8
#if (STEP7_BIT&lt;32)
#define STEP7_OUTREG OUT0
#define STEP7_INREG IN0
#else
#define STEP7_OUTREG OUT1
#define STEP7_INREG IN1
#endif
#define DIO8 8
#define DIO8_BIT STEP7_BIT
#define DIO8_OUTREG STEP7_OUTREG
#define DIO8_INREG STEP7_INREG
#endif</v>
      </c>
      <c r="F10" s="9"/>
      <c r="G10" s="9"/>
      <c r="H10" s="9"/>
      <c r="I10" s="4" t="str">
        <f t="shared" si="1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2"/>
        <v>#if(defined(DIR0_BIT))
#define DIR0 9
#if (DIR0_BIT&lt;32)
#define DIR0_OUTREG OUT0
#define DIR0_INREG IN0
#else
#define DIR0_OUTREG OUT1
#define DIR0_INREG IN1
#endif
#define DIO9 9
#define DIO9_BIT DIR0_BIT
#define DIO9_OUTREG DIR0_OUTREG
#define DIO9_INREG DIR0_INREG
#endif</v>
      </c>
      <c r="F11" s="9"/>
      <c r="G11" s="9"/>
      <c r="H11" s="9"/>
      <c r="I11" s="4" t="str">
        <f t="shared" si="1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2"/>
        <v>#if(defined(DIR1_BIT))
#define DIR1 10
#if (DIR1_BIT&lt;32)
#define DIR1_OUTREG OUT0
#define DIR1_INREG IN0
#else
#define DIR1_OUTREG OUT1
#define DIR1_INREG IN1
#endif
#define DIO10 10
#define DIO10_BIT DIR1_BIT
#define DIO10_OUTREG DIR1_OUTREG
#define DIO10_INREG DIR1_INREG
#endif</v>
      </c>
      <c r="F12" s="9"/>
      <c r="G12" s="9"/>
      <c r="H12" s="9"/>
      <c r="I12" s="4" t="str">
        <f t="shared" si="1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2"/>
        <v>#if(defined(DIR2_BIT))
#define DIR2 11
#if (DIR2_BIT&lt;32)
#define DIR2_OUTREG OUT0
#define DIR2_INREG IN0
#else
#define DIR2_OUTREG OUT1
#define DIR2_INREG IN1
#endif
#define DIO11 11
#define DIO11_BIT DIR2_BIT
#define DIO11_OUTREG DIR2_OUTREG
#define DIO11_INREG DIR2_INREG
#endif</v>
      </c>
      <c r="F13" s="9"/>
      <c r="G13" s="9"/>
      <c r="H13" s="9"/>
      <c r="I13" s="4" t="str">
        <f t="shared" si="1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2"/>
        <v>#if(defined(DIR3_BIT))
#define DIR3 12
#if (DIR3_BIT&lt;32)
#define DIR3_OUTREG OUT0
#define DIR3_INREG IN0
#else
#define DIR3_OUTREG OUT1
#define DIR3_INREG IN1
#endif
#define DIO12 12
#define DIO12_BIT DIR3_BIT
#define DIO12_OUTREG DIR3_OUTREG
#define DIO12_INREG DIR3_INREG
#endif</v>
      </c>
      <c r="F14" s="9"/>
      <c r="G14" s="9"/>
      <c r="H14" s="9"/>
      <c r="I14" s="4" t="str">
        <f t="shared" si="1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2"/>
        <v>#if(defined(DIR4_BIT))
#define DIR4 13
#if (DIR4_BIT&lt;32)
#define DIR4_OUTREG OUT0
#define DIR4_INREG IN0
#else
#define DIR4_OUTREG OUT1
#define DIR4_INREG IN1
#endif
#define DIO13 13
#define DIO13_BIT DIR4_BIT
#define DIO13_OUTREG DIR4_OUTREG
#define DIO13_INREG DIR4_INREG
#endif</v>
      </c>
      <c r="F15" s="9"/>
      <c r="G15" s="9"/>
      <c r="H15" s="9"/>
      <c r="I15" s="4" t="str">
        <f t="shared" si="1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2"/>
        <v>#if(defined(DIR5_BIT))
#define DIR5 14
#if (DIR5_BIT&lt;32)
#define DIR5_OUTREG OUT0
#define DIR5_INREG IN0
#else
#define DIR5_OUTREG OUT1
#define DIR5_INREG IN1
#endif
#define DIO14 14
#define DIO14_BIT DIR5_BIT
#define DIO14_OUTREG DIR5_OUTREG
#define DIO14_INREG DIR5_INREG
#endif</v>
      </c>
      <c r="F16" s="9"/>
      <c r="G16" s="9"/>
      <c r="H16" s="9"/>
      <c r="I16" s="4" t="str">
        <f t="shared" si="1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2"/>
        <v>#if(defined(DIR6_BIT))
#define DIR6 15
#if (DIR6_BIT&lt;32)
#define DIR6_OUTREG OUT0
#define DIR6_INREG IN0
#else
#define DIR6_OUTREG OUT1
#define DIR6_INREG IN1
#endif
#define DIO15 15
#define DIO15_BIT DIR6_BIT
#define DIO15_OUTREG DIR6_OUTREG
#define DIO15_INREG DIR6_INREG
#endif</v>
      </c>
      <c r="F17" s="9"/>
      <c r="G17" s="9"/>
      <c r="H17" s="10"/>
      <c r="I17" s="4" t="str">
        <f t="shared" si="1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2"/>
        <v>#if(defined(DIR7_BIT))
#define DIR7 16
#if (DIR7_BIT&lt;32)
#define DIR7_OUTREG OUT0
#define DIR7_INREG IN0
#else
#define DIR7_OUTREG OUT1
#define DIR7_INREG IN1
#endif
#define DIO16 16
#define DIO16_BIT DIR7_BIT
#define DIO16_OUTREG DIR7_OUTREG
#define DIO16_INREG DIR7_INREG
#endif</v>
      </c>
      <c r="F18" s="9"/>
      <c r="G18" s="9"/>
      <c r="H18" s="9"/>
      <c r="I18" s="4" t="str">
        <f t="shared" si="1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2"/>
        <v>#if(defined(STEP0_EN_BIT))
#define STEP0_EN 17
#if (STEP0_EN_BIT&lt;32)
#define STEP0_EN_OUTREG OUT0
#define STEP0_EN_INREG IN0
#else
#define STEP0_EN_OUTREG OUT1
#define STEP0_EN_INREG IN1
#endif
#define DIO17 17
#define DIO17_BIT STEP0_EN_BIT
#define DIO17_OUTREG STEP0_EN_OUTREG
#define DIO17_INREG STEP0_EN_INREG
#endif</v>
      </c>
      <c r="F19" s="9"/>
      <c r="G19" s="9"/>
      <c r="H19" s="9"/>
      <c r="I19" s="4" t="str">
        <f t="shared" si="1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2"/>
        <v>#if(defined(STEP1_EN_BIT))
#define STEP1_EN 18
#if (STEP1_EN_BIT&lt;32)
#define STEP1_EN_OUTREG OUT0
#define STEP1_EN_INREG IN0
#else
#define STEP1_EN_OUTREG OUT1
#define STEP1_EN_INREG IN1
#endif
#define DIO18 18
#define DIO18_BIT STEP1_EN_BIT
#define DIO18_OUTREG STEP1_EN_OUTREG
#define DIO18_INREG STEP1_EN_INREG
#endif</v>
      </c>
      <c r="F20" s="9"/>
      <c r="G20" s="9"/>
      <c r="H20" s="9"/>
      <c r="I20" s="4" t="str">
        <f t="shared" si="1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2"/>
        <v>#if(defined(STEP2_EN_BIT))
#define STEP2_EN 19
#if (STEP2_EN_BIT&lt;32)
#define STEP2_EN_OUTREG OUT0
#define STEP2_EN_INREG IN0
#else
#define STEP2_EN_OUTREG OUT1
#define STEP2_EN_INREG IN1
#endif
#define DIO19 19
#define DIO19_BIT STEP2_EN_BIT
#define DIO19_OUTREG STEP2_EN_OUTREG
#define DIO19_INREG STEP2_EN_INREG
#endif</v>
      </c>
      <c r="F21" s="9"/>
      <c r="G21" s="9"/>
      <c r="H21" s="9"/>
      <c r="I21" s="4" t="str">
        <f t="shared" si="1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2"/>
        <v>#if(defined(STEP3_EN_BIT))
#define STEP3_EN 20
#if (STEP3_EN_BIT&lt;32)
#define STEP3_EN_OUTREG OUT0
#define STEP3_EN_INREG IN0
#else
#define STEP3_EN_OUTREG OUT1
#define STEP3_EN_INREG IN1
#endif
#define DIO20 20
#define DIO20_BIT STEP3_EN_BIT
#define DIO20_OUTREG STEP3_EN_OUTREG
#define DIO20_INREG STEP3_EN_INREG
#endif</v>
      </c>
      <c r="F22" s="9"/>
      <c r="G22" s="9"/>
      <c r="H22" s="9"/>
      <c r="I22" s="4" t="str">
        <f t="shared" si="1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2"/>
        <v>#if(defined(STEP4_EN_BIT))
#define STEP4_EN 21
#if (STEP4_EN_BIT&lt;32)
#define STEP4_EN_OUTREG OUT0
#define STEP4_EN_INREG IN0
#else
#define STEP4_EN_OUTREG OUT1
#define STEP4_EN_INREG IN1
#endif
#define DIO21 21
#define DIO21_BIT STEP4_EN_BIT
#define DIO21_OUTREG STEP4_EN_OUTREG
#define DIO21_INREG STEP4_EN_INREG
#endif</v>
      </c>
      <c r="F23" s="9"/>
      <c r="G23" s="9"/>
      <c r="H23" s="9"/>
      <c r="I23" s="4" t="str">
        <f t="shared" si="1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2"/>
        <v>#if(defined(STEP5_EN_BIT))
#define STEP5_EN 22
#if (STEP5_EN_BIT&lt;32)
#define STEP5_EN_OUTREG OUT0
#define STEP5_EN_INREG IN0
#else
#define STEP5_EN_OUTREG OUT1
#define STEP5_EN_INREG IN1
#endif
#define DIO22 22
#define DIO22_BIT STEP5_EN_BIT
#define DIO22_OUTREG STEP5_EN_OUTREG
#define DIO22_INREG STEP5_EN_INREG
#endif</v>
      </c>
      <c r="F24" s="9"/>
      <c r="G24" s="9"/>
      <c r="H24" s="9"/>
      <c r="I24" s="4" t="str">
        <f t="shared" si="1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2"/>
        <v>#if(defined(STEP6_EN_BIT))
#define STEP6_EN 23
#if (STEP6_EN_BIT&lt;32)
#define STEP6_EN_OUTREG OUT0
#define STEP6_EN_INREG IN0
#else
#define STEP6_EN_OUTREG OUT1
#define STEP6_EN_INREG IN1
#endif
#define DIO23 23
#define DIO23_BIT STEP6_EN_BIT
#define DIO23_OUTREG STEP6_EN_OUTREG
#define DIO23_INREG STEP6_EN_INREG
#endif</v>
      </c>
      <c r="F25" s="9"/>
      <c r="G25" s="9"/>
      <c r="H25" s="9"/>
      <c r="I25" s="4" t="str">
        <f t="shared" si="1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2"/>
        <v>#if(defined(STEP7_EN_BIT))
#define STEP7_EN 24
#if (STEP7_EN_BIT&lt;32)
#define STEP7_EN_OUTREG OUT0
#define STEP7_EN_INREG IN0
#else
#define STEP7_EN_OUTREG OUT1
#define STEP7_EN_INREG IN1
#endif
#define DIO24 24
#define DIO24_BIT STEP7_EN_BIT
#define DIO24_OUTREG STEP7_EN_OUTREG
#define DIO24_INREG STEP7_EN_INREG
#endif</v>
      </c>
      <c r="F26" s="9"/>
      <c r="G26" s="9"/>
      <c r="H26" s="11" t="s">
        <v>121</v>
      </c>
      <c r="I26" s="4" t="str">
        <f t="shared" si="1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2"/>
        <v>#if(defined(PWM0_BIT))
#define PWM0 25
#if (PWM0_BIT&lt;32)
#define PWM0_OUTREG OUT0
#define PWM0_INREG IN0
#else
#define PWM0_OUTREG OUT1
#define PWM0_INREG IN1
#endif
#define DIO25 25
#define DIO25_BIT PWM0_BIT
#define DIO25_OUTREG PWM0_OUTREG
#define DIO25_INREG PWM0_INREG
#endif</v>
      </c>
      <c r="F27" s="9"/>
      <c r="G27" s="9"/>
      <c r="H27" s="9" t="str">
        <f>"#ifdef "&amp;C27&amp;"_CHANNEL
#define "&amp;C27&amp;"_LEDCCHANNEL ("&amp;C27&amp;"_CHANNEL &amp; 0x07)
#if ("&amp;C27&amp;"_CHANNEL &lt; 8)
#define "&amp;C27&amp;"_SPEEDMODE LEDC_HIGH_SPEED_MODE
#else
#define "&amp;C27&amp;"_SPEEDMODE LEDC_LOW_SPEED_MODE
#endif
#define "&amp;B27&amp;"_CHANNEL "&amp;C27&amp;"_CHANNEL
#define "&amp;B27&amp;"_TIMER "&amp;C27&amp;"_TIMER
#define "&amp;B27&amp;"_LEDCCHANNEL "&amp;C27&amp;"_LEDCCHANNEL
#define "&amp;B27&amp;"_SPEEDMODE "&amp;C27&amp;"_SPEEDMODE
#endif"</f>
        <v>#ifdef PWM0_CHANNEL
#define PWM0_LEDCCHANNEL (PWM0_CHANNEL &amp; 0x07)
#if (PWM0_CHANNEL &lt; 8)
#define PWM0_SPEEDMODE LEDC_HIGH_SPEED_MODE
#else
#define PWM0_SPEEDMODE LEDC_LOW_SPEED_MODE
#endif
#define DIO25_CHANNEL PWM0_CHANNEL
#define DIO25_TIMER PWM0_TIMER
#define DIO25_LEDCCHANNEL PWM0_LEDCCHANNEL
#define DIO25_SPEEDMODE PWM0_SPEEDMODE
#endif</v>
      </c>
      <c r="I27" s="4" t="str">
        <f t="shared" si="1"/>
        <v>#if PWM0&gt;=0
mcu_config_output(PWM0);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2"/>
        <v>#if(defined(PWM1_BIT))
#define PWM1 26
#if (PWM1_BIT&lt;32)
#define PWM1_OUTREG OUT0
#define PWM1_INREG IN0
#else
#define PWM1_OUTREG OUT1
#define PWM1_INREG IN1
#endif
#define DIO26 26
#define DIO26_BIT PWM1_BIT
#define DIO26_OUTREG PWM1_OUTREG
#define DIO26_INREG PWM1_INREG
#endif</v>
      </c>
      <c r="F28" s="9"/>
      <c r="G28" s="9"/>
      <c r="H28" s="9" t="str">
        <f t="shared" ref="H28:H42" si="3">"#ifdef "&amp;C28&amp;"_CHANNEL
#define "&amp;C28&amp;"_LEDCCHANNEL ("&amp;C28&amp;"_CHANNEL &amp; 0x07)
#if ("&amp;C28&amp;"_CHANNEL &lt; 8)
#define "&amp;C28&amp;"_SPEEDMODE LEDC_HIGH_SPEED_MODE
#else
#define "&amp;C28&amp;"_SPEEDMODE LEDC_LOW_SPEED_MODE
#endif
#define "&amp;B28&amp;"_CHANNEL "&amp;C28&amp;"_CHANNEL
#define "&amp;B28&amp;"_TIMER "&amp;C28&amp;"_TIMER
#define "&amp;B28&amp;"_LEDCCHANNEL "&amp;C28&amp;"_LEDCCHANNEL
#define "&amp;B28&amp;"_SPEEDMODE "&amp;C28&amp;"_SPEEDMODE
#endif"</f>
        <v>#ifdef PWM1_CHANNEL
#define PWM1_LEDCCHANNEL (PWM1_CHANNEL &amp; 0x07)
#if (PWM1_CHANNEL &lt; 8)
#define PWM1_SPEEDMODE LEDC_HIGH_SPEED_MODE
#else
#define PWM1_SPEEDMODE LEDC_LOW_SPEED_MODE
#endif
#define DIO26_CHANNEL PWM1_CHANNEL
#define DIO26_TIMER PWM1_TIMER
#define DIO26_LEDCCHANNEL PWM1_LEDCCHANNEL
#define DIO26_SPEEDMODE PWM1_SPEEDMODE
#endif</v>
      </c>
      <c r="I28" s="4" t="str">
        <f t="shared" ref="I28:I38" si="4">"#if "&amp;C28&amp;"&gt;=0
mcu_config_pwm("&amp;C28&amp;");
#endif"</f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2"/>
        <v>#if(defined(PWM2_BIT))
#define PWM2 27
#if (PWM2_BIT&lt;32)
#define PWM2_OUTREG OUT0
#define PWM2_INREG IN0
#else
#define PWM2_OUTREG OUT1
#define PWM2_INREG IN1
#endif
#define DIO27 27
#define DIO27_BIT PWM2_BIT
#define DIO27_OUTREG PWM2_OUTREG
#define DIO27_INREG PWM2_INREG
#endif</v>
      </c>
      <c r="F29" s="9"/>
      <c r="G29" s="9"/>
      <c r="H29" s="9" t="str">
        <f t="shared" si="3"/>
        <v>#ifdef PWM2_CHANNEL
#define PWM2_LEDCCHANNEL (PWM2_CHANNEL &amp; 0x07)
#if (PWM2_CHANNEL &lt; 8)
#define PWM2_SPEEDMODE LEDC_HIGH_SPEED_MODE
#else
#define PWM2_SPEEDMODE LEDC_LOW_SPEED_MODE
#endif
#define DIO27_CHANNEL PWM2_CHANNEL
#define DIO27_TIMER PWM2_TIMER
#define DIO27_LEDCCHANNEL PWM2_LEDCCHANNEL
#define DIO27_SPEEDMODE PWM2_SPEEDMODE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2"/>
        <v>#if(defined(PWM3_BIT))
#define PWM3 28
#if (PWM3_BIT&lt;32)
#define PWM3_OUTREG OUT0
#define PWM3_INREG IN0
#else
#define PWM3_OUTREG OUT1
#define PWM3_INREG IN1
#endif
#define DIO28 28
#define DIO28_BIT PWM3_BIT
#define DIO28_OUTREG PWM3_OUTREG
#define DIO28_INREG PWM3_INREG
#endif</v>
      </c>
      <c r="F30" s="9"/>
      <c r="G30" s="9"/>
      <c r="H30" s="9" t="str">
        <f t="shared" si="3"/>
        <v>#ifdef PWM3_CHANNEL
#define PWM3_LEDCCHANNEL (PWM3_CHANNEL &amp; 0x07)
#if (PWM3_CHANNEL &lt; 8)
#define PWM3_SPEEDMODE LEDC_HIGH_SPEED_MODE
#else
#define PWM3_SPEEDMODE LEDC_LOW_SPEED_MODE
#endif
#define DIO28_CHANNEL PWM3_CHANNEL
#define DIO28_TIMER PWM3_TIMER
#define DIO28_LEDCCHANNEL PWM3_LEDCCHANNEL
#define DIO28_SPEEDMODE PWM3_SPEEDMODE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2"/>
        <v>#if(defined(PWM4_BIT))
#define PWM4 29
#if (PWM4_BIT&lt;32)
#define PWM4_OUTREG OUT0
#define PWM4_INREG IN0
#else
#define PWM4_OUTREG OUT1
#define PWM4_INREG IN1
#endif
#define DIO29 29
#define DIO29_BIT PWM4_BIT
#define DIO29_OUTREG PWM4_OUTREG
#define DIO29_INREG PWM4_INREG
#endif</v>
      </c>
      <c r="F31" s="9"/>
      <c r="G31" s="9"/>
      <c r="H31" s="9" t="str">
        <f t="shared" si="3"/>
        <v>#ifdef PWM4_CHANNEL
#define PWM4_LEDCCHANNEL (PWM4_CHANNEL &amp; 0x07)
#if (PWM4_CHANNEL &lt; 8)
#define PWM4_SPEEDMODE LEDC_HIGH_SPEED_MODE
#else
#define PWM4_SPEEDMODE LEDC_LOW_SPEED_MODE
#endif
#define DIO29_CHANNEL PWM4_CHANNEL
#define DIO29_TIMER PWM4_TIMER
#define DIO29_LEDCCHANNEL PWM4_LEDCCHANNEL
#define DIO29_SPEEDMODE PWM4_SPEEDMODE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2"/>
        <v>#if(defined(PWM5_BIT))
#define PWM5 30
#if (PWM5_BIT&lt;32)
#define PWM5_OUTREG OUT0
#define PWM5_INREG IN0
#else
#define PWM5_OUTREG OUT1
#define PWM5_INREG IN1
#endif
#define DIO30 30
#define DIO30_BIT PWM5_BIT
#define DIO30_OUTREG PWM5_OUTREG
#define DIO30_INREG PWM5_INREG
#endif</v>
      </c>
      <c r="F32" s="9"/>
      <c r="G32" s="9"/>
      <c r="H32" s="9" t="str">
        <f t="shared" si="3"/>
        <v>#ifdef PWM5_CHANNEL
#define PWM5_LEDCCHANNEL (PWM5_CHANNEL &amp; 0x07)
#if (PWM5_CHANNEL &lt; 8)
#define PWM5_SPEEDMODE LEDC_HIGH_SPEED_MODE
#else
#define PWM5_SPEEDMODE LEDC_LOW_SPEED_MODE
#endif
#define DIO30_CHANNEL PWM5_CHANNEL
#define DIO30_TIMER PWM5_TIMER
#define DIO30_LEDCCHANNEL PWM5_LEDCCHANNEL
#define DIO30_SPEEDMODE PWM5_SPEEDMODE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2"/>
        <v>#if(defined(PWM6_BIT))
#define PWM6 31
#if (PWM6_BIT&lt;32)
#define PWM6_OUTREG OUT0
#define PWM6_INREG IN0
#else
#define PWM6_OUTREG OUT1
#define PWM6_INREG IN1
#endif
#define DIO31 31
#define DIO31_BIT PWM6_BIT
#define DIO31_OUTREG PWM6_OUTREG
#define DIO31_INREG PWM6_INREG
#endif</v>
      </c>
      <c r="F33" s="9"/>
      <c r="G33" s="9"/>
      <c r="H33" s="9" t="str">
        <f t="shared" si="3"/>
        <v>#ifdef PWM6_CHANNEL
#define PWM6_LEDCCHANNEL (PWM6_CHANNEL &amp; 0x07)
#if (PWM6_CHANNEL &lt; 8)
#define PWM6_SPEEDMODE LEDC_HIGH_SPEED_MODE
#else
#define PWM6_SPEEDMODE LEDC_LOW_SPEED_MODE
#endif
#define DIO31_CHANNEL PWM6_CHANNEL
#define DIO31_TIMER PWM6_TIMER
#define DIO31_LEDCCHANNEL PWM6_LEDCCHANNEL
#define DIO31_SPEEDMODE PWM6_SPEEDMODE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2"/>
        <v>#if(defined(PWM7_BIT))
#define PWM7 32
#if (PWM7_BIT&lt;32)
#define PWM7_OUTREG OUT0
#define PWM7_INREG IN0
#else
#define PWM7_OUTREG OUT1
#define PWM7_INREG IN1
#endif
#define DIO32 32
#define DIO32_BIT PWM7_BIT
#define DIO32_OUTREG PWM7_OUTREG
#define DIO32_INREG PWM7_INREG
#endif</v>
      </c>
      <c r="F34" s="9"/>
      <c r="G34" s="9"/>
      <c r="H34" s="9" t="str">
        <f t="shared" si="3"/>
        <v>#ifdef PWM7_CHANNEL
#define PWM7_LEDCCHANNEL (PWM7_CHANNEL &amp; 0x07)
#if (PWM7_CHANNEL &lt; 8)
#define PWM7_SPEEDMODE LEDC_HIGH_SPEED_MODE
#else
#define PWM7_SPEEDMODE LEDC_LOW_SPEED_MODE
#endif
#define DIO32_CHANNEL PWM7_CHANNEL
#define DIO32_TIMER PWM7_TIMER
#define DIO32_LEDCCHANNEL PWM7_LEDCCHANNEL
#define DIO32_SPEEDMODE PWM7_SPEEDMODE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2"/>
        <v>#if(defined(PWM8_BIT))
#define PWM8 33
#if (PWM8_BIT&lt;32)
#define PWM8_OUTREG OUT0
#define PWM8_INREG IN0
#else
#define PWM8_OUTREG OUT1
#define PWM8_INREG IN1
#endif
#define DIO33 33
#define DIO33_BIT PWM8_BIT
#define DIO33_OUTREG PWM8_OUTREG
#define DIO33_INREG PWM8_INREG
#endif</v>
      </c>
      <c r="F35" s="9"/>
      <c r="G35" s="9"/>
      <c r="H35" s="9" t="str">
        <f t="shared" si="3"/>
        <v>#ifdef PWM8_CHANNEL
#define PWM8_LEDCCHANNEL (PWM8_CHANNEL &amp; 0x07)
#if (PWM8_CHANNEL &lt; 8)
#define PWM8_SPEEDMODE LEDC_HIGH_SPEED_MODE
#else
#define PWM8_SPEEDMODE LEDC_LOW_SPEED_MODE
#endif
#define DIO33_CHANNEL PWM8_CHANNEL
#define DIO33_TIMER PWM8_TIMER
#define DIO33_LEDCCHANNEL PWM8_LEDCCHANNEL
#define DIO33_SPEEDMODE PWM8_SPEEDMODE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2"/>
        <v>#if(defined(PWM9_BIT))
#define PWM9 34
#if (PWM9_BIT&lt;32)
#define PWM9_OUTREG OUT0
#define PWM9_INREG IN0
#else
#define PWM9_OUTREG OUT1
#define PWM9_INREG IN1
#endif
#define DIO34 34
#define DIO34_BIT PWM9_BIT
#define DIO34_OUTREG PWM9_OUTREG
#define DIO34_INREG PWM9_INREG
#endif</v>
      </c>
      <c r="F36" s="9"/>
      <c r="G36" s="9"/>
      <c r="H36" s="9" t="str">
        <f t="shared" si="3"/>
        <v>#ifdef PWM9_CHANNEL
#define PWM9_LEDCCHANNEL (PWM9_CHANNEL &amp; 0x07)
#if (PWM9_CHANNEL &lt; 8)
#define PWM9_SPEEDMODE LEDC_HIGH_SPEED_MODE
#else
#define PWM9_SPEEDMODE LEDC_LOW_SPEED_MODE
#endif
#define DIO34_CHANNEL PWM9_CHANNEL
#define DIO34_TIMER PWM9_TIMER
#define DIO34_LEDCCHANNEL PWM9_LEDCCHANNEL
#define DIO34_SPEEDMODE PWM9_SPEEDMODE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2"/>
        <v>#if(defined(PWM10_BIT))
#define PWM10 35
#if (PWM10_BIT&lt;32)
#define PWM10_OUTREG OUT0
#define PWM10_INREG IN0
#else
#define PWM10_OUTREG OUT1
#define PWM10_INREG IN1
#endif
#define DIO35 35
#define DIO35_BIT PWM10_BIT
#define DIO35_OUTREG PWM10_OUTREG
#define DIO35_INREG PWM10_INREG
#endif</v>
      </c>
      <c r="F37" s="9"/>
      <c r="G37" s="9"/>
      <c r="H37" s="9" t="str">
        <f t="shared" si="3"/>
        <v>#ifdef PWM10_CHANNEL
#define PWM10_LEDCCHANNEL (PWM10_CHANNEL &amp; 0x07)
#if (PWM10_CHANNEL &lt; 8)
#define PWM10_SPEEDMODE LEDC_HIGH_SPEED_MODE
#else
#define PWM10_SPEEDMODE LEDC_LOW_SPEED_MODE
#endif
#define DIO35_CHANNEL PWM10_CHANNEL
#define DIO35_TIMER PWM10_TIMER
#define DIO35_LEDCCHANNEL PWM10_LEDCCHANNEL
#define DIO35_SPEEDMODE PWM10_SPEEDMODE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2"/>
        <v>#if(defined(PWM11_BIT))
#define PWM11 36
#if (PWM11_BIT&lt;32)
#define PWM11_OUTREG OUT0
#define PWM11_INREG IN0
#else
#define PWM11_OUTREG OUT1
#define PWM11_INREG IN1
#endif
#define DIO36 36
#define DIO36_BIT PWM11_BIT
#define DIO36_OUTREG PWM11_OUTREG
#define DIO36_INREG PWM11_INREG
#endif</v>
      </c>
      <c r="F38" s="9"/>
      <c r="G38" s="9"/>
      <c r="H38" s="9" t="str">
        <f t="shared" si="3"/>
        <v>#ifdef PWM11_CHANNEL
#define PWM11_LEDCCHANNEL (PWM11_CHANNEL &amp; 0x07)
#if (PWM11_CHANNEL &lt; 8)
#define PWM11_SPEEDMODE LEDC_HIGH_SPEED_MODE
#else
#define PWM11_SPEEDMODE LEDC_LOW_SPEED_MODE
#endif
#define DIO36_CHANNEL PWM11_CHANNEL
#define DIO36_TIMER PWM11_TIMER
#define DIO36_LEDCCHANNEL PWM11_LEDCCHANNEL
#define DIO36_SPEEDMODE PWM11_SPEEDMODE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2"/>
        <v>#if(defined(PWM12_BIT))
#define PWM12 37
#if (PWM12_BIT&lt;32)
#define PWM12_OUTREG OUT0
#define PWM12_INREG IN0
#else
#define PWM12_OUTREG OUT1
#define PWM12_INREG IN1
#endif
#define DIO37 37
#define DIO37_BIT PWM12_BIT
#define DIO37_OUTREG PWM12_OUTREG
#define DIO37_INREG PWM12_INREG
#endif</v>
      </c>
      <c r="F39" s="9"/>
      <c r="G39" s="9"/>
      <c r="H39" s="9" t="str">
        <f t="shared" si="3"/>
        <v>#ifdef PWM12_CHANNEL
#define PWM12_LEDCCHANNEL (PWM12_CHANNEL &amp; 0x07)
#if (PWM12_CHANNEL &lt; 8)
#define PWM12_SPEEDMODE LEDC_HIGH_SPEED_MODE
#else
#define PWM12_SPEEDMODE LEDC_LOW_SPEED_MODE
#endif
#define DIO37_CHANNEL PWM12_CHANNEL
#define DIO37_TIMER PWM12_TIMER
#define DIO37_LEDCCHANNEL PWM12_LEDCCHANNEL
#define DIO37_SPEEDMODE PWM12_SPEEDMODE
#endif</v>
      </c>
      <c r="I39" s="4" t="str">
        <f t="shared" ref="I39:I54" si="5">"#if "&amp;C39&amp;"&gt;=0
mcu_config_output("&amp;C39&amp;");
#endif"</f>
        <v>#if PWM12&gt;=0
mcu_config_output(PWM12);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2"/>
        <v>#if(defined(PWM13_BIT))
#define PWM13 38
#if (PWM13_BIT&lt;32)
#define PWM13_OUTREG OUT0
#define PWM13_INREG IN0
#else
#define PWM13_OUTREG OUT1
#define PWM13_INREG IN1
#endif
#define DIO38 38
#define DIO38_BIT PWM13_BIT
#define DIO38_OUTREG PWM13_OUTREG
#define DIO38_INREG PWM13_INREG
#endif</v>
      </c>
      <c r="F40" s="9"/>
      <c r="G40" s="9"/>
      <c r="H40" s="9" t="str">
        <f t="shared" si="3"/>
        <v>#ifdef PWM13_CHANNEL
#define PWM13_LEDCCHANNEL (PWM13_CHANNEL &amp; 0x07)
#if (PWM13_CHANNEL &lt; 8)
#define PWM13_SPEEDMODE LEDC_HIGH_SPEED_MODE
#else
#define PWM13_SPEEDMODE LEDC_LOW_SPEED_MODE
#endif
#define DIO38_CHANNEL PWM13_CHANNEL
#define DIO38_TIMER PWM13_TIMER
#define DIO38_LEDCCHANNEL PWM13_LEDCCHANNEL
#define DIO38_SPEEDMODE PWM13_SPEEDMODE
#endif</v>
      </c>
      <c r="I40" s="4" t="str">
        <f t="shared" si="5"/>
        <v>#if PWM13&gt;=0
mcu_config_output(PWM13);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2"/>
        <v>#if(defined(PWM14_BIT))
#define PWM14 39
#if (PWM14_BIT&lt;32)
#define PWM14_OUTREG OUT0
#define PWM14_INREG IN0
#else
#define PWM14_OUTREG OUT1
#define PWM14_INREG IN1
#endif
#define DIO39 39
#define DIO39_BIT PWM14_BIT
#define DIO39_OUTREG PWM14_OUTREG
#define DIO39_INREG PWM14_INREG
#endif</v>
      </c>
      <c r="F41" s="9"/>
      <c r="G41" s="9"/>
      <c r="H41" s="9" t="str">
        <f t="shared" si="3"/>
        <v>#ifdef PWM14_CHANNEL
#define PWM14_LEDCCHANNEL (PWM14_CHANNEL &amp; 0x07)
#if (PWM14_CHANNEL &lt; 8)
#define PWM14_SPEEDMODE LEDC_HIGH_SPEED_MODE
#else
#define PWM14_SPEEDMODE LEDC_LOW_SPEED_MODE
#endif
#define DIO39_CHANNEL PWM14_CHANNEL
#define DIO39_TIMER PWM14_TIMER
#define DIO39_LEDCCHANNEL PWM14_LEDCCHANNEL
#define DIO39_SPEEDMODE PWM14_SPEEDMODE
#endif</v>
      </c>
      <c r="I41" s="4" t="str">
        <f t="shared" si="5"/>
        <v>#if PWM14&gt;=0
mcu_config_output(PWM14);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2"/>
        <v>#if(defined(PWM15_BIT))
#define PWM15 40
#if (PWM15_BIT&lt;32)
#define PWM15_OUTREG OUT0
#define PWM15_INREG IN0
#else
#define PWM15_OUTREG OUT1
#define PWM15_INREG IN1
#endif
#define DIO40 40
#define DIO40_BIT PWM15_BIT
#define DIO40_OUTREG PWM15_OUTREG
#define DIO40_INREG PWM15_INREG
#endif</v>
      </c>
      <c r="F42" s="9"/>
      <c r="G42" s="9"/>
      <c r="H42" s="9" t="str">
        <f t="shared" si="3"/>
        <v>#ifdef PWM15_CHANNEL
#define PWM15_LEDCCHANNEL (PWM15_CHANNEL &amp; 0x07)
#if (PWM15_CHANNEL &lt; 8)
#define PWM15_SPEEDMODE LEDC_HIGH_SPEED_MODE
#else
#define PWM15_SPEEDMODE LEDC_LOW_SPEED_MODE
#endif
#define DIO40_CHANNEL PWM15_CHANNEL
#define DIO40_TIMER PWM15_TIMER
#define DIO40_LEDCCHANNEL PWM15_LEDCCHANNEL
#define DIO40_SPEEDMODE PWM15_SPEEDMODE
#endif</v>
      </c>
      <c r="I42" s="4" t="str">
        <f t="shared" si="5"/>
        <v>#if PWM15&gt;=0
mcu_config_output(PWM15);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2"/>
        <v>#if(defined(SERVO0_BIT))
#define SERVO0 41
#if (SERVO0_BIT&lt;32)
#define SERVO0_OUTREG OUT0
#define SERVO0_INREG IN0
#else
#define SERVO0_OUTREG OUT1
#define SERVO0_INREG IN1
#endif
#define DIO41 41
#define DIO41_BIT SERVO0_BIT
#define DIO41_OUTREG SERVO0_OUTREG
#define DIO41_INREG SERVO0_INREG
#endif</v>
      </c>
      <c r="F43" s="9"/>
      <c r="G43" s="9"/>
      <c r="H43" s="9"/>
      <c r="I43" s="4" t="str">
        <f t="shared" si="5"/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2"/>
        <v>#if(defined(SERVO1_BIT))
#define SERVO1 42
#if (SERVO1_BIT&lt;32)
#define SERVO1_OUTREG OUT0
#define SERVO1_INREG IN0
#else
#define SERVO1_OUTREG OUT1
#define SERVO1_INREG IN1
#endif
#define DIO42 42
#define DIO42_BIT SERVO1_BIT
#define DIO42_OUTREG SERVO1_OUTREG
#define DIO42_INREG SERVO1_INREG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2"/>
        <v>#if(defined(SERVO2_BIT))
#define SERVO2 43
#if (SERVO2_BIT&lt;32)
#define SERVO2_OUTREG OUT0
#define SERVO2_INREG IN0
#else
#define SERVO2_OUTREG OUT1
#define SERVO2_INREG IN1
#endif
#define DIO43 43
#define DIO43_BIT SERVO2_BIT
#define DIO43_OUTREG SERVO2_OUTREG
#define DIO43_INREG SERVO2_INREG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2"/>
        <v>#if(defined(SERVO3_BIT))
#define SERVO3 44
#if (SERVO3_BIT&lt;32)
#define SERVO3_OUTREG OUT0
#define SERVO3_INREG IN0
#else
#define SERVO3_OUTREG OUT1
#define SERVO3_INREG IN1
#endif
#define DIO44 44
#define DIO44_BIT SERVO3_BIT
#define DIO44_OUTREG SERVO3_OUTREG
#define DIO44_INREG SERVO3_INREG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2"/>
        <v>#if(defined(SERVO4_BIT))
#define SERVO4 45
#if (SERVO4_BIT&lt;32)
#define SERVO4_OUTREG OUT0
#define SERVO4_INREG IN0
#else
#define SERVO4_OUTREG OUT1
#define SERVO4_INREG IN1
#endif
#define DIO45 45
#define DIO45_BIT SERVO4_BIT
#define DIO45_OUTREG SERVO4_OUTREG
#define DIO45_INREG SERVO4_INREG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2"/>
        <v>#if(defined(SERVO5_BIT))
#define SERVO5 46
#if (SERVO5_BIT&lt;32)
#define SERVO5_OUTREG OUT0
#define SERVO5_INREG IN0
#else
#define SERVO5_OUTREG OUT1
#define SERVO5_INREG IN1
#endif
#define DIO46 46
#define DIO46_BIT SERVO5_BIT
#define DIO46_OUTREG SERVO5_OUTREG
#define DIO46_INREG SERVO5_INREG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2"/>
        <v>#if(defined(DOUT0_BIT))
#define DOUT0 47
#if (DOUT0_BIT&lt;32)
#define DOUT0_OUTREG OUT0
#define DOUT0_INREG IN0
#else
#define DOUT0_OUTREG OUT1
#define DOUT0_INREG IN1
#endif
#define DIO47 47
#define DIO47_BIT DOUT0_BIT
#define DIO47_OUTREG DOUT0_OUTREG
#define DIO47_INREG DOUT0_INREG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2"/>
        <v>#if(defined(DOUT1_BIT))
#define DOUT1 48
#if (DOUT1_BIT&lt;32)
#define DOUT1_OUTREG OUT0
#define DOUT1_INREG IN0
#else
#define DOUT1_OUTREG OUT1
#define DOUT1_INREG IN1
#endif
#define DIO48 48
#define DIO48_BIT DOUT1_BIT
#define DIO48_OUTREG DOUT1_OUTREG
#define DIO48_INREG DOUT1_INREG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2"/>
        <v>#if(defined(DOUT2_BIT))
#define DOUT2 49
#if (DOUT2_BIT&lt;32)
#define DOUT2_OUTREG OUT0
#define DOUT2_INREG IN0
#else
#define DOUT2_OUTREG OUT1
#define DOUT2_INREG IN1
#endif
#define DIO49 49
#define DIO49_BIT DOUT2_BIT
#define DIO49_OUTREG DOUT2_OUTREG
#define DIO49_INREG DOUT2_INREG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2"/>
        <v>#if(defined(DOUT3_BIT))
#define DOUT3 50
#if (DOUT3_BIT&lt;32)
#define DOUT3_OUTREG OUT0
#define DOUT3_INREG IN0
#else
#define DOUT3_OUTREG OUT1
#define DOUT3_INREG IN1
#endif
#define DIO50 50
#define DIO50_BIT DOUT3_BIT
#define DIO50_OUTREG DOUT3_OUTREG
#define DIO50_INREG DOUT3_INREG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2"/>
        <v>#if(defined(DOUT4_BIT))
#define DOUT4 51
#if (DOUT4_BIT&lt;32)
#define DOUT4_OUTREG OUT0
#define DOUT4_INREG IN0
#else
#define DOUT4_OUTREG OUT1
#define DOUT4_INREG IN1
#endif
#define DIO51 51
#define DIO51_BIT DOUT4_BIT
#define DIO51_OUTREG DOUT4_OUTREG
#define DIO51_INREG DOUT4_INREG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2"/>
        <v>#if(defined(DOUT5_BIT))
#define DOUT5 52
#if (DOUT5_BIT&lt;32)
#define DOUT5_OUTREG OUT0
#define DOUT5_INREG IN0
#else
#define DOUT5_OUTREG OUT1
#define DOUT5_INREG IN1
#endif
#define DIO52 52
#define DIO52_BIT DOUT5_BIT
#define DIO52_OUTREG DOUT5_OUTREG
#define DIO52_INREG DOUT5_INREG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2"/>
        <v>#if(defined(DOUT6_BIT))
#define DOUT6 53
#if (DOUT6_BIT&lt;32)
#define DOUT6_OUTREG OUT0
#define DOUT6_INREG IN0
#else
#define DOUT6_OUTREG OUT1
#define DOUT6_INREG IN1
#endif
#define DIO53 53
#define DIO53_BIT DOUT6_BIT
#define DIO53_OUTREG DOUT6_OUTREG
#define DIO53_INREG DOUT6_INREG
#endif</v>
      </c>
      <c r="F55" s="9"/>
      <c r="G55" s="9"/>
      <c r="H55" s="9"/>
      <c r="I55" s="9" t="str">
        <f t="shared" ref="I55:I68" si="6">"#if "&amp;C55&amp;"&gt;=0
mcu_config_input("&amp;C55&amp;");
#ifdef "&amp;C55&amp;"_PULLUP
mcu_config_pullup("&amp;C55&amp;");
#endif
#ifdef "&amp;C55&amp;"_ISR
mcu_config_input_isr("&amp;C55&amp;");
#endif
#endif"</f>
        <v>#if DOUT6&gt;=0
mcu_config_input(DOUT6);
#ifdef DOUT6_PULLUP
mcu_config_pullup(DOUT6);
#endif
#ifdef DOUT6_ISR
mcu_config_input_isr(DOUT6);
#endif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2"/>
        <v>#if(defined(DOUT7_BIT))
#define DOUT7 54
#if (DOUT7_BIT&lt;32)
#define DOUT7_OUTREG OUT0
#define DOUT7_INREG IN0
#else
#define DOUT7_OUTREG OUT1
#define DOUT7_INREG IN1
#endif
#define DIO54 54
#define DIO54_BIT DOUT7_BIT
#define DIO54_OUTREG DOUT7_OUTREG
#define DIO54_INREG DOUT7_INREG
#endif</v>
      </c>
      <c r="F56" s="9"/>
      <c r="G56" s="9"/>
      <c r="H56" s="9"/>
      <c r="I56" s="9" t="str">
        <f t="shared" si="6"/>
        <v>#if DOUT7&gt;=0
mcu_config_input(DOUT7);
#ifdef DOUT7_PULLUP
mcu_config_pullup(DOUT7);
#endif
#ifdef DOUT7_ISR
mcu_config_input_isr(DOUT7);
#endif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2"/>
        <v>#if(defined(DOUT8_BIT))
#define DOUT8 55
#if (DOUT8_BIT&lt;32)
#define DOUT8_OUTREG OUT0
#define DOUT8_INREG IN0
#else
#define DOUT8_OUTREG OUT1
#define DOUT8_INREG IN1
#endif
#define DIO55 55
#define DIO55_BIT DOUT8_BIT
#define DIO55_OUTREG DOUT8_OUTREG
#define DIO55_INREG DOUT8_INREG
#endif</v>
      </c>
      <c r="F57" s="9"/>
      <c r="G57" s="9"/>
      <c r="H57" s="9"/>
      <c r="I57" s="9" t="str">
        <f t="shared" si="6"/>
        <v>#if DOUT8&gt;=0
mcu_config_input(DOUT8);
#ifdef DOUT8_PULLUP
mcu_config_pullup(DOUT8);
#endif
#ifdef DOUT8_ISR
mcu_config_input_isr(DOUT8);
#endif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2"/>
        <v>#if(defined(DOUT9_BIT))
#define DOUT9 56
#if (DOUT9_BIT&lt;32)
#define DOUT9_OUTREG OUT0
#define DOUT9_INREG IN0
#else
#define DOUT9_OUTREG OUT1
#define DOUT9_INREG IN1
#endif
#define DIO56 56
#define DIO56_BIT DOUT9_BIT
#define DIO56_OUTREG DOUT9_OUTREG
#define DIO56_INREG DOUT9_INREG
#endif</v>
      </c>
      <c r="F58" s="9"/>
      <c r="G58" s="9"/>
      <c r="H58" s="9"/>
      <c r="I58" s="9" t="str">
        <f t="shared" si="6"/>
        <v>#if DOUT9&gt;=0
mcu_config_input(DOUT9);
#ifdef DOUT9_PULLUP
mcu_config_pullup(DOUT9);
#endif
#ifdef DOUT9_ISR
mcu_config_input_isr(DOUT9);
#endif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2"/>
        <v>#if(defined(DOUT10_BIT))
#define DOUT10 57
#if (DOUT10_BIT&lt;32)
#define DOUT10_OUTREG OUT0
#define DOUT10_INREG IN0
#else
#define DOUT10_OUTREG OUT1
#define DOUT10_INREG IN1
#endif
#define DIO57 57
#define DIO57_BIT DOUT10_BIT
#define DIO57_OUTREG DOUT10_OUTREG
#define DIO57_INREG DOUT10_INREG
#endif</v>
      </c>
      <c r="F59" s="9"/>
      <c r="G59" s="9"/>
      <c r="H59" s="9"/>
      <c r="I59" s="9" t="str">
        <f t="shared" si="6"/>
        <v>#if DOUT10&gt;=0
mcu_config_input(DOUT10);
#ifdef DOUT10_PULLUP
mcu_config_pullup(DOUT10);
#endif
#ifdef DOUT10_ISR
mcu_config_input_isr(DOUT10);
#endif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2"/>
        <v>#if(defined(DOUT11_BIT))
#define DOUT11 58
#if (DOUT11_BIT&lt;32)
#define DOUT11_OUTREG OUT0
#define DOUT11_INREG IN0
#else
#define DOUT11_OUTREG OUT1
#define DOUT11_INREG IN1
#endif
#define DIO58 58
#define DIO58_BIT DOUT11_BIT
#define DIO58_OUTREG DOUT11_OUTREG
#define DIO58_INREG DOUT11_INREG
#endif</v>
      </c>
      <c r="F60" s="9"/>
      <c r="G60" s="9"/>
      <c r="H60" s="9"/>
      <c r="I60" s="9" t="str">
        <f t="shared" si="6"/>
        <v>#if DOUT11&gt;=0
mcu_config_input(DOUT11);
#ifdef DOUT11_PULLUP
mcu_config_pullup(DOUT11);
#endif
#ifdef DOUT11_ISR
mcu_config_input_isr(DOUT11);
#endif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2"/>
        <v>#if(defined(DOUT12_BIT))
#define DOUT12 59
#if (DOUT12_BIT&lt;32)
#define DOUT12_OUTREG OUT0
#define DOUT12_INREG IN0
#else
#define DOUT12_OUTREG OUT1
#define DOUT12_INREG IN1
#endif
#define DIO59 59
#define DIO59_BIT DOUT12_BIT
#define DIO59_OUTREG DOUT12_OUTREG
#define DIO59_INREG DOUT12_INREG
#endif</v>
      </c>
      <c r="F61" s="9"/>
      <c r="G61" s="9"/>
      <c r="H61" s="9"/>
      <c r="I61" s="9" t="str">
        <f t="shared" si="6"/>
        <v>#if DOUT12&gt;=0
mcu_config_input(DOUT12);
#ifdef DOUT12_PULLUP
mcu_config_pullup(DOUT12);
#endif
#ifdef DOUT12_ISR
mcu_config_input_isr(DOUT12);
#endif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2"/>
        <v>#if(defined(DOUT13_BIT))
#define DOUT13 60
#if (DOUT13_BIT&lt;32)
#define DOUT13_OUTREG OUT0
#define DOUT13_INREG IN0
#else
#define DOUT13_OUTREG OUT1
#define DOUT13_INREG IN1
#endif
#define DIO60 60
#define DIO60_BIT DOUT13_BIT
#define DIO60_OUTREG DOUT13_OUTREG
#define DIO60_INREG DOUT13_INREG
#endif</v>
      </c>
      <c r="F62" s="9"/>
      <c r="G62" s="9"/>
      <c r="H62" s="9"/>
      <c r="I62" s="9" t="str">
        <f t="shared" si="6"/>
        <v>#if DOUT13&gt;=0
mcu_config_input(DOUT13);
#ifdef DOUT13_PULLUP
mcu_config_pullup(DOUT13);
#endif
#ifdef DOUT13_ISR
mcu_config_input_isr(DOUT13);
#endif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2"/>
        <v>#if(defined(DOUT14_BIT))
#define DOUT14 61
#if (DOUT14_BIT&lt;32)
#define DOUT14_OUTREG OUT0
#define DOUT14_INREG IN0
#else
#define DOUT14_OUTREG OUT1
#define DOUT14_INREG IN1
#endif
#define DIO61 61
#define DIO61_BIT DOUT14_BIT
#define DIO61_OUTREG DOUT14_OUTREG
#define DIO61_INREG DOUT14_INREG
#endif</v>
      </c>
      <c r="F63" s="9"/>
      <c r="G63" s="9"/>
      <c r="H63" s="9"/>
      <c r="I63" s="9" t="str">
        <f t="shared" si="6"/>
        <v>#if DOUT14&gt;=0
mcu_config_input(DOUT14);
#ifdef DOUT14_PULLUP
mcu_config_pullup(DOUT14);
#endif
#ifdef DOUT14_ISR
mcu_config_input_isr(DOUT14);
#endif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2"/>
        <v>#if(defined(DOUT15_BIT))
#define DOUT15 62
#if (DOUT15_BIT&lt;32)
#define DOUT15_OUTREG OUT0
#define DOUT15_INREG IN0
#else
#define DOUT15_OUTREG OUT1
#define DOUT15_INREG IN1
#endif
#define DIO62 62
#define DIO62_BIT DOUT15_BIT
#define DIO62_OUTREG DOUT15_OUTREG
#define DIO62_INREG DOUT15_INREG
#endif</v>
      </c>
      <c r="F64" s="9"/>
      <c r="G64" s="9"/>
      <c r="H64" s="9"/>
      <c r="I64" s="9" t="str">
        <f t="shared" si="6"/>
        <v>#if DOUT15&gt;=0
mcu_config_input(DOUT15);
#ifdef DOUT15_PULLUP
mcu_config_pullup(DOUT15);
#endif
#ifdef DOUT15_ISR
mcu_config_input_isr(DOUT15);
#endif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2"/>
        <v>#if(defined(DOUT16_BIT))
#define DOUT16 63
#if (DOUT16_BIT&lt;32)
#define DOUT16_OUTREG OUT0
#define DOUT16_INREG IN0
#else
#define DOUT16_OUTREG OUT1
#define DOUT16_INREG IN1
#endif
#define DIO63 63
#define DIO63_BIT DOUT16_BIT
#define DIO63_OUTREG DOUT16_OUTREG
#define DIO63_INREG DOUT16_INREG
#endif</v>
      </c>
      <c r="F65" s="9"/>
      <c r="G65" s="9"/>
      <c r="H65" s="9"/>
      <c r="I65" s="9" t="str">
        <f t="shared" si="6"/>
        <v>#if DOUT16&gt;=0
mcu_config_input(DOUT16);
#ifdef DOUT16_PULLUP
mcu_config_pullup(DOUT16);
#endif
#ifdef DOUT16_ISR
mcu_config_input_isr(DOUT16);
#endif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2"/>
        <v>#if(defined(DOUT17_BIT))
#define DOUT17 64
#if (DOUT17_BIT&lt;32)
#define DOUT17_OUTREG OUT0
#define DOUT17_INREG IN0
#else
#define DOUT17_OUTREG OUT1
#define DOUT17_INREG IN1
#endif
#define DIO64 64
#define DIO64_BIT DOUT17_BIT
#define DIO64_OUTREG DOUT17_OUTREG
#define DIO64_INREG DOUT17_INREG
#endif</v>
      </c>
      <c r="F66" s="9"/>
      <c r="G66" s="9"/>
      <c r="H66" s="9"/>
      <c r="I66" s="9" t="str">
        <f t="shared" si="6"/>
        <v>#if DOUT17&gt;=0
mcu_config_input(DOUT17);
#ifdef DOUT17_PULLUP
mcu_config_pullup(DOUT17);
#endif
#ifdef DOUT17_ISR
mcu_config_input_isr(DOUT17);
#endif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2"/>
        <v>#if(defined(DOUT18_BIT))
#define DOUT18 65
#if (DOUT18_BIT&lt;32)
#define DOUT18_OUTREG OUT0
#define DOUT18_INREG IN0
#else
#define DOUT18_OUTREG OUT1
#define DOUT18_INREG IN1
#endif
#define DIO65 65
#define DIO65_BIT DOUT18_BIT
#define DIO65_OUTREG DOUT18_OUTREG
#define DIO65_INREG DOUT18_INREG
#endif</v>
      </c>
      <c r="F67" s="9"/>
      <c r="G67" s="9"/>
      <c r="H67" s="9"/>
      <c r="I67" s="9" t="str">
        <f t="shared" si="6"/>
        <v>#if DOUT18&gt;=0
mcu_config_input(DOUT18);
#ifdef DOUT18_PULLUP
mcu_config_pullup(DOUT18);
#endif
#ifdef DOUT18_ISR
mcu_config_input_isr(DOUT18);
#endif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ref="E68:E149" si="7">"#if(defined("&amp;C68&amp;"_BIT))
#define "&amp;C68&amp;" "&amp;A68&amp;"
#if ("&amp;C68&amp;"_BIT&lt;32)
#define "&amp;C68&amp;"_OUTREG OUT0
#define "&amp;C68&amp;"_INREG IN0
#else
#define "&amp;C68&amp;"_OUTREG OUT1
#define "&amp;C68&amp;"_INREG IN1
#endif
#define "&amp;B68&amp;" "&amp;A68&amp;"
#define "&amp;B68&amp;"_BIT "&amp;C68&amp;"_BIT
#define "&amp;B68&amp;"_OUTREG "&amp;C68&amp;"_OUTREG
#define "&amp;B68&amp;"_INREG "&amp;C68&amp;"_INREG
#endif"</f>
        <v>#if(defined(DOUT19_BIT))
#define DOUT19 66
#if (DOUT19_BIT&lt;32)
#define DOUT19_OUTREG OUT0
#define DOUT19_INREG IN0
#else
#define DOUT19_OUTREG OUT1
#define DOUT19_INREG IN1
#endif
#define DIO66 66
#define DIO66_BIT DOUT19_BIT
#define DIO66_OUTREG DOUT19_OUTREG
#define DIO66_INREG DOUT19_INREG
#endif</v>
      </c>
      <c r="F68" s="9"/>
      <c r="G68" s="9"/>
      <c r="H68" s="9"/>
      <c r="I68" s="9" t="str">
        <f t="shared" si="6"/>
        <v>#if DOUT19&gt;=0
mcu_config_input(DOUT19);
#ifdef DOUT19_PULLUP
mcu_config_pullup(DOUT19);
#endif
#ifdef DOUT19_ISR
mcu_config_input_isr(DOUT19);
#endif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7"/>
        <v>#if(defined(DOUT20_BIT))
#define DOUT20 67
#if (DOUT20_BIT&lt;32)
#define DOUT20_OUTREG OUT0
#define DOUT20_INREG IN0
#else
#define DOUT20_OUTREG OUT1
#define DOUT20_INREG IN1
#endif
#define DIO67 67
#define DIO67_BIT DOUT20_BIT
#define DIO67_OUTREG DOUT20_OUTREG
#define DIO67_INREG DOUT20_INREG
#endif</v>
      </c>
      <c r="F69" s="9"/>
      <c r="G69" s="9"/>
      <c r="H69" s="9"/>
      <c r="I69" s="4" t="str">
        <f t="shared" ref="I69:I80" si="8">"#if "&amp;C69&amp;"&gt;=0
mcu_config_input("&amp;C69&amp;");
#endif"</f>
        <v>#if DOUT20&gt;=0
mcu_config_input(DOUT20);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7"/>
        <v>#if(defined(DOUT21_BIT))
#define DOUT21 68
#if (DOUT21_BIT&lt;32)
#define DOUT21_OUTREG OUT0
#define DOUT21_INREG IN0
#else
#define DOUT21_OUTREG OUT1
#define DOUT21_INREG IN1
#endif
#define DIO68 68
#define DIO68_BIT DOUT21_BIT
#define DIO68_OUTREG DOUT21_OUTREG
#define DIO68_INREG DOUT21_INREG
#endif</v>
      </c>
      <c r="F70" s="9"/>
      <c r="G70" s="9"/>
      <c r="H70" s="9"/>
      <c r="I70" s="4" t="str">
        <f t="shared" si="8"/>
        <v>#if DOUT21&gt;=0
mcu_config_input(DOUT21);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7"/>
        <v>#if(defined(DOUT22_BIT))
#define DOUT22 69
#if (DOUT22_BIT&lt;32)
#define DOUT22_OUTREG OUT0
#define DOUT22_INREG IN0
#else
#define DOUT22_OUTREG OUT1
#define DOUT22_INREG IN1
#endif
#define DIO69 69
#define DIO69_BIT DOUT22_BIT
#define DIO69_OUTREG DOUT22_OUTREG
#define DIO69_INREG DOUT22_INREG
#endif</v>
      </c>
      <c r="F71" s="9"/>
      <c r="G71" s="9"/>
      <c r="H71" s="9"/>
      <c r="I71" s="4" t="str">
        <f t="shared" si="8"/>
        <v>#if DOUT22&gt;=0
mcu_config_input(DOUT22);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7"/>
        <v>#if(defined(DOUT23_BIT))
#define DOUT23 70
#if (DOUT23_BIT&lt;32)
#define DOUT23_OUTREG OUT0
#define DOUT23_INREG IN0
#else
#define DOUT23_OUTREG OUT1
#define DOUT23_INREG IN1
#endif
#define DIO70 70
#define DIO70_BIT DOUT23_BIT
#define DIO70_OUTREG DOUT23_OUTREG
#define DIO70_INREG DOUT23_INREG
#endif</v>
      </c>
      <c r="F72" s="9"/>
      <c r="G72" s="9"/>
      <c r="H72" s="9"/>
      <c r="I72" s="4" t="str">
        <f t="shared" si="8"/>
        <v>#if DOUT23&gt;=0
mcu_config_input(DOUT23);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7"/>
        <v>#if(defined(DOUT24_BIT))
#define DOUT24 71
#if (DOUT24_BIT&lt;32)
#define DOUT24_OUTREG OUT0
#define DOUT24_INREG IN0
#else
#define DOUT24_OUTREG OUT1
#define DOUT24_INREG IN1
#endif
#define DIO71 71
#define DIO71_BIT DOUT24_BIT
#define DIO71_OUTREG DOUT24_OUTREG
#define DIO71_INREG DOUT24_INREG
#endif</v>
      </c>
      <c r="F73" s="9"/>
      <c r="G73" s="9"/>
      <c r="H73" s="9"/>
      <c r="I73" s="4" t="str">
        <f t="shared" si="8"/>
        <v>#if DOUT24&gt;=0
mcu_config_input(DOUT24);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7"/>
        <v>#if(defined(DOUT25_BIT))
#define DOUT25 72
#if (DOUT25_BIT&lt;32)
#define DOUT25_OUTREG OUT0
#define DOUT25_INREG IN0
#else
#define DOUT25_OUTREG OUT1
#define DOUT25_INREG IN1
#endif
#define DIO72 72
#define DIO72_BIT DOUT25_BIT
#define DIO72_OUTREG DOUT25_OUTREG
#define DIO72_INREG DOUT25_INREG
#endif</v>
      </c>
      <c r="F74" s="9"/>
      <c r="G74" s="9"/>
      <c r="H74" s="12"/>
      <c r="I74" s="4" t="str">
        <f t="shared" si="8"/>
        <v>#if DOUT25&gt;=0
mcu_config_input(DOUT25);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7"/>
        <v>#if(defined(DOUT26_BIT))
#define DOUT26 73
#if (DOUT26_BIT&lt;32)
#define DOUT26_OUTREG OUT0
#define DOUT26_INREG IN0
#else
#define DOUT26_OUTREG OUT1
#define DOUT26_INREG IN1
#endif
#define DIO73 73
#define DIO73_BIT DOUT26_BIT
#define DIO73_OUTREG DOUT26_OUTREG
#define DIO73_INREG DOUT26_INREG
#endif</v>
      </c>
      <c r="F75" s="9"/>
      <c r="G75" s="9"/>
      <c r="H75" s="12"/>
      <c r="I75" s="4" t="str">
        <f t="shared" si="8"/>
        <v>#if DOUT26&gt;=0
mcu_config_input(DOUT26);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7"/>
        <v>#if(defined(DOUT27_BIT))
#define DOUT27 74
#if (DOUT27_BIT&lt;32)
#define DOUT27_OUTREG OUT0
#define DOUT27_INREG IN0
#else
#define DOUT27_OUTREG OUT1
#define DOUT27_INREG IN1
#endif
#define DIO74 74
#define DIO74_BIT DOUT27_BIT
#define DIO74_OUTREG DOUT27_OUTREG
#define DIO74_INREG DOUT27_INREG
#endif</v>
      </c>
      <c r="F76" s="9"/>
      <c r="G76" s="9"/>
      <c r="H76" s="12"/>
      <c r="I76" s="4" t="str">
        <f t="shared" si="8"/>
        <v>#if DOUT27&gt;=0
mcu_config_input(DOUT27);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7"/>
        <v>#if(defined(DOUT28_BIT))
#define DOUT28 75
#if (DOUT28_BIT&lt;32)
#define DOUT28_OUTREG OUT0
#define DOUT28_INREG IN0
#else
#define DOUT28_OUTREG OUT1
#define DOUT28_INREG IN1
#endif
#define DIO75 75
#define DIO75_BIT DOUT28_BIT
#define DIO75_OUTREG DOUT28_OUTREG
#define DIO75_INREG DOUT28_INREG
#endif</v>
      </c>
      <c r="F77" s="9"/>
      <c r="G77" s="9"/>
      <c r="H77" s="12"/>
      <c r="I77" s="4" t="str">
        <f t="shared" si="8"/>
        <v>#if DOUT28&gt;=0
mcu_config_input(DOUT28);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7"/>
        <v>#if(defined(DOUT29_BIT))
#define DOUT29 76
#if (DOUT29_BIT&lt;32)
#define DOUT29_OUTREG OUT0
#define DOUT29_INREG IN0
#else
#define DOUT29_OUTREG OUT1
#define DOUT29_INREG IN1
#endif
#define DIO76 76
#define DIO76_BIT DOUT29_BIT
#define DIO76_OUTREG DOUT29_OUTREG
#define DIO76_INREG DOUT29_INREG
#endif</v>
      </c>
      <c r="F78" s="9"/>
      <c r="G78" s="9"/>
      <c r="H78" s="12"/>
      <c r="I78" s="4" t="str">
        <f t="shared" si="8"/>
        <v>#if DOUT29&gt;=0
mcu_config_input(DOUT29);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7"/>
        <v>#if(defined(DOUT30_BIT))
#define DOUT30 77
#if (DOUT30_BIT&lt;32)
#define DOUT30_OUTREG OUT0
#define DOUT30_INREG IN0
#else
#define DOUT30_OUTREG OUT1
#define DOUT30_INREG IN1
#endif
#define DIO77 77
#define DIO77_BIT DOUT30_BIT
#define DIO77_OUTREG DOUT30_OUTREG
#define DIO77_INREG DOUT30_INREG
#endif</v>
      </c>
      <c r="F79" s="9"/>
      <c r="G79" s="9"/>
      <c r="H79" s="12"/>
      <c r="I79" s="4" t="str">
        <f t="shared" si="8"/>
        <v>#if DOUT30&gt;=0
mcu_config_input(DOUT30);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7"/>
        <v>#if(defined(DOUT31_BIT))
#define DOUT31 78
#if (DOUT31_BIT&lt;32)
#define DOUT31_OUTREG OUT0
#define DOUT31_INREG IN0
#else
#define DOUT31_OUTREG OUT1
#define DOUT31_INREG IN1
#endif
#define DIO78 78
#define DIO78_BIT DOUT31_BIT
#define DIO78_OUTREG DOUT31_OUTREG
#define DIO78_INREG DOUT31_INREG
#endif</v>
      </c>
      <c r="F80" s="11" t="s">
        <v>122</v>
      </c>
      <c r="G80" s="11" t="s">
        <v>123</v>
      </c>
      <c r="H80" s="12"/>
      <c r="I80" s="4" t="str">
        <f t="shared" si="8"/>
        <v>#if DOUT31&gt;=0
mcu_config_input(DOUT31);
#endif</v>
      </c>
    </row>
    <row r="81" spans="1:9" ht="15" customHeight="1" x14ac:dyDescent="0.25">
      <c r="A81" s="4">
        <v>79</v>
      </c>
      <c r="B81" s="4" t="str">
        <f t="shared" ref="B81:B98" si="9">"DIO"&amp;A81</f>
        <v>DIO79</v>
      </c>
      <c r="C81" s="4" t="s">
        <v>527</v>
      </c>
      <c r="D81" s="4">
        <v>12</v>
      </c>
      <c r="E81" s="9" t="str">
        <f t="shared" ref="E81:E98" si="10">"#if(defined("&amp;C81&amp;"_BIT))
#define "&amp;C81&amp;" "&amp;A81&amp;"
#if ("&amp;C81&amp;"_BIT&lt;32)
#define "&amp;C81&amp;"_OUTREG OUT0
#define "&amp;C81&amp;"_INREG IN0
#else
#define "&amp;C81&amp;"_OUTREG OUT1
#define "&amp;C81&amp;"_INREG IN1
#endif
#define "&amp;B81&amp;" "&amp;A81&amp;"
#define "&amp;B81&amp;"_BIT "&amp;C81&amp;"_BIT
#define "&amp;B81&amp;"_OUTREG "&amp;C81&amp;"_OUTREG
#define "&amp;B81&amp;"_INREG "&amp;C81&amp;"_INREG
#endif"</f>
        <v>#if(defined(DOUT32_BIT))
#define DOUT32 79
#if (DOUT32_BIT&lt;32)
#define DOUT32_OUTREG OUT0
#define DOUT32_INREG IN0
#else
#define DOUT32_OUTREG OUT1
#define DOUT32_INREG IN1
#endif
#define DIO79 79
#define DIO79_BIT DOUT32_BIT
#define DIO79_OUTREG DOUT32_OUTREG
#define DIO79_INREG DOUT32_INREG
#endif</v>
      </c>
      <c r="F81" s="11"/>
      <c r="G81" s="11"/>
      <c r="H81" s="12"/>
      <c r="I81" s="4"/>
    </row>
    <row r="82" spans="1:9" ht="15" customHeight="1" x14ac:dyDescent="0.25">
      <c r="A82" s="4">
        <v>80</v>
      </c>
      <c r="B82" s="4" t="str">
        <f t="shared" si="9"/>
        <v>DIO80</v>
      </c>
      <c r="C82" s="4" t="s">
        <v>528</v>
      </c>
      <c r="D82" s="4">
        <v>13</v>
      </c>
      <c r="E82" s="9" t="str">
        <f t="shared" si="10"/>
        <v>#if(defined(DOUT33_BIT))
#define DOUT33 80
#if (DOUT33_BIT&lt;32)
#define DOUT33_OUTREG OUT0
#define DOUT33_INREG IN0
#else
#define DOUT33_OUTREG OUT1
#define DOUT33_INREG IN1
#endif
#define DIO80 80
#define DIO80_BIT DOUT33_BIT
#define DIO80_OUTREG DOUT33_OUTREG
#define DIO80_INREG DOUT33_INREG
#endif</v>
      </c>
      <c r="F82" s="11"/>
      <c r="G82" s="11"/>
      <c r="H82" s="12"/>
      <c r="I82" s="4"/>
    </row>
    <row r="83" spans="1:9" ht="15" customHeight="1" x14ac:dyDescent="0.25">
      <c r="A83" s="4">
        <v>81</v>
      </c>
      <c r="B83" s="4" t="str">
        <f t="shared" si="9"/>
        <v>DIO81</v>
      </c>
      <c r="C83" s="4" t="s">
        <v>529</v>
      </c>
      <c r="D83" s="4">
        <v>14</v>
      </c>
      <c r="E83" s="9" t="str">
        <f t="shared" si="10"/>
        <v>#if(defined(DOUT34_BIT))
#define DOUT34 81
#if (DOUT34_BIT&lt;32)
#define DOUT34_OUTREG OUT0
#define DOUT34_INREG IN0
#else
#define DOUT34_OUTREG OUT1
#define DOUT34_INREG IN1
#endif
#define DIO81 81
#define DIO81_BIT DOUT34_BIT
#define DIO81_OUTREG DOUT34_OUTREG
#define DIO81_INREG DOUT34_INREG
#endif</v>
      </c>
      <c r="F83" s="11"/>
      <c r="G83" s="11"/>
      <c r="H83" s="12"/>
      <c r="I83" s="4"/>
    </row>
    <row r="84" spans="1:9" ht="15" customHeight="1" x14ac:dyDescent="0.25">
      <c r="A84" s="4">
        <v>82</v>
      </c>
      <c r="B84" s="4" t="str">
        <f t="shared" si="9"/>
        <v>DIO82</v>
      </c>
      <c r="C84" s="4" t="s">
        <v>530</v>
      </c>
      <c r="D84" s="4">
        <v>15</v>
      </c>
      <c r="E84" s="9" t="str">
        <f t="shared" si="10"/>
        <v>#if(defined(DOUT35_BIT))
#define DOUT35 82
#if (DOUT35_BIT&lt;32)
#define DOUT35_OUTREG OUT0
#define DOUT35_INREG IN0
#else
#define DOUT35_OUTREG OUT1
#define DOUT35_INREG IN1
#endif
#define DIO82 82
#define DIO82_BIT DOUT35_BIT
#define DIO82_OUTREG DOUT35_OUTREG
#define DIO82_INREG DOUT35_INREG
#endif</v>
      </c>
      <c r="F84" s="11"/>
      <c r="G84" s="11"/>
      <c r="H84" s="12"/>
      <c r="I84" s="4"/>
    </row>
    <row r="85" spans="1:9" ht="15" customHeight="1" x14ac:dyDescent="0.25">
      <c r="A85" s="4">
        <v>83</v>
      </c>
      <c r="B85" s="4" t="str">
        <f t="shared" si="9"/>
        <v>DIO83</v>
      </c>
      <c r="C85" s="4" t="s">
        <v>531</v>
      </c>
      <c r="D85" s="4">
        <v>16</v>
      </c>
      <c r="E85" s="9" t="str">
        <f t="shared" si="10"/>
        <v>#if(defined(DOUT36_BIT))
#define DOUT36 83
#if (DOUT36_BIT&lt;32)
#define DOUT36_OUTREG OUT0
#define DOUT36_INREG IN0
#else
#define DOUT36_OUTREG OUT1
#define DOUT36_INREG IN1
#endif
#define DIO83 83
#define DIO83_BIT DOUT36_BIT
#define DIO83_OUTREG DOUT36_OUTREG
#define DIO83_INREG DOUT36_INREG
#endif</v>
      </c>
      <c r="F85" s="11"/>
      <c r="G85" s="11"/>
      <c r="H85" s="12"/>
      <c r="I85" s="4"/>
    </row>
    <row r="86" spans="1:9" ht="15" customHeight="1" x14ac:dyDescent="0.25">
      <c r="A86" s="4">
        <v>84</v>
      </c>
      <c r="B86" s="4" t="str">
        <f t="shared" si="9"/>
        <v>DIO84</v>
      </c>
      <c r="C86" s="4" t="s">
        <v>532</v>
      </c>
      <c r="D86" s="4">
        <v>17</v>
      </c>
      <c r="E86" s="9" t="str">
        <f t="shared" si="10"/>
        <v>#if(defined(DOUT37_BIT))
#define DOUT37 84
#if (DOUT37_BIT&lt;32)
#define DOUT37_OUTREG OUT0
#define DOUT37_INREG IN0
#else
#define DOUT37_OUTREG OUT1
#define DOUT37_INREG IN1
#endif
#define DIO84 84
#define DIO84_BIT DOUT37_BIT
#define DIO84_OUTREG DOUT37_OUTREG
#define DIO84_INREG DOUT37_INREG
#endif</v>
      </c>
      <c r="F86" s="11"/>
      <c r="G86" s="11"/>
      <c r="H86" s="12"/>
      <c r="I86" s="4"/>
    </row>
    <row r="87" spans="1:9" ht="15" customHeight="1" x14ac:dyDescent="0.25">
      <c r="A87" s="4">
        <v>85</v>
      </c>
      <c r="B87" s="4" t="str">
        <f t="shared" si="9"/>
        <v>DIO85</v>
      </c>
      <c r="C87" s="4" t="s">
        <v>533</v>
      </c>
      <c r="D87" s="4">
        <v>18</v>
      </c>
      <c r="E87" s="9" t="str">
        <f t="shared" si="10"/>
        <v>#if(defined(DOUT38_BIT))
#define DOUT38 85
#if (DOUT38_BIT&lt;32)
#define DOUT38_OUTREG OUT0
#define DOUT38_INREG IN0
#else
#define DOUT38_OUTREG OUT1
#define DOUT38_INREG IN1
#endif
#define DIO85 85
#define DIO85_BIT DOUT38_BIT
#define DIO85_OUTREG DOUT38_OUTREG
#define DIO85_INREG DOUT38_INREG
#endif</v>
      </c>
      <c r="F87" s="11"/>
      <c r="G87" s="11"/>
      <c r="H87" s="12"/>
      <c r="I87" s="4"/>
    </row>
    <row r="88" spans="1:9" ht="15" customHeight="1" x14ac:dyDescent="0.25">
      <c r="A88" s="4">
        <v>86</v>
      </c>
      <c r="B88" s="4" t="str">
        <f t="shared" si="9"/>
        <v>DIO86</v>
      </c>
      <c r="C88" s="4" t="s">
        <v>534</v>
      </c>
      <c r="D88" s="4">
        <v>19</v>
      </c>
      <c r="E88" s="9" t="str">
        <f t="shared" si="10"/>
        <v>#if(defined(DOUT39_BIT))
#define DOUT39 86
#if (DOUT39_BIT&lt;32)
#define DOUT39_OUTREG OUT0
#define DOUT39_INREG IN0
#else
#define DOUT39_OUTREG OUT1
#define DOUT39_INREG IN1
#endif
#define DIO86 86
#define DIO86_BIT DOUT39_BIT
#define DIO86_OUTREG DOUT39_OUTREG
#define DIO86_INREG DOUT39_INREG
#endif</v>
      </c>
      <c r="F88" s="11"/>
      <c r="G88" s="11"/>
      <c r="H88" s="12"/>
      <c r="I88" s="4"/>
    </row>
    <row r="89" spans="1:9" ht="15" customHeight="1" x14ac:dyDescent="0.25">
      <c r="A89" s="4">
        <v>87</v>
      </c>
      <c r="B89" s="4" t="str">
        <f t="shared" si="9"/>
        <v>DIO87</v>
      </c>
      <c r="C89" s="4" t="s">
        <v>535</v>
      </c>
      <c r="D89" s="4">
        <v>20</v>
      </c>
      <c r="E89" s="9" t="str">
        <f t="shared" si="10"/>
        <v>#if(defined(DOUT40_BIT))
#define DOUT40 87
#if (DOUT40_BIT&lt;32)
#define DOUT40_OUTREG OUT0
#define DOUT40_INREG IN0
#else
#define DOUT40_OUTREG OUT1
#define DOUT40_INREG IN1
#endif
#define DIO87 87
#define DIO87_BIT DOUT40_BIT
#define DIO87_OUTREG DOUT40_OUTREG
#define DIO87_INREG DOUT40_INREG
#endif</v>
      </c>
      <c r="F89" s="11"/>
      <c r="G89" s="11"/>
      <c r="H89" s="12"/>
      <c r="I89" s="4"/>
    </row>
    <row r="90" spans="1:9" ht="15" customHeight="1" x14ac:dyDescent="0.25">
      <c r="A90" s="4">
        <v>88</v>
      </c>
      <c r="B90" s="4" t="str">
        <f t="shared" si="9"/>
        <v>DIO88</v>
      </c>
      <c r="C90" s="4" t="s">
        <v>536</v>
      </c>
      <c r="D90" s="4">
        <v>21</v>
      </c>
      <c r="E90" s="9" t="str">
        <f t="shared" si="10"/>
        <v>#if(defined(DOUT41_BIT))
#define DOUT41 88
#if (DOUT41_BIT&lt;32)
#define DOUT41_OUTREG OUT0
#define DOUT41_INREG IN0
#else
#define DOUT41_OUTREG OUT1
#define DOUT41_INREG IN1
#endif
#define DIO88 88
#define DIO88_BIT DOUT41_BIT
#define DIO88_OUTREG DOUT41_OUTREG
#define DIO88_INREG DOUT41_INREG
#endif</v>
      </c>
      <c r="F90" s="11"/>
      <c r="G90" s="11"/>
      <c r="H90" s="12"/>
      <c r="I90" s="4"/>
    </row>
    <row r="91" spans="1:9" ht="15" customHeight="1" x14ac:dyDescent="0.25">
      <c r="A91" s="4">
        <v>89</v>
      </c>
      <c r="B91" s="4" t="str">
        <f t="shared" si="9"/>
        <v>DIO89</v>
      </c>
      <c r="C91" s="4" t="s">
        <v>537</v>
      </c>
      <c r="D91" s="4">
        <v>22</v>
      </c>
      <c r="E91" s="9" t="str">
        <f t="shared" si="10"/>
        <v>#if(defined(DOUT42_BIT))
#define DOUT42 89
#if (DOUT42_BIT&lt;32)
#define DOUT42_OUTREG OUT0
#define DOUT42_INREG IN0
#else
#define DOUT42_OUTREG OUT1
#define DOUT42_INREG IN1
#endif
#define DIO89 89
#define DIO89_BIT DOUT42_BIT
#define DIO89_OUTREG DOUT42_OUTREG
#define DIO89_INREG DOUT42_INREG
#endif</v>
      </c>
      <c r="F91" s="11"/>
      <c r="G91" s="11"/>
      <c r="H91" s="12"/>
      <c r="I91" s="4"/>
    </row>
    <row r="92" spans="1:9" ht="15" customHeight="1" x14ac:dyDescent="0.25">
      <c r="A92" s="4">
        <v>90</v>
      </c>
      <c r="B92" s="4" t="str">
        <f t="shared" si="9"/>
        <v>DIO90</v>
      </c>
      <c r="C92" s="4" t="s">
        <v>538</v>
      </c>
      <c r="D92" s="4">
        <v>23</v>
      </c>
      <c r="E92" s="9" t="str">
        <f t="shared" si="10"/>
        <v>#if(defined(DOUT43_BIT))
#define DOUT43 90
#if (DOUT43_BIT&lt;32)
#define DOUT43_OUTREG OUT0
#define DOUT43_INREG IN0
#else
#define DOUT43_OUTREG OUT1
#define DOUT43_INREG IN1
#endif
#define DIO90 90
#define DIO90_BIT DOUT43_BIT
#define DIO90_OUTREG DOUT43_OUTREG
#define DIO90_INREG DOUT43_INREG
#endif</v>
      </c>
      <c r="F92" s="11"/>
      <c r="G92" s="11"/>
      <c r="H92" s="12"/>
      <c r="I92" s="4"/>
    </row>
    <row r="93" spans="1:9" ht="15" customHeight="1" x14ac:dyDescent="0.25">
      <c r="A93" s="4">
        <v>91</v>
      </c>
      <c r="B93" s="4" t="str">
        <f t="shared" si="9"/>
        <v>DIO91</v>
      </c>
      <c r="C93" s="4" t="s">
        <v>539</v>
      </c>
      <c r="D93" s="4">
        <v>24</v>
      </c>
      <c r="E93" s="9" t="str">
        <f t="shared" si="10"/>
        <v>#if(defined(DOUT44_BIT))
#define DOUT44 91
#if (DOUT44_BIT&lt;32)
#define DOUT44_OUTREG OUT0
#define DOUT44_INREG IN0
#else
#define DOUT44_OUTREG OUT1
#define DOUT44_INREG IN1
#endif
#define DIO91 91
#define DIO91_BIT DOUT44_BIT
#define DIO91_OUTREG DOUT44_OUTREG
#define DIO91_INREG DOUT44_INREG
#endif</v>
      </c>
      <c r="F93" s="11"/>
      <c r="G93" s="11"/>
      <c r="H93" s="12"/>
      <c r="I93" s="4"/>
    </row>
    <row r="94" spans="1:9" ht="15" customHeight="1" x14ac:dyDescent="0.25">
      <c r="A94" s="4">
        <v>92</v>
      </c>
      <c r="B94" s="4" t="str">
        <f t="shared" si="9"/>
        <v>DIO92</v>
      </c>
      <c r="C94" s="4" t="s">
        <v>540</v>
      </c>
      <c r="D94" s="4">
        <v>25</v>
      </c>
      <c r="E94" s="9" t="str">
        <f t="shared" si="10"/>
        <v>#if(defined(DOUT45_BIT))
#define DOUT45 92
#if (DOUT45_BIT&lt;32)
#define DOUT45_OUTREG OUT0
#define DOUT45_INREG IN0
#else
#define DOUT45_OUTREG OUT1
#define DOUT45_INREG IN1
#endif
#define DIO92 92
#define DIO92_BIT DOUT45_BIT
#define DIO92_OUTREG DOUT45_OUTREG
#define DIO92_INREG DOUT45_INREG
#endif</v>
      </c>
      <c r="F94" s="11"/>
      <c r="G94" s="11"/>
      <c r="H94" s="12"/>
      <c r="I94" s="4"/>
    </row>
    <row r="95" spans="1:9" ht="15" customHeight="1" x14ac:dyDescent="0.25">
      <c r="A95" s="4">
        <v>93</v>
      </c>
      <c r="B95" s="4" t="str">
        <f t="shared" si="9"/>
        <v>DIO93</v>
      </c>
      <c r="C95" s="4" t="s">
        <v>541</v>
      </c>
      <c r="D95" s="4">
        <v>26</v>
      </c>
      <c r="E95" s="9" t="str">
        <f t="shared" si="10"/>
        <v>#if(defined(DOUT46_BIT))
#define DOUT46 93
#if (DOUT46_BIT&lt;32)
#define DOUT46_OUTREG OUT0
#define DOUT46_INREG IN0
#else
#define DOUT46_OUTREG OUT1
#define DOUT46_INREG IN1
#endif
#define DIO93 93
#define DIO93_BIT DOUT46_BIT
#define DIO93_OUTREG DOUT46_OUTREG
#define DIO93_INREG DOUT46_INREG
#endif</v>
      </c>
      <c r="F95" s="11"/>
      <c r="G95" s="11"/>
      <c r="H95" s="12"/>
      <c r="I95" s="4"/>
    </row>
    <row r="96" spans="1:9" ht="15" customHeight="1" x14ac:dyDescent="0.25">
      <c r="A96" s="4">
        <v>94</v>
      </c>
      <c r="B96" s="4" t="str">
        <f t="shared" si="9"/>
        <v>DIO94</v>
      </c>
      <c r="C96" s="4" t="s">
        <v>542</v>
      </c>
      <c r="D96" s="4">
        <v>27</v>
      </c>
      <c r="E96" s="9" t="str">
        <f t="shared" si="10"/>
        <v>#if(defined(DOUT47_BIT))
#define DOUT47 94
#if (DOUT47_BIT&lt;32)
#define DOUT47_OUTREG OUT0
#define DOUT47_INREG IN0
#else
#define DOUT47_OUTREG OUT1
#define DOUT47_INREG IN1
#endif
#define DIO94 94
#define DIO94_BIT DOUT47_BIT
#define DIO94_OUTREG DOUT47_OUTREG
#define DIO94_INREG DOUT47_INREG
#endif</v>
      </c>
      <c r="F96" s="11"/>
      <c r="G96" s="11"/>
      <c r="H96" s="12"/>
      <c r="I96" s="4"/>
    </row>
    <row r="97" spans="1:10" ht="15" customHeight="1" x14ac:dyDescent="0.25">
      <c r="A97" s="4">
        <v>95</v>
      </c>
      <c r="B97" s="4" t="str">
        <f t="shared" si="9"/>
        <v>DIO95</v>
      </c>
      <c r="C97" s="4" t="s">
        <v>543</v>
      </c>
      <c r="D97" s="4">
        <v>28</v>
      </c>
      <c r="E97" s="9" t="str">
        <f t="shared" si="10"/>
        <v>#if(defined(DOUT48_BIT))
#define DOUT48 95
#if (DOUT48_BIT&lt;32)
#define DOUT48_OUTREG OUT0
#define DOUT48_INREG IN0
#else
#define DOUT48_OUTREG OUT1
#define DOUT48_INREG IN1
#endif
#define DIO95 95
#define DIO95_BIT DOUT48_BIT
#define DIO95_OUTREG DOUT48_OUTREG
#define DIO95_INREG DOUT48_INREG
#endif</v>
      </c>
      <c r="F97" s="11"/>
      <c r="G97" s="11"/>
      <c r="H97" s="12"/>
      <c r="I97" s="4"/>
    </row>
    <row r="98" spans="1:10" ht="15" customHeight="1" x14ac:dyDescent="0.25">
      <c r="A98" s="4">
        <v>96</v>
      </c>
      <c r="B98" s="4" t="str">
        <f t="shared" si="9"/>
        <v>DIO96</v>
      </c>
      <c r="C98" s="4" t="s">
        <v>544</v>
      </c>
      <c r="D98" s="4">
        <v>29</v>
      </c>
      <c r="E98" s="9" t="str">
        <f t="shared" si="10"/>
        <v>#if(defined(DOUT49_BIT))
#define DOUT49 96
#if (DOUT49_BIT&lt;32)
#define DOUT49_OUTREG OUT0
#define DOUT49_INREG IN0
#else
#define DOUT49_OUTREG OUT1
#define DOUT49_INREG IN1
#endif
#define DIO96 96
#define DIO96_BIT DOUT49_BIT
#define DIO96_OUTREG DOUT49_OUTREG
#define DIO96_INREG DOUT49_INREG
#endif</v>
      </c>
      <c r="F98" s="11"/>
      <c r="G98" s="11"/>
      <c r="H98" s="12"/>
      <c r="I98" s="4"/>
    </row>
    <row r="99" spans="1:10" ht="15" customHeight="1" x14ac:dyDescent="0.25">
      <c r="A99" s="4">
        <v>100</v>
      </c>
      <c r="B99" s="4" t="str">
        <f t="shared" si="0"/>
        <v>DIO100</v>
      </c>
      <c r="C99" s="4" t="s">
        <v>59</v>
      </c>
      <c r="D99" s="4">
        <v>12</v>
      </c>
      <c r="E99" s="9" t="str">
        <f t="shared" si="7"/>
        <v>#if(defined(LIMIT_X_BIT))
#define LIMIT_X 100
#if (LIMIT_X_BIT&lt;32)
#define LIMIT_X_OUTREG OUT0
#define LIMIT_X_INREG IN0
#else
#define LIMIT_X_OUTREG OUT1
#define LIMIT_X_INREG IN1
#endif
#define DIO100 100
#define DIO100_BIT LIMIT_X_BIT
#define DIO100_OUTREG LIMIT_X_OUTREG
#define DIO100_INREG LIMIT_X_INREG
#endif</v>
      </c>
      <c r="F99" s="12" t="str">
        <f>"#if(defined("&amp;C99&amp;"_ISR) &amp;&amp; defined("&amp;C99&amp;"))
#define "&amp;B99&amp;"_ISR ("&amp;C99&amp;"_ISR)
#define "&amp;C99&amp;"_ISRVAR 1
#define "&amp;B99&amp;"_ISRVAR 1
#endif"</f>
        <v>#if(defined(LIMIT_X_ISR) &amp;&amp; defined(LIMIT_X))
#define DIO100_ISR (LIMIT_X_ISR)
#define LIMIT_X_ISRVAR 1
#define DIO100_ISRVAR 1
#endif</v>
      </c>
      <c r="G99" s="9" t="str">
        <f t="shared" ref="G99:G112" si="11">"#ifndef "&amp;C99&amp;"_ISR0
#define "&amp;C99&amp;"_ISR0 0
#endif
#ifndef "&amp;C99&amp;"_ISR1
#define "&amp;C99&amp;"_ISR1 0
#endif
#ifndef "&amp;C99&amp;"_ISR2
#define "&amp;C99&amp;"_ISR2 0
#endif
#ifndef "&amp;C99&amp;"_ISRA
#define "&amp;C99&amp;"_ISRA 0
#endif
#ifndef "&amp;C99&amp;"_ISRB
#define "&amp;C99&amp;"_ISRB 0
#endif
#define "&amp;C99&amp;"_ISR_MASK ("&amp;C99&amp;"_ISR0 | "&amp;C99&amp;"_ISR1 | "&amp;C99&amp;"_ISR2 | "&amp;C99&amp;"_ISRA | "&amp;C99&amp;"_ISRB)
#ifndef "&amp;C99&amp;"_ISR_MASK
#define "&amp;C99&amp;"_ISR_MASK 0
#endif
#define "&amp;B99&amp;"_ISR_MASK "&amp;C99&amp;"_ISR_MASK
#define "&amp;B99&amp;"_ISRREG "&amp;C99&amp;"_ISRREG"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99" s="12"/>
      <c r="I99" s="9" t="str">
        <f t="shared" ref="I99:I112" si="12">"#if "&amp;C99&amp;"&gt;=0
mcu_config_input("&amp;C99&amp;");
#ifdef "&amp;C99&amp;"_PULLUP
mcu_config_pullup("&amp;C99&amp;");
#endif
#ifdef "&amp;C99&amp;"_ISR
mcu_config_input_isr("&amp;C99&amp;");
#endif
#endif"</f>
        <v>#if LIMIT_X&gt;=0
mcu_config_input(LIMIT_X);
#ifdef LIMIT_X_PULLUP
mcu_config_pullup(LIMIT_X);
#endif
#ifdef LIMIT_X_ISR
mcu_config_input_isr(LIMIT_X);
#endif
#endif</v>
      </c>
      <c r="J99" t="str">
        <f>"defined("&amp;C99&amp;"_ISR)"</f>
        <v>defined(LIMIT_X_ISR)</v>
      </c>
    </row>
    <row r="100" spans="1:10" ht="15" customHeight="1" x14ac:dyDescent="0.25">
      <c r="A100" s="4">
        <v>101</v>
      </c>
      <c r="B100" s="4" t="str">
        <f t="shared" si="0"/>
        <v>DIO101</v>
      </c>
      <c r="C100" s="4" t="s">
        <v>60</v>
      </c>
      <c r="D100" s="4">
        <v>13</v>
      </c>
      <c r="E100" s="9" t="str">
        <f t="shared" si="7"/>
        <v>#if(defined(LIMIT_Y_BIT))
#define LIMIT_Y 101
#if (LIMIT_Y_BIT&lt;32)
#define LIMIT_Y_OUTREG OUT0
#define LIMIT_Y_INREG IN0
#else
#define LIMIT_Y_OUTREG OUT1
#define LIMIT_Y_INREG IN1
#endif
#define DIO101 101
#define DIO101_BIT LIMIT_Y_BIT
#define DIO101_OUTREG LIMIT_Y_OUTREG
#define DIO101_INREG LIMIT_Y_INREG
#endif</v>
      </c>
      <c r="F100" s="12" t="str">
        <f t="shared" ref="F100:F108" si="13">"#if(defined("&amp;C100&amp;"_ISR) &amp;&amp; defined("&amp;C100&amp;"))
#define "&amp;B100&amp;"_ISR ("&amp;C100&amp;"_ISR)
#define "&amp;C100&amp;"_ISRVAR 1
#define "&amp;B100&amp;"_ISRVAR 1
#endif"</f>
        <v>#if(defined(LIMIT_Y_ISR) &amp;&amp; defined(LIMIT_Y))
#define DIO101_ISR (LIMIT_Y_ISR)
#define LIMIT_Y_ISRVAR 1
#define DIO101_ISRVAR 1
#endif</v>
      </c>
      <c r="G100" s="9" t="str">
        <f t="shared" si="11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100" s="12"/>
      <c r="I100" s="9" t="str">
        <f t="shared" si="12"/>
        <v>#if LIMIT_Y&gt;=0
mcu_config_input(LIMIT_Y);
#ifdef LIMIT_Y_PULLUP
mcu_config_pullup(LIMIT_Y);
#endif
#ifdef LIMIT_Y_ISR
mcu_config_input_isr(LIMIT_Y);
#endif
#endif</v>
      </c>
      <c r="J100" t="str">
        <f t="shared" ref="J100:J112" si="14">"defined("&amp;C100&amp;"_ISR)"</f>
        <v>defined(LIMIT_Y_ISR)</v>
      </c>
    </row>
    <row r="101" spans="1:10" ht="15" customHeight="1" x14ac:dyDescent="0.25">
      <c r="A101" s="4">
        <v>102</v>
      </c>
      <c r="B101" s="4" t="str">
        <f t="shared" si="0"/>
        <v>DIO102</v>
      </c>
      <c r="C101" s="4" t="s">
        <v>61</v>
      </c>
      <c r="D101" s="4">
        <v>14</v>
      </c>
      <c r="E101" s="9" t="str">
        <f t="shared" si="7"/>
        <v>#if(defined(LIMIT_Z_BIT))
#define LIMIT_Z 102
#if (LIMIT_Z_BIT&lt;32)
#define LIMIT_Z_OUTREG OUT0
#define LIMIT_Z_INREG IN0
#else
#define LIMIT_Z_OUTREG OUT1
#define LIMIT_Z_INREG IN1
#endif
#define DIO102 102
#define DIO102_BIT LIMIT_Z_BIT
#define DIO102_OUTREG LIMIT_Z_OUTREG
#define DIO102_INREG LIMIT_Z_INREG
#endif</v>
      </c>
      <c r="F101" s="12" t="str">
        <f t="shared" si="13"/>
        <v>#if(defined(LIMIT_Z_ISR) &amp;&amp; defined(LIMIT_Z))
#define DIO102_ISR (LIMIT_Z_ISR)
#define LIMIT_Z_ISRVAR 1
#define DIO102_ISRVAR 1
#endif</v>
      </c>
      <c r="G101" s="9" t="str">
        <f t="shared" si="11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101" s="12"/>
      <c r="I101" s="9" t="str">
        <f t="shared" si="12"/>
        <v>#if LIMIT_Z&gt;=0
mcu_config_input(LIMIT_Z);
#ifdef LIMIT_Z_PULLUP
mcu_config_pullup(LIMIT_Z);
#endif
#ifdef LIMIT_Z_ISR
mcu_config_input_isr(LIMIT_Z);
#endif
#endif</v>
      </c>
      <c r="J101" t="str">
        <f t="shared" si="14"/>
        <v>defined(LIMIT_Z_ISR)</v>
      </c>
    </row>
    <row r="102" spans="1:10" ht="15" customHeight="1" x14ac:dyDescent="0.25">
      <c r="A102" s="4">
        <v>103</v>
      </c>
      <c r="B102" s="4" t="str">
        <f t="shared" si="0"/>
        <v>DIO103</v>
      </c>
      <c r="C102" s="4" t="s">
        <v>62</v>
      </c>
      <c r="D102" s="4">
        <v>15</v>
      </c>
      <c r="E102" s="9" t="str">
        <f t="shared" si="7"/>
        <v>#if(defined(LIMIT_X2_BIT))
#define LIMIT_X2 103
#if (LIMIT_X2_BIT&lt;32)
#define LIMIT_X2_OUTREG OUT0
#define LIMIT_X2_INREG IN0
#else
#define LIMIT_X2_OUTREG OUT1
#define LIMIT_X2_INREG IN1
#endif
#define DIO103 103
#define DIO103_BIT LIMIT_X2_BIT
#define DIO103_OUTREG LIMIT_X2_OUTREG
#define DIO103_INREG LIMIT_X2_INREG
#endif</v>
      </c>
      <c r="F102" s="12" t="str">
        <f t="shared" si="13"/>
        <v>#if(defined(LIMIT_X2_ISR) &amp;&amp; defined(LIMIT_X2))
#define DIO103_ISR (LIMIT_X2_ISR)
#define LIMIT_X2_ISRVAR 1
#define DIO103_ISRVAR 1
#endif</v>
      </c>
      <c r="G102" s="9" t="str">
        <f t="shared" si="11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102" s="12"/>
      <c r="I102" s="9" t="str">
        <f t="shared" si="12"/>
        <v>#if LIMIT_X2&gt;=0
mcu_config_input(LIMIT_X2);
#ifdef LIMIT_X2_PULLUP
mcu_config_pullup(LIMIT_X2);
#endif
#ifdef LIMIT_X2_ISR
mcu_config_input_isr(LIMIT_X2);
#endif
#endif</v>
      </c>
      <c r="J102" t="str">
        <f t="shared" si="14"/>
        <v>defined(LIMIT_X2_ISR)</v>
      </c>
    </row>
    <row r="103" spans="1:10" ht="15" customHeight="1" x14ac:dyDescent="0.25">
      <c r="A103" s="4">
        <v>104</v>
      </c>
      <c r="B103" s="4" t="str">
        <f t="shared" si="0"/>
        <v>DIO104</v>
      </c>
      <c r="C103" s="4" t="s">
        <v>63</v>
      </c>
      <c r="D103" s="4">
        <v>0</v>
      </c>
      <c r="E103" s="9" t="str">
        <f t="shared" si="7"/>
        <v>#if(defined(LIMIT_Y2_BIT))
#define LIMIT_Y2 104
#if (LIMIT_Y2_BIT&lt;32)
#define LIMIT_Y2_OUTREG OUT0
#define LIMIT_Y2_INREG IN0
#else
#define LIMIT_Y2_OUTREG OUT1
#define LIMIT_Y2_INREG IN1
#endif
#define DIO104 104
#define DIO104_BIT LIMIT_Y2_BIT
#define DIO104_OUTREG LIMIT_Y2_OUTREG
#define DIO104_INREG LIMIT_Y2_INREG
#endif</v>
      </c>
      <c r="F103" s="12" t="str">
        <f t="shared" si="13"/>
        <v>#if(defined(LIMIT_Y2_ISR) &amp;&amp; defined(LIMIT_Y2))
#define DIO104_ISR (LIMIT_Y2_ISR)
#define LIMIT_Y2_ISRVAR 1
#define DIO104_ISRVAR 1
#endif</v>
      </c>
      <c r="G103" s="9" t="str">
        <f t="shared" si="11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103" s="9"/>
      <c r="I103" s="9" t="str">
        <f t="shared" si="12"/>
        <v>#if LIMIT_Y2&gt;=0
mcu_config_input(LIMIT_Y2);
#ifdef LIMIT_Y2_PULLUP
mcu_config_pullup(LIMIT_Y2);
#endif
#ifdef LIMIT_Y2_ISR
mcu_config_input_isr(LIMIT_Y2);
#endif
#endif</v>
      </c>
      <c r="J103" t="str">
        <f t="shared" si="14"/>
        <v>defined(LIMIT_Y2_ISR)</v>
      </c>
    </row>
    <row r="104" spans="1:10" ht="15" customHeight="1" x14ac:dyDescent="0.25">
      <c r="A104" s="4">
        <v>105</v>
      </c>
      <c r="B104" s="4" t="str">
        <f t="shared" si="0"/>
        <v>DIO105</v>
      </c>
      <c r="C104" s="4" t="s">
        <v>64</v>
      </c>
      <c r="D104" s="4">
        <v>1</v>
      </c>
      <c r="E104" s="9" t="str">
        <f t="shared" si="7"/>
        <v>#if(defined(LIMIT_Z2_BIT))
#define LIMIT_Z2 105
#if (LIMIT_Z2_BIT&lt;32)
#define LIMIT_Z2_OUTREG OUT0
#define LIMIT_Z2_INREG IN0
#else
#define LIMIT_Z2_OUTREG OUT1
#define LIMIT_Z2_INREG IN1
#endif
#define DIO105 105
#define DIO105_BIT LIMIT_Z2_BIT
#define DIO105_OUTREG LIMIT_Z2_OUTREG
#define DIO105_INREG LIMIT_Z2_INREG
#endif</v>
      </c>
      <c r="F104" s="12" t="str">
        <f t="shared" si="13"/>
        <v>#if(defined(LIMIT_Z2_ISR) &amp;&amp; defined(LIMIT_Z2))
#define DIO105_ISR (LIMIT_Z2_ISR)
#define LIMIT_Z2_ISRVAR 1
#define DIO105_ISRVAR 1
#endif</v>
      </c>
      <c r="G104" s="9" t="str">
        <f t="shared" si="11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104" s="9"/>
      <c r="I104" s="9" t="str">
        <f t="shared" si="12"/>
        <v>#if LIMIT_Z2&gt;=0
mcu_config_input(LIMIT_Z2);
#ifdef LIMIT_Z2_PULLUP
mcu_config_pullup(LIMIT_Z2);
#endif
#ifdef LIMIT_Z2_ISR
mcu_config_input_isr(LIMIT_Z2);
#endif
#endif</v>
      </c>
      <c r="J104" t="str">
        <f t="shared" si="14"/>
        <v>defined(LIMIT_Z2_ISR)</v>
      </c>
    </row>
    <row r="105" spans="1:10" ht="15" customHeight="1" x14ac:dyDescent="0.25">
      <c r="A105" s="4">
        <v>106</v>
      </c>
      <c r="B105" s="4" t="str">
        <f t="shared" si="0"/>
        <v>DIO106</v>
      </c>
      <c r="C105" s="4" t="s">
        <v>65</v>
      </c>
      <c r="D105" s="4">
        <v>2</v>
      </c>
      <c r="E105" s="9" t="str">
        <f t="shared" si="7"/>
        <v>#if(defined(LIMIT_A_BIT))
#define LIMIT_A 106
#if (LIMIT_A_BIT&lt;32)
#define LIMIT_A_OUTREG OUT0
#define LIMIT_A_INREG IN0
#else
#define LIMIT_A_OUTREG OUT1
#define LIMIT_A_INREG IN1
#endif
#define DIO106 106
#define DIO106_BIT LIMIT_A_BIT
#define DIO106_OUTREG LIMIT_A_OUTREG
#define DIO106_INREG LIMIT_A_INREG
#endif</v>
      </c>
      <c r="F105" s="12" t="str">
        <f t="shared" si="13"/>
        <v>#if(defined(LIMIT_A_ISR) &amp;&amp; defined(LIMIT_A))
#define DIO106_ISR (LIMIT_A_ISR)
#define LIMIT_A_ISRVAR 1
#define DIO106_ISRVAR 1
#endif</v>
      </c>
      <c r="G105" s="9" t="str">
        <f t="shared" si="11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105" s="9"/>
      <c r="I105" s="9" t="str">
        <f t="shared" si="12"/>
        <v>#if LIMIT_A&gt;=0
mcu_config_input(LIMIT_A);
#ifdef LIMIT_A_PULLUP
mcu_config_pullup(LIMIT_A);
#endif
#ifdef LIMIT_A_ISR
mcu_config_input_isr(LIMIT_A);
#endif
#endif</v>
      </c>
      <c r="J105" t="str">
        <f t="shared" si="14"/>
        <v>defined(LIMIT_A_ISR)</v>
      </c>
    </row>
    <row r="106" spans="1:10" ht="15" customHeight="1" x14ac:dyDescent="0.25">
      <c r="A106" s="4">
        <v>107</v>
      </c>
      <c r="B106" s="4" t="str">
        <f t="shared" si="0"/>
        <v>DIO107</v>
      </c>
      <c r="C106" s="4" t="s">
        <v>66</v>
      </c>
      <c r="D106" s="4">
        <v>3</v>
      </c>
      <c r="E106" s="9" t="str">
        <f t="shared" si="7"/>
        <v>#if(defined(LIMIT_B_BIT))
#define LIMIT_B 107
#if (LIMIT_B_BIT&lt;32)
#define LIMIT_B_OUTREG OUT0
#define LIMIT_B_INREG IN0
#else
#define LIMIT_B_OUTREG OUT1
#define LIMIT_B_INREG IN1
#endif
#define DIO107 107
#define DIO107_BIT LIMIT_B_BIT
#define DIO107_OUTREG LIMIT_B_OUTREG
#define DIO107_INREG LIMIT_B_INREG
#endif</v>
      </c>
      <c r="F106" s="12" t="str">
        <f t="shared" si="13"/>
        <v>#if(defined(LIMIT_B_ISR) &amp;&amp; defined(LIMIT_B))
#define DIO107_ISR (LIMIT_B_ISR)
#define LIMIT_B_ISRVAR 1
#define DIO107_ISRVAR 1
#endif</v>
      </c>
      <c r="G106" s="9" t="str">
        <f t="shared" si="11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106" s="9"/>
      <c r="I106" s="9" t="str">
        <f t="shared" si="12"/>
        <v>#if LIMIT_B&gt;=0
mcu_config_input(LIMIT_B);
#ifdef LIMIT_B_PULLUP
mcu_config_pullup(LIMIT_B);
#endif
#ifdef LIMIT_B_ISR
mcu_config_input_isr(LIMIT_B);
#endif
#endif</v>
      </c>
      <c r="J106" t="str">
        <f t="shared" si="14"/>
        <v>defined(LIMIT_B_ISR)</v>
      </c>
    </row>
    <row r="107" spans="1:10" ht="15" customHeight="1" x14ac:dyDescent="0.25">
      <c r="A107" s="4">
        <v>108</v>
      </c>
      <c r="B107" s="4" t="str">
        <f t="shared" si="0"/>
        <v>DIO108</v>
      </c>
      <c r="C107" s="4" t="s">
        <v>67</v>
      </c>
      <c r="D107" s="4">
        <v>4</v>
      </c>
      <c r="E107" s="9" t="str">
        <f t="shared" si="7"/>
        <v>#if(defined(LIMIT_C_BIT))
#define LIMIT_C 108
#if (LIMIT_C_BIT&lt;32)
#define LIMIT_C_OUTREG OUT0
#define LIMIT_C_INREG IN0
#else
#define LIMIT_C_OUTREG OUT1
#define LIMIT_C_INREG IN1
#endif
#define DIO108 108
#define DIO108_BIT LIMIT_C_BIT
#define DIO108_OUTREG LIMIT_C_OUTREG
#define DIO108_INREG LIMIT_C_INREG
#endif</v>
      </c>
      <c r="F107" s="12" t="str">
        <f t="shared" si="13"/>
        <v>#if(defined(LIMIT_C_ISR) &amp;&amp; defined(LIMIT_C))
#define DIO108_ISR (LIMIT_C_ISR)
#define LIMIT_C_ISRVAR 1
#define DIO108_ISRVAR 1
#endif</v>
      </c>
      <c r="G107" s="9" t="str">
        <f t="shared" si="11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107" s="9"/>
      <c r="I107" s="9" t="str">
        <f t="shared" si="12"/>
        <v>#if LIMIT_C&gt;=0
mcu_config_input(LIMIT_C);
#ifdef LIMIT_C_PULLUP
mcu_config_pullup(LIMIT_C);
#endif
#ifdef LIMIT_C_ISR
mcu_config_input_isr(LIMIT_C);
#endif
#endif</v>
      </c>
      <c r="J107" t="str">
        <f t="shared" si="14"/>
        <v>defined(LIMIT_C_ISR)</v>
      </c>
    </row>
    <row r="108" spans="1:10" ht="15" customHeight="1" x14ac:dyDescent="0.25">
      <c r="A108" s="4">
        <v>109</v>
      </c>
      <c r="B108" s="4" t="str">
        <f t="shared" si="0"/>
        <v>DIO109</v>
      </c>
      <c r="C108" s="5" t="s">
        <v>68</v>
      </c>
      <c r="D108" s="4">
        <v>5</v>
      </c>
      <c r="E108" s="9" t="str">
        <f t="shared" si="7"/>
        <v>#if(defined(PROBE_BIT))
#define PROBE 109
#if (PROBE_BIT&lt;32)
#define PROBE_OUTREG OUT0
#define PROBE_INREG IN0
#else
#define PROBE_OUTREG OUT1
#define PROBE_INREG IN1
#endif
#define DIO109 109
#define DIO109_BIT PROBE_BIT
#define DIO109_OUTREG PROBE_OUTREG
#define DIO109_INREG PROBE_INREG
#endif</v>
      </c>
      <c r="F108" s="12" t="str">
        <f t="shared" si="13"/>
        <v>#if(defined(PROBE_ISR) &amp;&amp; defined(PROBE))
#define DIO109_ISR (PROBE_ISR)
#define PROBE_ISRVAR 1
#define DIO109_ISRVAR 1
#endif</v>
      </c>
      <c r="G108" s="9" t="str">
        <f t="shared" si="11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108" s="9"/>
      <c r="I108" s="9" t="str">
        <f t="shared" si="12"/>
        <v>#if PROBE&gt;=0
mcu_config_input(PROBE);
#ifdef PROBE_PULLUP
mcu_config_pullup(PROBE);
#endif
#ifdef PROBE_ISR
mcu_config_input_isr(PROBE);
#endif
#endif</v>
      </c>
      <c r="J108" t="str">
        <f t="shared" si="14"/>
        <v>defined(PROBE_ISR)</v>
      </c>
    </row>
    <row r="109" spans="1:10" ht="15" customHeight="1" x14ac:dyDescent="0.25">
      <c r="A109" s="4">
        <v>110</v>
      </c>
      <c r="B109" s="4" t="str">
        <f t="shared" si="0"/>
        <v>DIO110</v>
      </c>
      <c r="C109" s="4" t="s">
        <v>69</v>
      </c>
      <c r="D109" s="4">
        <v>6</v>
      </c>
      <c r="E109" s="9" t="str">
        <f t="shared" si="7"/>
        <v>#if(defined(ESTOP_BIT))
#define ESTOP 110
#if (ESTOP_BIT&lt;32)
#define ESTOP_OUTREG OUT0
#define ESTOP_INREG IN0
#else
#define ESTOP_OUTREG OUT1
#define ESTOP_INREG IN1
#endif
#define DIO110 110
#define DIO110_BIT ESTOP_BIT
#define DIO110_OUTREG ESTOP_OUTREG
#define DIO110_INREG ESTOP_INREG
#endif</v>
      </c>
      <c r="F109" s="12" t="str">
        <f>"#if(defined("&amp;C109&amp;"_ISR) &amp;&amp; defined("&amp;C109&amp;"))
#define "&amp;B109&amp;"_ISR ("&amp;C109&amp;"_ISR)
#define "&amp;C109&amp;"_ISRVAR 0
#define "&amp;B109&amp;"_ISRVAR 0
#endif"</f>
        <v>#if(defined(ESTOP_ISR) &amp;&amp; defined(ESTOP))
#define DIO110_ISR (ESTOP_ISR)
#define ESTOP_ISRVAR 0
#define DIO110_ISRVAR 0
#endif</v>
      </c>
      <c r="G109" s="9" t="str">
        <f t="shared" si="11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109" s="9"/>
      <c r="I109" s="9" t="str">
        <f t="shared" si="12"/>
        <v>#if ESTOP&gt;=0
mcu_config_input(ESTOP);
#ifdef ESTOP_PULLUP
mcu_config_pullup(ESTOP);
#endif
#ifdef ESTOP_ISR
mcu_config_input_isr(ESTOP);
#endif
#endif</v>
      </c>
      <c r="J109" t="str">
        <f t="shared" si="14"/>
        <v>defined(ESTOP_ISR)</v>
      </c>
    </row>
    <row r="110" spans="1:10" ht="15" customHeight="1" x14ac:dyDescent="0.25">
      <c r="A110" s="4">
        <v>111</v>
      </c>
      <c r="B110" s="4" t="str">
        <f t="shared" si="0"/>
        <v>DIO111</v>
      </c>
      <c r="C110" s="4" t="s">
        <v>70</v>
      </c>
      <c r="D110" s="4">
        <v>7</v>
      </c>
      <c r="E110" s="9" t="str">
        <f t="shared" si="7"/>
        <v>#if(defined(SAFETY_DOOR_BIT))
#define SAFETY_DOOR 111
#if (SAFETY_DOOR_BIT&lt;32)
#define SAFETY_DOOR_OUTREG OUT0
#define SAFETY_DOOR_INREG IN0
#else
#define SAFETY_DOOR_OUTREG OUT1
#define SAFETY_DOOR_INREG IN1
#endif
#define DIO111 111
#define DIO111_BIT SAFETY_DOOR_BIT
#define DIO111_OUTREG SAFETY_DOOR_OUTREG
#define DIO111_INREG SAFETY_DOOR_INREG
#endif</v>
      </c>
      <c r="F110" s="12" t="str">
        <f t="shared" ref="F110:F112" si="15">"#if(defined("&amp;C110&amp;"_ISR) &amp;&amp; defined("&amp;C110&amp;"))
#define "&amp;B110&amp;"_ISR ("&amp;C110&amp;"_ISR)
#define "&amp;C110&amp;"_ISRVAR 0
#define "&amp;B110&amp;"_ISRVAR 0
#endif"</f>
        <v>#if(defined(SAFETY_DOOR_ISR) &amp;&amp; defined(SAFETY_DOOR))
#define DIO111_ISR (SAFETY_DOOR_ISR)
#define SAFETY_DOOR_ISRVAR 0
#define DIO111_ISRVAR 0
#endif</v>
      </c>
      <c r="G110" s="9" t="str">
        <f t="shared" si="11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110" s="9"/>
      <c r="I110" s="9" t="str">
        <f t="shared" si="12"/>
        <v>#if SAFETY_DOOR&gt;=0
mcu_config_input(SAFETY_DOOR);
#ifdef SAFETY_DOOR_PULLUP
mcu_config_pullup(SAFETY_DOOR);
#endif
#ifdef SAFETY_DOOR_ISR
mcu_config_input_isr(SAFETY_DOOR);
#endif
#endif</v>
      </c>
      <c r="J110" t="str">
        <f t="shared" si="14"/>
        <v>defined(SAFETY_DOOR_ISR)</v>
      </c>
    </row>
    <row r="111" spans="1:10" ht="15" customHeight="1" x14ac:dyDescent="0.25">
      <c r="A111" s="4">
        <v>112</v>
      </c>
      <c r="B111" s="4" t="str">
        <f t="shared" si="0"/>
        <v>DIO112</v>
      </c>
      <c r="C111" s="4" t="s">
        <v>71</v>
      </c>
      <c r="D111" s="4">
        <v>8</v>
      </c>
      <c r="E111" s="9" t="str">
        <f t="shared" si="7"/>
        <v>#if(defined(FHOLD_BIT))
#define FHOLD 112
#if (FHOLD_BIT&lt;32)
#define FHOLD_OUTREG OUT0
#define FHOLD_INREG IN0
#else
#define FHOLD_OUTREG OUT1
#define FHOLD_INREG IN1
#endif
#define DIO112 112
#define DIO112_BIT FHOLD_BIT
#define DIO112_OUTREG FHOLD_OUTREG
#define DIO112_INREG FHOLD_INREG
#endif</v>
      </c>
      <c r="F111" s="12" t="str">
        <f t="shared" si="15"/>
        <v>#if(defined(FHOLD_ISR) &amp;&amp; defined(FHOLD))
#define DIO112_ISR (FHOLD_ISR)
#define FHOLD_ISRVAR 0
#define DIO112_ISRVAR 0
#endif</v>
      </c>
      <c r="G111" s="9" t="str">
        <f t="shared" si="11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111" s="9"/>
      <c r="I111" s="9" t="str">
        <f t="shared" si="12"/>
        <v>#if FHOLD&gt;=0
mcu_config_input(FHOLD);
#ifdef FHOLD_PULLUP
mcu_config_pullup(FHOLD);
#endif
#ifdef FHOLD_ISR
mcu_config_input_isr(FHOLD);
#endif
#endif</v>
      </c>
      <c r="J111" t="str">
        <f t="shared" si="14"/>
        <v>defined(FHOLD_ISR)</v>
      </c>
    </row>
    <row r="112" spans="1:10" ht="15" customHeight="1" x14ac:dyDescent="0.25">
      <c r="A112" s="4">
        <v>113</v>
      </c>
      <c r="B112" s="4" t="str">
        <f t="shared" si="0"/>
        <v>DIO113</v>
      </c>
      <c r="C112" s="4" t="s">
        <v>72</v>
      </c>
      <c r="D112" s="4">
        <v>9</v>
      </c>
      <c r="E112" s="9" t="str">
        <f t="shared" si="7"/>
        <v>#if(defined(CS_RES_BIT))
#define CS_RES 113
#if (CS_RES_BIT&lt;32)
#define CS_RES_OUTREG OUT0
#define CS_RES_INREG IN0
#else
#define CS_RES_OUTREG OUT1
#define CS_RES_INREG IN1
#endif
#define DIO113 113
#define DIO113_BIT CS_RES_BIT
#define DIO113_OUTREG CS_RES_OUTREG
#define DIO113_INREG CS_RES_INREG
#endif</v>
      </c>
      <c r="F112" s="12" t="str">
        <f t="shared" si="15"/>
        <v>#if(defined(CS_RES_ISR) &amp;&amp; defined(CS_RES))
#define DIO113_ISR (CS_RES_ISR)
#define CS_RES_ISRVAR 0
#define DIO113_ISRVAR 0
#endif</v>
      </c>
      <c r="G112" s="9" t="str">
        <f t="shared" si="11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112" s="11" t="s">
        <v>124</v>
      </c>
      <c r="I112" s="9" t="str">
        <f t="shared" si="12"/>
        <v>#if CS_RES&gt;=0
mcu_config_input(CS_RES);
#ifdef CS_RES_PULLUP
mcu_config_pullup(CS_RES);
#endif
#ifdef CS_RES_ISR
mcu_config_input_isr(CS_RES);
#endif
#endif</v>
      </c>
      <c r="J112" t="str">
        <f t="shared" si="14"/>
        <v>defined(CS_RES_ISR)</v>
      </c>
    </row>
    <row r="113" spans="1:9" ht="15" customHeight="1" x14ac:dyDescent="0.25">
      <c r="A113" s="4">
        <v>114</v>
      </c>
      <c r="B113" s="4" t="str">
        <f t="shared" si="0"/>
        <v>DIO114</v>
      </c>
      <c r="C113" s="4" t="s">
        <v>73</v>
      </c>
      <c r="D113" s="4">
        <v>10</v>
      </c>
      <c r="E113" s="9" t="str">
        <f t="shared" si="7"/>
        <v>#if(defined(ANALOG0_BIT))
#define ANALOG0 114
#if (ANALOG0_BIT&lt;32)
#define ANALOG0_OUTREG OUT0
#define ANALOG0_INREG IN0
#else
#define ANALOG0_OUTREG OUT1
#define ANALOG0_INREG IN1
#endif
#define DIO114 114
#define DIO114_BIT ANALOG0_BIT
#define DIO114_OUTREG ANALOG0_OUTREG
#define DIO114_INREG ANALOG0_INREG
#endif</v>
      </c>
      <c r="F113" s="9"/>
      <c r="G113" s="9"/>
      <c r="H113" s="12" t="str">
        <f>"#ifdef "&amp;C113&amp;"
#define "&amp;C113&amp;"_ADC_CHANNEL _adc_channel_helper("&amp;C113&amp;"_CHANNEL, "&amp;C113&amp;"_ADC)
#define "&amp;B113&amp;"_CHANNEL "&amp;C113&amp;"_CHANNEL
#define "&amp;B113&amp;"_ADC "&amp;C113&amp;"_ADC
#define "&amp;B113&amp;"_ADC_CHANNEL "&amp;C113&amp;"_ADC_CHANNEL
#endif"</f>
        <v>#ifdef ANALOG0
#define ANALOG0_ADC_CHANNEL _adc_channel_helper(ANALOG0_CHANNEL, ANALOG0_ADC)
#define DIO114_CHANNEL ANALOG0_CHANNEL
#define DIO114_ADC ANALOG0_ADC
#define DIO114_ADC_CHANNEL ANALOG0_ADC_CHANNEL
#endif</v>
      </c>
      <c r="I113" s="9" t="str">
        <f>"#if "&amp;C113&amp;"&gt;=0
mcu_config_analog("&amp;C113&amp;");
#endif"</f>
        <v>#if ANALOG0&gt;=0
mcu_config_analog(ANALOG0);
#endif</v>
      </c>
    </row>
    <row r="114" spans="1:9" ht="15" customHeight="1" x14ac:dyDescent="0.25">
      <c r="A114" s="4">
        <v>115</v>
      </c>
      <c r="B114" s="4" t="str">
        <f t="shared" si="0"/>
        <v>DIO115</v>
      </c>
      <c r="C114" s="4" t="s">
        <v>74</v>
      </c>
      <c r="D114" s="4">
        <v>11</v>
      </c>
      <c r="E114" s="9" t="str">
        <f t="shared" si="7"/>
        <v>#if(defined(ANALOG1_BIT))
#define ANALOG1 115
#if (ANALOG1_BIT&lt;32)
#define ANALOG1_OUTREG OUT0
#define ANALOG1_INREG IN0
#else
#define ANALOG1_OUTREG OUT1
#define ANALOG1_INREG IN1
#endif
#define DIO115 115
#define DIO115_BIT ANALOG1_BIT
#define DIO115_OUTREG ANALOG1_OUTREG
#define DIO115_INREG ANALOG1_INREG
#endif</v>
      </c>
      <c r="F114" s="9"/>
      <c r="G114" s="9"/>
      <c r="H114" s="12" t="str">
        <f t="shared" ref="H114:H128" si="16">"#ifdef "&amp;C114&amp;"
#define "&amp;C114&amp;"_ADC_CHANNEL _adc_channel_helper("&amp;C114&amp;"_CHANNEL, "&amp;C114&amp;"_ADC)
#define "&amp;B114&amp;"_CHANNEL "&amp;C114&amp;"_CHANNEL
#define "&amp;B114&amp;"_ADC "&amp;C114&amp;"_ADC
#define "&amp;B114&amp;"_ADC_CHANNEL "&amp;C114&amp;"_ADC_CHANNEL
#endif"</f>
        <v>#ifdef ANALOG1
#define ANALOG1_ADC_CHANNEL _adc_channel_helper(ANALOG1_CHANNEL, ANALOG1_ADC)
#define DIO115_CHANNEL ANALOG1_CHANNEL
#define DIO115_ADC ANALOG1_ADC
#define DIO115_ADC_CHANNEL ANALOG1_ADC_CHANNEL
#endif</v>
      </c>
      <c r="I114" s="9" t="str">
        <f t="shared" ref="I114:I128" si="17">"#if "&amp;C114&amp;"&gt;=0
mcu_config_analog("&amp;C114&amp;");
#endif"</f>
        <v>#if ANALOG1&gt;=0
mcu_config_analog(ANALOG1);
#endif</v>
      </c>
    </row>
    <row r="115" spans="1:9" ht="15" customHeight="1" x14ac:dyDescent="0.25">
      <c r="A115" s="4">
        <v>116</v>
      </c>
      <c r="B115" s="4" t="str">
        <f t="shared" si="0"/>
        <v>DIO116</v>
      </c>
      <c r="C115" s="4" t="s">
        <v>75</v>
      </c>
      <c r="D115" s="4">
        <v>12</v>
      </c>
      <c r="E115" s="9" t="str">
        <f t="shared" si="7"/>
        <v>#if(defined(ANALOG2_BIT))
#define ANALOG2 116
#if (ANALOG2_BIT&lt;32)
#define ANALOG2_OUTREG OUT0
#define ANALOG2_INREG IN0
#else
#define ANALOG2_OUTREG OUT1
#define ANALOG2_INREG IN1
#endif
#define DIO116 116
#define DIO116_BIT ANALOG2_BIT
#define DIO116_OUTREG ANALOG2_OUTREG
#define DIO116_INREG ANALOG2_INREG
#endif</v>
      </c>
      <c r="F115" s="9"/>
      <c r="G115" s="9"/>
      <c r="H115" s="12" t="str">
        <f t="shared" si="16"/>
        <v>#ifdef ANALOG2
#define ANALOG2_ADC_CHANNEL _adc_channel_helper(ANALOG2_CHANNEL, ANALOG2_ADC)
#define DIO116_CHANNEL ANALOG2_CHANNEL
#define DIO116_ADC ANALOG2_ADC
#define DIO116_ADC_CHANNEL ANALOG2_ADC_CHANNEL
#endif</v>
      </c>
      <c r="I115" s="9" t="str">
        <f t="shared" si="17"/>
        <v>#if ANALOG2&gt;=0
mcu_config_analog(ANALOG2);
#endif</v>
      </c>
    </row>
    <row r="116" spans="1:9" ht="15" customHeight="1" x14ac:dyDescent="0.25">
      <c r="A116" s="4">
        <v>117</v>
      </c>
      <c r="B116" s="4" t="str">
        <f t="shared" si="0"/>
        <v>DIO117</v>
      </c>
      <c r="C116" s="4" t="s">
        <v>76</v>
      </c>
      <c r="D116" s="4">
        <v>13</v>
      </c>
      <c r="E116" s="9" t="str">
        <f t="shared" si="7"/>
        <v>#if(defined(ANALOG3_BIT))
#define ANALOG3 117
#if (ANALOG3_BIT&lt;32)
#define ANALOG3_OUTREG OUT0
#define ANALOG3_INREG IN0
#else
#define ANALOG3_OUTREG OUT1
#define ANALOG3_INREG IN1
#endif
#define DIO117 117
#define DIO117_BIT ANALOG3_BIT
#define DIO117_OUTREG ANALOG3_OUTREG
#define DIO117_INREG ANALOG3_INREG
#endif</v>
      </c>
      <c r="F116" s="9"/>
      <c r="G116" s="9"/>
      <c r="H116" s="12" t="str">
        <f t="shared" si="16"/>
        <v>#ifdef ANALOG3
#define ANALOG3_ADC_CHANNEL _adc_channel_helper(ANALOG3_CHANNEL, ANALOG3_ADC)
#define DIO117_CHANNEL ANALOG3_CHANNEL
#define DIO117_ADC ANALOG3_ADC
#define DIO117_ADC_CHANNEL ANALOG3_ADC_CHANNEL
#endif</v>
      </c>
      <c r="I116" s="9" t="str">
        <f t="shared" si="17"/>
        <v>#if ANALOG3&gt;=0
mcu_config_analog(ANALOG3);
#endif</v>
      </c>
    </row>
    <row r="117" spans="1:9" ht="15" customHeight="1" x14ac:dyDescent="0.25">
      <c r="A117" s="4">
        <v>118</v>
      </c>
      <c r="B117" s="4" t="str">
        <f t="shared" si="0"/>
        <v>DIO118</v>
      </c>
      <c r="C117" s="4" t="s">
        <v>77</v>
      </c>
      <c r="D117" s="4">
        <v>14</v>
      </c>
      <c r="E117" s="9" t="str">
        <f t="shared" si="7"/>
        <v>#if(defined(ANALOG4_BIT))
#define ANALOG4 118
#if (ANALOG4_BIT&lt;32)
#define ANALOG4_OUTREG OUT0
#define ANALOG4_INREG IN0
#else
#define ANALOG4_OUTREG OUT1
#define ANALOG4_INREG IN1
#endif
#define DIO118 118
#define DIO118_BIT ANALOG4_BIT
#define DIO118_OUTREG ANALOG4_OUTREG
#define DIO118_INREG ANALOG4_INREG
#endif</v>
      </c>
      <c r="F117" s="9"/>
      <c r="G117" s="9"/>
      <c r="H117" s="12" t="str">
        <f t="shared" si="16"/>
        <v>#ifdef ANALOG4
#define ANALOG4_ADC_CHANNEL _adc_channel_helper(ANALOG4_CHANNEL, ANALOG4_ADC)
#define DIO118_CHANNEL ANALOG4_CHANNEL
#define DIO118_ADC ANALOG4_ADC
#define DIO118_ADC_CHANNEL ANALOG4_ADC_CHANNEL
#endif</v>
      </c>
      <c r="I117" s="9" t="str">
        <f t="shared" si="17"/>
        <v>#if ANALOG4&gt;=0
mcu_config_analog(ANALOG4);
#endif</v>
      </c>
    </row>
    <row r="118" spans="1:9" ht="15" customHeight="1" x14ac:dyDescent="0.25">
      <c r="A118" s="4">
        <v>119</v>
      </c>
      <c r="B118" s="4" t="str">
        <f t="shared" si="0"/>
        <v>DIO119</v>
      </c>
      <c r="C118" s="4" t="s">
        <v>78</v>
      </c>
      <c r="D118" s="4">
        <v>15</v>
      </c>
      <c r="E118" s="9" t="str">
        <f t="shared" si="7"/>
        <v>#if(defined(ANALOG5_BIT))
#define ANALOG5 119
#if (ANALOG5_BIT&lt;32)
#define ANALOG5_OUTREG OUT0
#define ANALOG5_INREG IN0
#else
#define ANALOG5_OUTREG OUT1
#define ANALOG5_INREG IN1
#endif
#define DIO119 119
#define DIO119_BIT ANALOG5_BIT
#define DIO119_OUTREG ANALOG5_OUTREG
#define DIO119_INREG ANALOG5_INREG
#endif</v>
      </c>
      <c r="F118" s="9"/>
      <c r="G118" s="9"/>
      <c r="H118" s="12" t="str">
        <f t="shared" si="16"/>
        <v>#ifdef ANALOG5
#define ANALOG5_ADC_CHANNEL _adc_channel_helper(ANALOG5_CHANNEL, ANALOG5_ADC)
#define DIO119_CHANNEL ANALOG5_CHANNEL
#define DIO119_ADC ANALOG5_ADC
#define DIO119_ADC_CHANNEL ANALOG5_ADC_CHANNEL
#endif</v>
      </c>
      <c r="I118" s="9" t="str">
        <f t="shared" si="17"/>
        <v>#if ANALOG5&gt;=0
mcu_config_analog(ANALOG5);
#endif</v>
      </c>
    </row>
    <row r="119" spans="1:9" ht="15" customHeight="1" x14ac:dyDescent="0.25">
      <c r="A119" s="4">
        <v>120</v>
      </c>
      <c r="B119" s="4" t="str">
        <f t="shared" si="0"/>
        <v>DIO120</v>
      </c>
      <c r="C119" s="4" t="s">
        <v>79</v>
      </c>
      <c r="D119" s="4">
        <v>0</v>
      </c>
      <c r="E119" s="9" t="str">
        <f t="shared" si="7"/>
        <v>#if(defined(ANALOG6_BIT))
#define ANALOG6 120
#if (ANALOG6_BIT&lt;32)
#define ANALOG6_OUTREG OUT0
#define ANALOG6_INREG IN0
#else
#define ANALOG6_OUTREG OUT1
#define ANALOG6_INREG IN1
#endif
#define DIO120 120
#define DIO120_BIT ANALOG6_BIT
#define DIO120_OUTREG ANALOG6_OUTREG
#define DIO120_INREG ANALOG6_INREG
#endif</v>
      </c>
      <c r="F119" s="9"/>
      <c r="G119" s="9"/>
      <c r="H119" s="12" t="str">
        <f t="shared" si="16"/>
        <v>#ifdef ANALOG6
#define ANALOG6_ADC_CHANNEL _adc_channel_helper(ANALOG6_CHANNEL, ANALOG6_ADC)
#define DIO120_CHANNEL ANALOG6_CHANNEL
#define DIO120_ADC ANALOG6_ADC
#define DIO120_ADC_CHANNEL ANALOG6_ADC_CHANNEL
#endif</v>
      </c>
      <c r="I119" s="9" t="str">
        <f t="shared" si="17"/>
        <v>#if ANALOG6&gt;=0
mcu_config_analog(ANALOG6);
#endif</v>
      </c>
    </row>
    <row r="120" spans="1:9" ht="15" customHeight="1" x14ac:dyDescent="0.25">
      <c r="A120" s="4">
        <v>121</v>
      </c>
      <c r="B120" s="4" t="str">
        <f t="shared" si="0"/>
        <v>DIO121</v>
      </c>
      <c r="C120" s="4" t="s">
        <v>80</v>
      </c>
      <c r="D120" s="5">
        <v>1</v>
      </c>
      <c r="E120" s="9" t="str">
        <f t="shared" si="7"/>
        <v>#if(defined(ANALOG7_BIT))
#define ANALOG7 121
#if (ANALOG7_BIT&lt;32)
#define ANALOG7_OUTREG OUT0
#define ANALOG7_INREG IN0
#else
#define ANALOG7_OUTREG OUT1
#define ANALOG7_INREG IN1
#endif
#define DIO121 121
#define DIO121_BIT ANALOG7_BIT
#define DIO121_OUTREG ANALOG7_OUTREG
#define DIO121_INREG ANALOG7_INREG
#endif</v>
      </c>
      <c r="F120" s="9"/>
      <c r="G120" s="9"/>
      <c r="H120" s="12" t="str">
        <f t="shared" si="16"/>
        <v>#ifdef ANALOG7
#define ANALOG7_ADC_CHANNEL _adc_channel_helper(ANALOG7_CHANNEL, ANALOG7_ADC)
#define DIO121_CHANNEL ANALOG7_CHANNEL
#define DIO121_ADC ANALOG7_ADC
#define DIO121_ADC_CHANNEL ANALOG7_ADC_CHANNEL
#endif</v>
      </c>
      <c r="I120" s="9" t="str">
        <f t="shared" si="17"/>
        <v>#if ANALOG7&gt;=0
mcu_config_analog(ANALOG7);
#endif</v>
      </c>
    </row>
    <row r="121" spans="1:9" ht="15" customHeight="1" x14ac:dyDescent="0.25">
      <c r="A121" s="4">
        <v>122</v>
      </c>
      <c r="B121" s="4" t="str">
        <f t="shared" si="0"/>
        <v>DIO122</v>
      </c>
      <c r="C121" s="4" t="s">
        <v>81</v>
      </c>
      <c r="D121" s="4">
        <v>2</v>
      </c>
      <c r="E121" s="9" t="str">
        <f t="shared" si="7"/>
        <v>#if(defined(ANALOG8_BIT))
#define ANALOG8 122
#if (ANALOG8_BIT&lt;32)
#define ANALOG8_OUTREG OUT0
#define ANALOG8_INREG IN0
#else
#define ANALOG8_OUTREG OUT1
#define ANALOG8_INREG IN1
#endif
#define DIO122 122
#define DIO122_BIT ANALOG8_BIT
#define DIO122_OUTREG ANALOG8_OUTREG
#define DIO122_INREG ANALOG8_INREG
#endif</v>
      </c>
      <c r="F121" s="9"/>
      <c r="G121" s="9"/>
      <c r="H121" s="12" t="str">
        <f t="shared" si="16"/>
        <v>#ifdef ANALOG8
#define ANALOG8_ADC_CHANNEL _adc_channel_helper(ANALOG8_CHANNEL, ANALOG8_ADC)
#define DIO122_CHANNEL ANALOG8_CHANNEL
#define DIO122_ADC ANALOG8_ADC
#define DIO122_ADC_CHANNEL ANALOG8_ADC_CHANNEL
#endif</v>
      </c>
      <c r="I121" s="9" t="str">
        <f t="shared" si="17"/>
        <v>#if ANALOG8&gt;=0
mcu_config_analog(ANALOG8);
#endif</v>
      </c>
    </row>
    <row r="122" spans="1:9" ht="15" customHeight="1" x14ac:dyDescent="0.25">
      <c r="A122" s="4">
        <v>123</v>
      </c>
      <c r="B122" s="4" t="str">
        <f t="shared" si="0"/>
        <v>DIO123</v>
      </c>
      <c r="C122" s="4" t="s">
        <v>82</v>
      </c>
      <c r="D122" s="5">
        <v>3</v>
      </c>
      <c r="E122" s="9" t="str">
        <f t="shared" si="7"/>
        <v>#if(defined(ANALOG9_BIT))
#define ANALOG9 123
#if (ANALOG9_BIT&lt;32)
#define ANALOG9_OUTREG OUT0
#define ANALOG9_INREG IN0
#else
#define ANALOG9_OUTREG OUT1
#define ANALOG9_INREG IN1
#endif
#define DIO123 123
#define DIO123_BIT ANALOG9_BIT
#define DIO123_OUTREG ANALOG9_OUTREG
#define DIO123_INREG ANALOG9_INREG
#endif</v>
      </c>
      <c r="F122" s="9"/>
      <c r="G122" s="9"/>
      <c r="H122" s="12" t="str">
        <f t="shared" si="16"/>
        <v>#ifdef ANALOG9
#define ANALOG9_ADC_CHANNEL _adc_channel_helper(ANALOG9_CHANNEL, ANALOG9_ADC)
#define DIO123_CHANNEL ANALOG9_CHANNEL
#define DIO123_ADC ANALOG9_ADC
#define DIO123_ADC_CHANNEL ANALOG9_ADC_CHANNEL
#endif</v>
      </c>
      <c r="I122" s="9" t="str">
        <f t="shared" si="17"/>
        <v>#if ANALOG9&gt;=0
mcu_config_analog(ANALOG9);
#endif</v>
      </c>
    </row>
    <row r="123" spans="1:9" ht="15" customHeight="1" x14ac:dyDescent="0.25">
      <c r="A123" s="4">
        <v>124</v>
      </c>
      <c r="B123" s="4" t="str">
        <f t="shared" si="0"/>
        <v>DIO124</v>
      </c>
      <c r="C123" s="4" t="s">
        <v>83</v>
      </c>
      <c r="D123" s="6"/>
      <c r="E123" s="9" t="str">
        <f t="shared" si="7"/>
        <v>#if(defined(ANALOG10_BIT))
#define ANALOG10 124
#if (ANALOG10_BIT&lt;32)
#define ANALOG10_OUTREG OUT0
#define ANALOG10_INREG IN0
#else
#define ANALOG10_OUTREG OUT1
#define ANALOG10_INREG IN1
#endif
#define DIO124 124
#define DIO124_BIT ANALOG10_BIT
#define DIO124_OUTREG ANALOG10_OUTREG
#define DIO124_INREG ANALOG10_INREG
#endif</v>
      </c>
      <c r="F123" s="9"/>
      <c r="G123" s="9"/>
      <c r="H123" s="12" t="str">
        <f t="shared" si="16"/>
        <v>#ifdef ANALOG10
#define ANALOG10_ADC_CHANNEL _adc_channel_helper(ANALOG10_CHANNEL, ANALOG10_ADC)
#define DIO124_CHANNEL ANALOG10_CHANNEL
#define DIO124_ADC ANALOG10_ADC
#define DIO124_ADC_CHANNEL ANALOG10_ADC_CHANNEL
#endif</v>
      </c>
      <c r="I123" s="9" t="str">
        <f t="shared" si="17"/>
        <v>#if ANALOG10&gt;=0
mcu_config_analog(ANALOG10);
#endif</v>
      </c>
    </row>
    <row r="124" spans="1:9" ht="15" customHeight="1" x14ac:dyDescent="0.25">
      <c r="A124" s="4">
        <v>125</v>
      </c>
      <c r="B124" s="4" t="str">
        <f t="shared" si="0"/>
        <v>DIO125</v>
      </c>
      <c r="C124" s="4" t="s">
        <v>84</v>
      </c>
      <c r="D124" s="6"/>
      <c r="E124" s="9" t="str">
        <f t="shared" si="7"/>
        <v>#if(defined(ANALOG11_BIT))
#define ANALOG11 125
#if (ANALOG11_BIT&lt;32)
#define ANALOG11_OUTREG OUT0
#define ANALOG11_INREG IN0
#else
#define ANALOG11_OUTREG OUT1
#define ANALOG11_INREG IN1
#endif
#define DIO125 125
#define DIO125_BIT ANALOG11_BIT
#define DIO125_OUTREG ANALOG11_OUTREG
#define DIO125_INREG ANALOG11_INREG
#endif</v>
      </c>
      <c r="F124" s="9"/>
      <c r="G124" s="9"/>
      <c r="H124" s="12" t="str">
        <f t="shared" si="16"/>
        <v>#ifdef ANALOG11
#define ANALOG11_ADC_CHANNEL _adc_channel_helper(ANALOG11_CHANNEL, ANALOG11_ADC)
#define DIO125_CHANNEL ANALOG11_CHANNEL
#define DIO125_ADC ANALOG11_ADC
#define DIO125_ADC_CHANNEL ANALOG11_ADC_CHANNEL
#endif</v>
      </c>
      <c r="I124" s="9" t="str">
        <f t="shared" si="17"/>
        <v>#if ANALOG11&gt;=0
mcu_config_analog(ANALOG11);
#endif</v>
      </c>
    </row>
    <row r="125" spans="1:9" ht="15" customHeight="1" x14ac:dyDescent="0.25">
      <c r="A125" s="4">
        <v>126</v>
      </c>
      <c r="B125" s="4" t="str">
        <f t="shared" si="0"/>
        <v>DIO126</v>
      </c>
      <c r="C125" s="4" t="s">
        <v>85</v>
      </c>
      <c r="D125" s="6"/>
      <c r="E125" s="9" t="str">
        <f t="shared" si="7"/>
        <v>#if(defined(ANALOG12_BIT))
#define ANALOG12 126
#if (ANALOG12_BIT&lt;32)
#define ANALOG12_OUTREG OUT0
#define ANALOG12_INREG IN0
#else
#define ANALOG12_OUTREG OUT1
#define ANALOG12_INREG IN1
#endif
#define DIO126 126
#define DIO126_BIT ANALOG12_BIT
#define DIO126_OUTREG ANALOG12_OUTREG
#define DIO126_INREG ANALOG12_INREG
#endif</v>
      </c>
      <c r="F125" s="9"/>
      <c r="G125" s="9"/>
      <c r="H125" s="12" t="str">
        <f t="shared" si="16"/>
        <v>#ifdef ANALOG12
#define ANALOG12_ADC_CHANNEL _adc_channel_helper(ANALOG12_CHANNEL, ANALOG12_ADC)
#define DIO126_CHANNEL ANALOG12_CHANNEL
#define DIO126_ADC ANALOG12_ADC
#define DIO126_ADC_CHANNEL ANALOG12_ADC_CHANNEL
#endif</v>
      </c>
      <c r="I125" s="9" t="str">
        <f t="shared" si="17"/>
        <v>#if ANALOG12&gt;=0
mcu_config_analog(ANALOG12);
#endif</v>
      </c>
    </row>
    <row r="126" spans="1:9" ht="15" customHeight="1" x14ac:dyDescent="0.25">
      <c r="A126" s="4">
        <v>127</v>
      </c>
      <c r="B126" s="4" t="str">
        <f t="shared" si="0"/>
        <v>DIO127</v>
      </c>
      <c r="C126" s="4" t="s">
        <v>86</v>
      </c>
      <c r="D126" s="6"/>
      <c r="E126" s="9" t="str">
        <f t="shared" si="7"/>
        <v>#if(defined(ANALOG13_BIT))
#define ANALOG13 127
#if (ANALOG13_BIT&lt;32)
#define ANALOG13_OUTREG OUT0
#define ANALOG13_INREG IN0
#else
#define ANALOG13_OUTREG OUT1
#define ANALOG13_INREG IN1
#endif
#define DIO127 127
#define DIO127_BIT ANALOG13_BIT
#define DIO127_OUTREG ANALOG13_OUTREG
#define DIO127_INREG ANALOG13_INREG
#endif</v>
      </c>
      <c r="F126" s="9"/>
      <c r="G126" s="9"/>
      <c r="H126" s="12" t="str">
        <f t="shared" si="16"/>
        <v>#ifdef ANALOG13
#define ANALOG13_ADC_CHANNEL _adc_channel_helper(ANALOG13_CHANNEL, ANALOG13_ADC)
#define DIO127_CHANNEL ANALOG13_CHANNEL
#define DIO127_ADC ANALOG13_ADC
#define DIO127_ADC_CHANNEL ANALOG13_ADC_CHANNEL
#endif</v>
      </c>
      <c r="I126" s="9" t="str">
        <f t="shared" si="17"/>
        <v>#if ANALOG13&gt;=0
mcu_config_analog(ANALOG13);
#endif</v>
      </c>
    </row>
    <row r="127" spans="1:9" ht="15" customHeight="1" x14ac:dyDescent="0.25">
      <c r="A127" s="4">
        <v>128</v>
      </c>
      <c r="B127" s="4" t="str">
        <f t="shared" si="0"/>
        <v>DIO128</v>
      </c>
      <c r="C127" s="4" t="s">
        <v>87</v>
      </c>
      <c r="D127" s="6"/>
      <c r="E127" s="9" t="str">
        <f t="shared" si="7"/>
        <v>#if(defined(ANALOG14_BIT))
#define ANALOG14 128
#if (ANALOG14_BIT&lt;32)
#define ANALOG14_OUTREG OUT0
#define ANALOG14_INREG IN0
#else
#define ANALOG14_OUTREG OUT1
#define ANALOG14_INREG IN1
#endif
#define DIO128 128
#define DIO128_BIT ANALOG14_BIT
#define DIO128_OUTREG ANALOG14_OUTREG
#define DIO128_INREG ANALOG14_INREG
#endif</v>
      </c>
      <c r="F127" s="9"/>
      <c r="G127" s="9"/>
      <c r="H127" s="12" t="str">
        <f t="shared" si="16"/>
        <v>#ifdef ANALOG14
#define ANALOG14_ADC_CHANNEL _adc_channel_helper(ANALOG14_CHANNEL, ANALOG14_ADC)
#define DIO128_CHANNEL ANALOG14_CHANNEL
#define DIO128_ADC ANALOG14_ADC
#define DIO128_ADC_CHANNEL ANALOG14_ADC_CHANNEL
#endif</v>
      </c>
      <c r="I127" s="9" t="str">
        <f t="shared" si="17"/>
        <v>#if ANALOG14&gt;=0
mcu_config_analog(ANALOG14);
#endif</v>
      </c>
    </row>
    <row r="128" spans="1:9" ht="15" customHeight="1" x14ac:dyDescent="0.25">
      <c r="A128" s="4">
        <v>129</v>
      </c>
      <c r="B128" s="4" t="str">
        <f t="shared" si="0"/>
        <v>DIO129</v>
      </c>
      <c r="C128" s="4" t="s">
        <v>88</v>
      </c>
      <c r="D128" s="6"/>
      <c r="E128" s="9" t="str">
        <f t="shared" si="7"/>
        <v>#if(defined(ANALOG15_BIT))
#define ANALOG15 129
#if (ANALOG15_BIT&lt;32)
#define ANALOG15_OUTREG OUT0
#define ANALOG15_INREG IN0
#else
#define ANALOG15_OUTREG OUT1
#define ANALOG15_INREG IN1
#endif
#define DIO129 129
#define DIO129_BIT ANALOG15_BIT
#define DIO129_OUTREG ANALOG15_OUTREG
#define DIO129_INREG ANALOG15_INREG
#endif</v>
      </c>
      <c r="F128" s="9"/>
      <c r="G128" s="9"/>
      <c r="H128" s="12" t="str">
        <f t="shared" si="16"/>
        <v>#ifdef ANALOG15
#define ANALOG15_ADC_CHANNEL _adc_channel_helper(ANALOG15_CHANNEL, ANALOG15_ADC)
#define DIO129_CHANNEL ANALOG15_CHANNEL
#define DIO129_ADC ANALOG15_ADC
#define DIO129_ADC_CHANNEL ANALOG15_ADC_CHANNEL
#endif</v>
      </c>
      <c r="I128" s="9" t="str">
        <f t="shared" si="17"/>
        <v>#if ANALOG15&gt;=0
mcu_config_analog(ANALOG15);
#endif</v>
      </c>
    </row>
    <row r="129" spans="1:10" ht="15" customHeight="1" x14ac:dyDescent="0.25">
      <c r="A129" s="4">
        <v>130</v>
      </c>
      <c r="B129" s="4" t="str">
        <f t="shared" si="0"/>
        <v>DIO130</v>
      </c>
      <c r="C129" s="5" t="s">
        <v>89</v>
      </c>
      <c r="D129" s="6"/>
      <c r="E129" s="9" t="str">
        <f t="shared" si="7"/>
        <v>#if(defined(DIN0_BIT))
#define DIN0 130
#if (DIN0_BIT&lt;32)
#define DIN0_OUTREG OUT0
#define DIN0_INREG IN0
#else
#define DIN0_OUTREG OUT1
#define DIN0_INREG IN1
#endif
#define DIO130 130
#define DIO130_BIT DIN0_BIT
#define DIO130_OUTREG DIN0_OUTREG
#define DIO130_INREG DIN0_INREG
#endif</v>
      </c>
      <c r="F129" s="12" t="str">
        <f>"#if(defined("&amp;C129&amp;"_ISR) &amp;&amp; defined("&amp;C129&amp;"))
#define "&amp;B129&amp;"_ISR ("&amp;C129&amp;"_ISR)
#define "&amp;C129&amp;"_ISRVAR 3
#define "&amp;B129&amp;"_ISRVAR 3
#endif"</f>
        <v>#if(defined(DIN0_ISR) &amp;&amp; defined(DIN0))
#define DIO130_ISR (DIN0_ISR)
#define DIN0_ISRVAR 3
#define DIO130_ISRVAR 3
#endif</v>
      </c>
      <c r="G129" s="9" t="str">
        <f t="shared" ref="G129:G136" si="18">"#ifndef "&amp;C129&amp;"_ISR0
#define "&amp;C129&amp;"_ISR0 0
#endif
#ifndef "&amp;C129&amp;"_ISR1
#define "&amp;C129&amp;"_ISR1 0
#endif
#ifndef "&amp;C129&amp;"_ISR2
#define "&amp;C129&amp;"_ISR2 0
#endif
#ifndef "&amp;C129&amp;"_ISRA
#define "&amp;C129&amp;"_ISRA 0
#endif
#ifndef "&amp;C129&amp;"_ISRB
#define "&amp;C129&amp;"_ISRB 0
#endif
#define "&amp;C129&amp;"_ISR_MASK ("&amp;C129&amp;"_ISR0 | "&amp;C129&amp;"_ISR1 | "&amp;C129&amp;"_ISR2 | "&amp;C129&amp;"_ISRA | "&amp;C129&amp;"_ISRB)
#ifndef "&amp;C129&amp;"_ISR_MASK
#define "&amp;C129&amp;"_ISR_MASK 0
#endif
#define "&amp;B129&amp;"_ISR_MASK "&amp;C129&amp;"_ISR_MASK
#define "&amp;B129&amp;"_ISRREG "&amp;C129&amp;"_ISRREG"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29" s="6"/>
      <c r="I129" s="9" t="str">
        <f t="shared" ref="I129:I136" si="19">"#if "&amp;C129&amp;"&gt;=0
mcu_config_input("&amp;C129&amp;");
#ifdef "&amp;C129&amp;"_PULLUP
mcu_config_pullup("&amp;C129&amp;");
#endif
#ifdef "&amp;C129&amp;"_ISR
mcu_config_input_isr("&amp;C129&amp;");
#endif
#endif"</f>
        <v>#if DIN0&gt;=0
mcu_config_input(DIN0);
#ifdef DIN0_PULLUP
mcu_config_pullup(DIN0);
#endif
#ifdef DIN0_ISR
mcu_config_input_isr(DIN0);
#endif
#endif</v>
      </c>
      <c r="J129" t="str">
        <f t="shared" ref="J129:J136" si="20">"defined("&amp;C129&amp;"_ISR)"</f>
        <v>defined(DIN0_ISR)</v>
      </c>
    </row>
    <row r="130" spans="1:10" ht="15" customHeight="1" x14ac:dyDescent="0.25">
      <c r="A130" s="4">
        <v>131</v>
      </c>
      <c r="B130" s="4" t="str">
        <f t="shared" si="0"/>
        <v>DIO131</v>
      </c>
      <c r="C130" s="5" t="s">
        <v>90</v>
      </c>
      <c r="D130" s="6"/>
      <c r="E130" s="9" t="str">
        <f t="shared" si="7"/>
        <v>#if(defined(DIN1_BIT))
#define DIN1 131
#if (DIN1_BIT&lt;32)
#define DIN1_OUTREG OUT0
#define DIN1_INREG IN0
#else
#define DIN1_OUTREG OUT1
#define DIN1_INREG IN1
#endif
#define DIO131 131
#define DIO131_BIT DIN1_BIT
#define DIO131_OUTREG DIN1_OUTREG
#define DIO131_INREG DIN1_INREG
#endif</v>
      </c>
      <c r="F130" s="12" t="str">
        <f t="shared" ref="F130:F136" si="21">"#if(defined("&amp;C130&amp;"_ISR) &amp;&amp; defined("&amp;C130&amp;"))
#define "&amp;B130&amp;"_ISR ("&amp;C130&amp;"_ISR)
#define "&amp;C130&amp;"_ISRVAR 3
#define "&amp;B130&amp;"_ISRVAR 3
#endif"</f>
        <v>#if(defined(DIN1_ISR) &amp;&amp; defined(DIN1))
#define DIO131_ISR (DIN1_ISR)
#define DIN1_ISRVAR 3
#define DIO131_ISRVAR 3
#endif</v>
      </c>
      <c r="G130" s="9" t="str">
        <f t="shared" si="18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30" s="6"/>
      <c r="I130" s="9" t="str">
        <f t="shared" si="19"/>
        <v>#if DIN1&gt;=0
mcu_config_input(DIN1);
#ifdef DIN1_PULLUP
mcu_config_pullup(DIN1);
#endif
#ifdef DIN1_ISR
mcu_config_input_isr(DIN1);
#endif
#endif</v>
      </c>
      <c r="J130" t="str">
        <f t="shared" si="20"/>
        <v>defined(DIN1_ISR)</v>
      </c>
    </row>
    <row r="131" spans="1:10" ht="15" customHeight="1" x14ac:dyDescent="0.25">
      <c r="A131" s="4">
        <v>132</v>
      </c>
      <c r="B131" s="4" t="str">
        <f t="shared" si="0"/>
        <v>DIO132</v>
      </c>
      <c r="C131" s="5" t="s">
        <v>91</v>
      </c>
      <c r="D131" s="6"/>
      <c r="E131" s="9" t="str">
        <f t="shared" si="7"/>
        <v>#if(defined(DIN2_BIT))
#define DIN2 132
#if (DIN2_BIT&lt;32)
#define DIN2_OUTREG OUT0
#define DIN2_INREG IN0
#else
#define DIN2_OUTREG OUT1
#define DIN2_INREG IN1
#endif
#define DIO132 132
#define DIO132_BIT DIN2_BIT
#define DIO132_OUTREG DIN2_OUTREG
#define DIO132_INREG DIN2_INREG
#endif</v>
      </c>
      <c r="F131" s="12" t="str">
        <f t="shared" si="21"/>
        <v>#if(defined(DIN2_ISR) &amp;&amp; defined(DIN2))
#define DIO132_ISR (DIN2_ISR)
#define DIN2_ISRVAR 3
#define DIO132_ISRVAR 3
#endif</v>
      </c>
      <c r="G131" s="9" t="str">
        <f t="shared" si="18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31" s="6"/>
      <c r="I131" s="9" t="str">
        <f t="shared" si="19"/>
        <v>#if DIN2&gt;=0
mcu_config_input(DIN2);
#ifdef DIN2_PULLUP
mcu_config_pullup(DIN2);
#endif
#ifdef DIN2_ISR
mcu_config_input_isr(DIN2);
#endif
#endif</v>
      </c>
      <c r="J131" t="str">
        <f t="shared" si="20"/>
        <v>defined(DIN2_ISR)</v>
      </c>
    </row>
    <row r="132" spans="1:10" ht="15" customHeight="1" x14ac:dyDescent="0.25">
      <c r="A132" s="4">
        <v>133</v>
      </c>
      <c r="B132" s="4" t="str">
        <f t="shared" si="0"/>
        <v>DIO133</v>
      </c>
      <c r="C132" s="5" t="s">
        <v>92</v>
      </c>
      <c r="D132" s="6"/>
      <c r="E132" s="9" t="str">
        <f t="shared" si="7"/>
        <v>#if(defined(DIN3_BIT))
#define DIN3 133
#if (DIN3_BIT&lt;32)
#define DIN3_OUTREG OUT0
#define DIN3_INREG IN0
#else
#define DIN3_OUTREG OUT1
#define DIN3_INREG IN1
#endif
#define DIO133 133
#define DIO133_BIT DIN3_BIT
#define DIO133_OUTREG DIN3_OUTREG
#define DIO133_INREG DIN3_INREG
#endif</v>
      </c>
      <c r="F132" s="12" t="str">
        <f t="shared" si="21"/>
        <v>#if(defined(DIN3_ISR) &amp;&amp; defined(DIN3))
#define DIO133_ISR (DIN3_ISR)
#define DIN3_ISRVAR 3
#define DIO133_ISRVAR 3
#endif</v>
      </c>
      <c r="G132" s="9" t="str">
        <f t="shared" si="18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32" s="6"/>
      <c r="I132" s="9" t="str">
        <f t="shared" si="19"/>
        <v>#if DIN3&gt;=0
mcu_config_input(DIN3);
#ifdef DIN3_PULLUP
mcu_config_pullup(DIN3);
#endif
#ifdef DIN3_ISR
mcu_config_input_isr(DIN3);
#endif
#endif</v>
      </c>
      <c r="J132" t="str">
        <f t="shared" si="20"/>
        <v>defined(DIN3_ISR)</v>
      </c>
    </row>
    <row r="133" spans="1:10" ht="15" customHeight="1" x14ac:dyDescent="0.25">
      <c r="A133" s="4">
        <v>134</v>
      </c>
      <c r="B133" s="4" t="str">
        <f t="shared" si="0"/>
        <v>DIO134</v>
      </c>
      <c r="C133" s="5" t="s">
        <v>93</v>
      </c>
      <c r="D133" s="6"/>
      <c r="E133" s="9" t="str">
        <f t="shared" si="7"/>
        <v>#if(defined(DIN4_BIT))
#define DIN4 134
#if (DIN4_BIT&lt;32)
#define DIN4_OUTREG OUT0
#define DIN4_INREG IN0
#else
#define DIN4_OUTREG OUT1
#define DIN4_INREG IN1
#endif
#define DIO134 134
#define DIO134_BIT DIN4_BIT
#define DIO134_OUTREG DIN4_OUTREG
#define DIO134_INREG DIN4_INREG
#endif</v>
      </c>
      <c r="F133" s="12" t="str">
        <f t="shared" si="21"/>
        <v>#if(defined(DIN4_ISR) &amp;&amp; defined(DIN4))
#define DIO134_ISR (DIN4_ISR)
#define DIN4_ISRVAR 3
#define DIO134_ISRVAR 3
#endif</v>
      </c>
      <c r="G133" s="9" t="str">
        <f t="shared" si="18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33" s="6"/>
      <c r="I133" s="9" t="str">
        <f t="shared" si="19"/>
        <v>#if DIN4&gt;=0
mcu_config_input(DIN4);
#ifdef DIN4_PULLUP
mcu_config_pullup(DIN4);
#endif
#ifdef DIN4_ISR
mcu_config_input_isr(DIN4);
#endif
#endif</v>
      </c>
      <c r="J133" t="str">
        <f t="shared" si="20"/>
        <v>defined(DIN4_ISR)</v>
      </c>
    </row>
    <row r="134" spans="1:10" ht="15" customHeight="1" x14ac:dyDescent="0.25">
      <c r="A134" s="4">
        <v>135</v>
      </c>
      <c r="B134" s="4" t="str">
        <f t="shared" si="0"/>
        <v>DIO135</v>
      </c>
      <c r="C134" s="5" t="s">
        <v>94</v>
      </c>
      <c r="D134" s="6"/>
      <c r="E134" s="9" t="str">
        <f t="shared" si="7"/>
        <v>#if(defined(DIN5_BIT))
#define DIN5 135
#if (DIN5_BIT&lt;32)
#define DIN5_OUTREG OUT0
#define DIN5_INREG IN0
#else
#define DIN5_OUTREG OUT1
#define DIN5_INREG IN1
#endif
#define DIO135 135
#define DIO135_BIT DIN5_BIT
#define DIO135_OUTREG DIN5_OUTREG
#define DIO135_INREG DIN5_INREG
#endif</v>
      </c>
      <c r="F134" s="12" t="str">
        <f t="shared" si="21"/>
        <v>#if(defined(DIN5_ISR) &amp;&amp; defined(DIN5))
#define DIO135_ISR (DIN5_ISR)
#define DIN5_ISRVAR 3
#define DIO135_ISRVAR 3
#endif</v>
      </c>
      <c r="G134" s="9" t="str">
        <f t="shared" si="18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34" s="6"/>
      <c r="I134" s="9" t="str">
        <f t="shared" si="19"/>
        <v>#if DIN5&gt;=0
mcu_config_input(DIN5);
#ifdef DIN5_PULLUP
mcu_config_pullup(DIN5);
#endif
#ifdef DIN5_ISR
mcu_config_input_isr(DIN5);
#endif
#endif</v>
      </c>
      <c r="J134" t="str">
        <f t="shared" si="20"/>
        <v>defined(DIN5_ISR)</v>
      </c>
    </row>
    <row r="135" spans="1:10" ht="15" customHeight="1" x14ac:dyDescent="0.25">
      <c r="A135" s="4">
        <v>136</v>
      </c>
      <c r="B135" s="4" t="str">
        <f t="shared" si="0"/>
        <v>DIO136</v>
      </c>
      <c r="C135" s="5" t="s">
        <v>95</v>
      </c>
      <c r="D135" s="6"/>
      <c r="E135" s="9" t="str">
        <f t="shared" si="7"/>
        <v>#if(defined(DIN6_BIT))
#define DIN6 136
#if (DIN6_BIT&lt;32)
#define DIN6_OUTREG OUT0
#define DIN6_INREG IN0
#else
#define DIN6_OUTREG OUT1
#define DIN6_INREG IN1
#endif
#define DIO136 136
#define DIO136_BIT DIN6_BIT
#define DIO136_OUTREG DIN6_OUTREG
#define DIO136_INREG DIN6_INREG
#endif</v>
      </c>
      <c r="F135" s="12" t="str">
        <f t="shared" si="21"/>
        <v>#if(defined(DIN6_ISR) &amp;&amp; defined(DIN6))
#define DIO136_ISR (DIN6_ISR)
#define DIN6_ISRVAR 3
#define DIO136_ISRVAR 3
#endif</v>
      </c>
      <c r="G135" s="9" t="str">
        <f t="shared" si="18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35" s="6"/>
      <c r="I135" s="9" t="str">
        <f t="shared" si="19"/>
        <v>#if DIN6&gt;=0
mcu_config_input(DIN6);
#ifdef DIN6_PULLUP
mcu_config_pullup(DIN6);
#endif
#ifdef DIN6_ISR
mcu_config_input_isr(DIN6);
#endif
#endif</v>
      </c>
      <c r="J135" t="str">
        <f t="shared" si="20"/>
        <v>defined(DIN6_ISR)</v>
      </c>
    </row>
    <row r="136" spans="1:10" ht="15" customHeight="1" x14ac:dyDescent="0.25">
      <c r="A136" s="4">
        <v>137</v>
      </c>
      <c r="B136" s="4" t="str">
        <f t="shared" si="0"/>
        <v>DIO137</v>
      </c>
      <c r="C136" s="5" t="s">
        <v>96</v>
      </c>
      <c r="D136" s="6"/>
      <c r="E136" s="9" t="str">
        <f t="shared" si="7"/>
        <v>#if(defined(DIN7_BIT))
#define DIN7 137
#if (DIN7_BIT&lt;32)
#define DIN7_OUTREG OUT0
#define DIN7_INREG IN0
#else
#define DIN7_OUTREG OUT1
#define DIN7_INREG IN1
#endif
#define DIO137 137
#define DIO137_BIT DIN7_BIT
#define DIO137_OUTREG DIN7_OUTREG
#define DIO137_INREG DIN7_INREG
#endif</v>
      </c>
      <c r="F136" s="12" t="str">
        <f t="shared" si="21"/>
        <v>#if(defined(DIN7_ISR) &amp;&amp; defined(DIN7))
#define DIO137_ISR (DIN7_ISR)
#define DIN7_ISRVAR 3
#define DIO137_ISRVAR 3
#endif</v>
      </c>
      <c r="G136" s="9" t="str">
        <f t="shared" si="18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36" s="6"/>
      <c r="I136" s="9" t="str">
        <f t="shared" si="19"/>
        <v>#if DIN7&gt;=0
mcu_config_input(DIN7);
#ifdef DIN7_PULLUP
mcu_config_pullup(DIN7);
#endif
#ifdef DIN7_ISR
mcu_config_input_isr(DIN7);
#endif
#endif</v>
      </c>
      <c r="J136" t="str">
        <f t="shared" si="20"/>
        <v>defined(DIN7_ISR)</v>
      </c>
    </row>
    <row r="137" spans="1:10" ht="15" customHeight="1" x14ac:dyDescent="0.25">
      <c r="A137" s="4">
        <v>138</v>
      </c>
      <c r="B137" s="4" t="str">
        <f t="shared" si="0"/>
        <v>DIO138</v>
      </c>
      <c r="C137" s="5" t="s">
        <v>97</v>
      </c>
      <c r="D137" s="6"/>
      <c r="E137" s="9" t="str">
        <f t="shared" si="7"/>
        <v>#if(defined(DIN8_BIT))
#define DIN8 138
#if (DIN8_BIT&lt;32)
#define DIN8_OUTREG OUT0
#define DIN8_INREG IN0
#else
#define DIN8_OUTREG OUT1
#define DIN8_INREG IN1
#endif
#define DIO138 138
#define DIO138_BIT DIN8_BIT
#define DIO138_OUTREG DIN8_OUTREG
#define DIO138_INREG DIN8_INREG
#endif</v>
      </c>
      <c r="F137" s="6"/>
      <c r="G137" s="6"/>
      <c r="H137" s="6"/>
      <c r="I137" s="9" t="str">
        <f t="shared" ref="I137:I183" si="22">"#if "&amp;C137&amp;"&gt;=0
mcu_config_input("&amp;C137&amp;");
#ifdef "&amp;C137&amp;"_PULLUP
mcu_config_pullup("&amp;C137&amp;");
#endif
#endif"</f>
        <v>#if DIN8&gt;=0
mcu_config_input(DIN8);
#ifdef DIN8_PULLUP
mcu_config_pullup(DIN8);
#endif
#endif</v>
      </c>
    </row>
    <row r="138" spans="1:10" ht="15" customHeight="1" x14ac:dyDescent="0.25">
      <c r="A138" s="4">
        <v>139</v>
      </c>
      <c r="B138" s="4" t="str">
        <f t="shared" si="0"/>
        <v>DIO139</v>
      </c>
      <c r="C138" s="5" t="s">
        <v>98</v>
      </c>
      <c r="D138" s="6"/>
      <c r="E138" s="9" t="str">
        <f t="shared" si="7"/>
        <v>#if(defined(DIN9_BIT))
#define DIN9 139
#if (DIN9_BIT&lt;32)
#define DIN9_OUTREG OUT0
#define DIN9_INREG IN0
#else
#define DIN9_OUTREG OUT1
#define DIN9_INREG IN1
#endif
#define DIO139 139
#define DIO139_BIT DIN9_BIT
#define DIO139_OUTREG DIN9_OUTREG
#define DIO139_INREG DIN9_INREG
#endif</v>
      </c>
      <c r="F138" s="6"/>
      <c r="G138" s="6"/>
      <c r="H138" s="6"/>
      <c r="I138" s="9" t="str">
        <f t="shared" si="22"/>
        <v>#if DIN9&gt;=0
mcu_config_input(DIN9);
#ifdef DIN9_PULLUP
mcu_config_pullup(DIN9);
#endif
#endif</v>
      </c>
    </row>
    <row r="139" spans="1:10" ht="15" customHeight="1" x14ac:dyDescent="0.25">
      <c r="A139" s="4">
        <v>140</v>
      </c>
      <c r="B139" s="4" t="str">
        <f t="shared" si="0"/>
        <v>DIO140</v>
      </c>
      <c r="C139" s="5" t="s">
        <v>99</v>
      </c>
      <c r="D139" s="6"/>
      <c r="E139" s="9" t="str">
        <f t="shared" si="7"/>
        <v>#if(defined(DIN10_BIT))
#define DIN10 140
#if (DIN10_BIT&lt;32)
#define DIN10_OUTREG OUT0
#define DIN10_INREG IN0
#else
#define DIN10_OUTREG OUT1
#define DIN10_INREG IN1
#endif
#define DIO140 140
#define DIO140_BIT DIN10_BIT
#define DIO140_OUTREG DIN10_OUTREG
#define DIO140_INREG DIN10_INREG
#endif</v>
      </c>
      <c r="F139" s="6"/>
      <c r="G139" s="6"/>
      <c r="H139" s="6"/>
      <c r="I139" s="9" t="str">
        <f t="shared" si="22"/>
        <v>#if DIN10&gt;=0
mcu_config_input(DIN10);
#ifdef DIN10_PULLUP
mcu_config_pullup(DIN10);
#endif
#endif</v>
      </c>
    </row>
    <row r="140" spans="1:10" ht="15" customHeight="1" x14ac:dyDescent="0.25">
      <c r="A140" s="4">
        <v>141</v>
      </c>
      <c r="B140" s="4" t="str">
        <f t="shared" si="0"/>
        <v>DIO141</v>
      </c>
      <c r="C140" s="5" t="s">
        <v>100</v>
      </c>
      <c r="D140" s="6"/>
      <c r="E140" s="9" t="str">
        <f t="shared" si="7"/>
        <v>#if(defined(DIN11_BIT))
#define DIN11 141
#if (DIN11_BIT&lt;32)
#define DIN11_OUTREG OUT0
#define DIN11_INREG IN0
#else
#define DIN11_OUTREG OUT1
#define DIN11_INREG IN1
#endif
#define DIO141 141
#define DIO141_BIT DIN11_BIT
#define DIO141_OUTREG DIN11_OUTREG
#define DIO141_INREG DIN11_INREG
#endif</v>
      </c>
      <c r="F140" s="6"/>
      <c r="G140" s="6"/>
      <c r="H140" s="6"/>
      <c r="I140" s="9" t="str">
        <f t="shared" si="22"/>
        <v>#if DIN11&gt;=0
mcu_config_input(DIN11);
#ifdef DIN11_PULLUP
mcu_config_pullup(DIN11);
#endif
#endif</v>
      </c>
    </row>
    <row r="141" spans="1:10" ht="15" customHeight="1" x14ac:dyDescent="0.25">
      <c r="A141" s="4">
        <v>142</v>
      </c>
      <c r="B141" s="4" t="str">
        <f t="shared" si="0"/>
        <v>DIO142</v>
      </c>
      <c r="C141" s="5" t="s">
        <v>101</v>
      </c>
      <c r="D141" s="6"/>
      <c r="E141" s="9" t="str">
        <f t="shared" si="7"/>
        <v>#if(defined(DIN12_BIT))
#define DIN12 142
#if (DIN12_BIT&lt;32)
#define DIN12_OUTREG OUT0
#define DIN12_INREG IN0
#else
#define DIN12_OUTREG OUT1
#define DIN12_INREG IN1
#endif
#define DIO142 142
#define DIO142_BIT DIN12_BIT
#define DIO142_OUTREG DIN12_OUTREG
#define DIO142_INREG DIN12_INREG
#endif</v>
      </c>
      <c r="F141" s="6"/>
      <c r="G141" s="6"/>
      <c r="H141" s="6"/>
      <c r="I141" s="9" t="str">
        <f t="shared" si="22"/>
        <v>#if DIN12&gt;=0
mcu_config_input(DIN12);
#ifdef DIN12_PULLUP
mcu_config_pullup(DIN12);
#endif
#endif</v>
      </c>
    </row>
    <row r="142" spans="1:10" ht="15" customHeight="1" x14ac:dyDescent="0.25">
      <c r="A142" s="4">
        <v>143</v>
      </c>
      <c r="B142" s="4" t="str">
        <f t="shared" si="0"/>
        <v>DIO143</v>
      </c>
      <c r="C142" s="5" t="s">
        <v>102</v>
      </c>
      <c r="D142" s="6"/>
      <c r="E142" s="9" t="str">
        <f t="shared" si="7"/>
        <v>#if(defined(DIN13_BIT))
#define DIN13 143
#if (DIN13_BIT&lt;32)
#define DIN13_OUTREG OUT0
#define DIN13_INREG IN0
#else
#define DIN13_OUTREG OUT1
#define DIN13_INREG IN1
#endif
#define DIO143 143
#define DIO143_BIT DIN13_BIT
#define DIO143_OUTREG DIN13_OUTREG
#define DIO143_INREG DIN13_INREG
#endif</v>
      </c>
      <c r="F142" s="6"/>
      <c r="G142" s="6"/>
      <c r="H142" s="6"/>
      <c r="I142" s="9" t="str">
        <f t="shared" si="22"/>
        <v>#if DIN13&gt;=0
mcu_config_input(DIN13);
#ifdef DIN13_PULLUP
mcu_config_pullup(DIN13);
#endif
#endif</v>
      </c>
    </row>
    <row r="143" spans="1:10" ht="15" customHeight="1" x14ac:dyDescent="0.25">
      <c r="A143" s="4">
        <v>144</v>
      </c>
      <c r="B143" s="4" t="str">
        <f t="shared" si="0"/>
        <v>DIO144</v>
      </c>
      <c r="C143" s="5" t="s">
        <v>103</v>
      </c>
      <c r="D143" s="6"/>
      <c r="E143" s="9" t="str">
        <f t="shared" si="7"/>
        <v>#if(defined(DIN14_BIT))
#define DIN14 144
#if (DIN14_BIT&lt;32)
#define DIN14_OUTREG OUT0
#define DIN14_INREG IN0
#else
#define DIN14_OUTREG OUT1
#define DIN14_INREG IN1
#endif
#define DIO144 144
#define DIO144_BIT DIN14_BIT
#define DIO144_OUTREG DIN14_OUTREG
#define DIO144_INREG DIN14_INREG
#endif</v>
      </c>
      <c r="F143" s="6"/>
      <c r="G143" s="6"/>
      <c r="H143" s="6"/>
      <c r="I143" s="9" t="str">
        <f t="shared" si="22"/>
        <v>#if DIN14&gt;=0
mcu_config_input(DIN14);
#ifdef DIN14_PULLUP
mcu_config_pullup(DIN14);
#endif
#endif</v>
      </c>
    </row>
    <row r="144" spans="1:10" ht="15" customHeight="1" x14ac:dyDescent="0.25">
      <c r="A144" s="4">
        <v>145</v>
      </c>
      <c r="B144" s="4" t="str">
        <f t="shared" si="0"/>
        <v>DIO145</v>
      </c>
      <c r="C144" s="5" t="s">
        <v>104</v>
      </c>
      <c r="D144" s="6"/>
      <c r="E144" s="9" t="str">
        <f t="shared" si="7"/>
        <v>#if(defined(DIN15_BIT))
#define DIN15 145
#if (DIN15_BIT&lt;32)
#define DIN15_OUTREG OUT0
#define DIN15_INREG IN0
#else
#define DIN15_OUTREG OUT1
#define DIN15_INREG IN1
#endif
#define DIO145 145
#define DIO145_BIT DIN15_BIT
#define DIO145_OUTREG DIN15_OUTREG
#define DIO145_INREG DIN15_INREG
#endif</v>
      </c>
      <c r="F144" s="6"/>
      <c r="G144" s="6"/>
      <c r="H144" s="6"/>
      <c r="I144" s="9" t="str">
        <f t="shared" si="22"/>
        <v>#if DIN15&gt;=0
mcu_config_input(DIN15);
#ifdef DIN15_PULLUP
mcu_config_pullup(DIN15);
#endif
#endif</v>
      </c>
    </row>
    <row r="145" spans="1:9" ht="15" customHeight="1" x14ac:dyDescent="0.25">
      <c r="A145" s="4">
        <v>146</v>
      </c>
      <c r="B145" s="4" t="str">
        <f t="shared" si="0"/>
        <v>DIO146</v>
      </c>
      <c r="C145" s="5" t="s">
        <v>207</v>
      </c>
      <c r="D145" s="6"/>
      <c r="E145" s="9" t="str">
        <f t="shared" si="7"/>
        <v>#if(defined(DIN16_BIT))
#define DIN16 146
#if (DIN16_BIT&lt;32)
#define DIN16_OUTREG OUT0
#define DIN16_INREG IN0
#else
#define DIN16_OUTREG OUT1
#define DIN16_INREG IN1
#endif
#define DIO146 146
#define DIO146_BIT DIN16_BIT
#define DIO146_OUTREG DIN16_OUTREG
#define DIO146_INREG DIN16_INREG
#endif</v>
      </c>
      <c r="F145" s="6"/>
      <c r="G145" s="6"/>
      <c r="H145" s="6"/>
      <c r="I145" s="9" t="str">
        <f t="shared" si="22"/>
        <v>#if DIN16&gt;=0
mcu_config_input(DIN16);
#ifdef DIN16_PULLUP
mcu_config_pullup(DIN16);
#endif
#endif</v>
      </c>
    </row>
    <row r="146" spans="1:9" ht="15" customHeight="1" x14ac:dyDescent="0.25">
      <c r="A146" s="4">
        <v>147</v>
      </c>
      <c r="B146" s="4" t="str">
        <f t="shared" si="0"/>
        <v>DIO147</v>
      </c>
      <c r="C146" s="5" t="s">
        <v>208</v>
      </c>
      <c r="D146" s="6"/>
      <c r="E146" s="9" t="str">
        <f t="shared" si="7"/>
        <v>#if(defined(DIN17_BIT))
#define DIN17 147
#if (DIN17_BIT&lt;32)
#define DIN17_OUTREG OUT0
#define DIN17_INREG IN0
#else
#define DIN17_OUTREG OUT1
#define DIN17_INREG IN1
#endif
#define DIO147 147
#define DIO147_BIT DIN17_BIT
#define DIO147_OUTREG DIN17_OUTREG
#define DIO147_INREG DIN17_INREG
#endif</v>
      </c>
      <c r="F146" s="6"/>
      <c r="G146" s="6"/>
      <c r="H146" s="6"/>
      <c r="I146" s="9" t="str">
        <f t="shared" si="22"/>
        <v>#if DIN17&gt;=0
mcu_config_input(DIN17);
#ifdef DIN17_PULLUP
mcu_config_pullup(DIN17);
#endif
#endif</v>
      </c>
    </row>
    <row r="147" spans="1:9" ht="15" customHeight="1" x14ac:dyDescent="0.25">
      <c r="A147" s="4">
        <v>148</v>
      </c>
      <c r="B147" s="4" t="str">
        <f t="shared" si="0"/>
        <v>DIO148</v>
      </c>
      <c r="C147" s="5" t="s">
        <v>209</v>
      </c>
      <c r="D147" s="6"/>
      <c r="E147" s="9" t="str">
        <f t="shared" si="7"/>
        <v>#if(defined(DIN18_BIT))
#define DIN18 148
#if (DIN18_BIT&lt;32)
#define DIN18_OUTREG OUT0
#define DIN18_INREG IN0
#else
#define DIN18_OUTREG OUT1
#define DIN18_INREG IN1
#endif
#define DIO148 148
#define DIO148_BIT DIN18_BIT
#define DIO148_OUTREG DIN18_OUTREG
#define DIO148_INREG DIN18_INREG
#endif</v>
      </c>
      <c r="F147" s="6"/>
      <c r="G147" s="6"/>
      <c r="H147" s="6"/>
      <c r="I147" s="9" t="str">
        <f t="shared" si="22"/>
        <v>#if DIN18&gt;=0
mcu_config_input(DIN18);
#ifdef DIN18_PULLUP
mcu_config_pullup(DIN18);
#endif
#endif</v>
      </c>
    </row>
    <row r="148" spans="1:9" ht="15" customHeight="1" x14ac:dyDescent="0.25">
      <c r="A148" s="4">
        <v>149</v>
      </c>
      <c r="B148" s="4" t="str">
        <f t="shared" si="0"/>
        <v>DIO149</v>
      </c>
      <c r="C148" s="5" t="s">
        <v>210</v>
      </c>
      <c r="D148" s="6"/>
      <c r="E148" s="9" t="str">
        <f t="shared" si="7"/>
        <v>#if(defined(DIN19_BIT))
#define DIN19 149
#if (DIN19_BIT&lt;32)
#define DIN19_OUTREG OUT0
#define DIN19_INREG IN0
#else
#define DIN19_OUTREG OUT1
#define DIN19_INREG IN1
#endif
#define DIO149 149
#define DIO149_BIT DIN19_BIT
#define DIO149_OUTREG DIN19_OUTREG
#define DIO149_INREG DIN19_INREG
#endif</v>
      </c>
      <c r="F148" s="6"/>
      <c r="G148" s="6"/>
      <c r="H148" s="6"/>
      <c r="I148" s="9" t="str">
        <f t="shared" si="22"/>
        <v>#if DIN19&gt;=0
mcu_config_input(DIN19);
#ifdef DIN19_PULLUP
mcu_config_pullup(DIN19);
#endif
#endif</v>
      </c>
    </row>
    <row r="149" spans="1:9" ht="15" customHeight="1" x14ac:dyDescent="0.25">
      <c r="A149" s="4">
        <v>150</v>
      </c>
      <c r="B149" s="4" t="str">
        <f t="shared" si="0"/>
        <v>DIO150</v>
      </c>
      <c r="C149" s="5" t="s">
        <v>211</v>
      </c>
      <c r="D149" s="6"/>
      <c r="E149" s="9" t="str">
        <f t="shared" si="7"/>
        <v>#if(defined(DIN20_BIT))
#define DIN20 150
#if (DIN20_BIT&lt;32)
#define DIN20_OUTREG OUT0
#define DIN20_INREG IN0
#else
#define DIN20_OUTREG OUT1
#define DIN20_INREG IN1
#endif
#define DIO150 150
#define DIO150_BIT DIN20_BIT
#define DIO150_OUTREG DIN20_OUTREG
#define DIO150_INREG DIN20_INREG
#endif</v>
      </c>
      <c r="F149" s="6"/>
      <c r="G149" s="6"/>
      <c r="H149" s="6"/>
      <c r="I149" s="9" t="str">
        <f t="shared" si="22"/>
        <v>#if DIN20&gt;=0
mcu_config_input(DIN20);
#ifdef DIN20_PULLUP
mcu_config_pullup(DIN20);
#endif
#endif</v>
      </c>
    </row>
    <row r="150" spans="1:9" ht="15" customHeight="1" x14ac:dyDescent="0.25">
      <c r="A150" s="4">
        <v>151</v>
      </c>
      <c r="B150" s="4" t="str">
        <f t="shared" si="0"/>
        <v>DIO151</v>
      </c>
      <c r="C150" s="5" t="s">
        <v>212</v>
      </c>
      <c r="D150" s="6"/>
      <c r="E150" s="9" t="str">
        <f t="shared" ref="E150:E189" si="23">"#if(defined("&amp;C150&amp;"_BIT))
#define "&amp;C150&amp;" "&amp;A150&amp;"
#if ("&amp;C150&amp;"_BIT&lt;32)
#define "&amp;C150&amp;"_OUTREG OUT0
#define "&amp;C150&amp;"_INREG IN0
#else
#define "&amp;C150&amp;"_OUTREG OUT1
#define "&amp;C150&amp;"_INREG IN1
#endif
#define "&amp;B150&amp;" "&amp;A150&amp;"
#define "&amp;B150&amp;"_BIT "&amp;C150&amp;"_BIT
#define "&amp;B150&amp;"_OUTREG "&amp;C150&amp;"_OUTREG
#define "&amp;B150&amp;"_INREG "&amp;C150&amp;"_INREG
#endif"</f>
        <v>#if(defined(DIN21_BIT))
#define DIN21 151
#if (DIN21_BIT&lt;32)
#define DIN21_OUTREG OUT0
#define DIN21_INREG IN0
#else
#define DIN21_OUTREG OUT1
#define DIN21_INREG IN1
#endif
#define DIO151 151
#define DIO151_BIT DIN21_BIT
#define DIO151_OUTREG DIN21_OUTREG
#define DIO151_INREG DIN21_INREG
#endif</v>
      </c>
      <c r="F150" s="6"/>
      <c r="G150" s="6"/>
      <c r="H150" s="6"/>
      <c r="I150" s="9" t="str">
        <f t="shared" si="22"/>
        <v>#if DIN21&gt;=0
mcu_config_input(DIN21);
#ifdef DIN21_PULLUP
mcu_config_pullup(DIN21);
#endif
#endif</v>
      </c>
    </row>
    <row r="151" spans="1:9" ht="15" customHeight="1" x14ac:dyDescent="0.25">
      <c r="A151" s="4">
        <v>152</v>
      </c>
      <c r="B151" s="4" t="str">
        <f t="shared" si="0"/>
        <v>DIO152</v>
      </c>
      <c r="C151" s="5" t="s">
        <v>213</v>
      </c>
      <c r="D151" s="6"/>
      <c r="E151" s="9" t="str">
        <f t="shared" si="23"/>
        <v>#if(defined(DIN22_BIT))
#define DIN22 152
#if (DIN22_BIT&lt;32)
#define DIN22_OUTREG OUT0
#define DIN22_INREG IN0
#else
#define DIN22_OUTREG OUT1
#define DIN22_INREG IN1
#endif
#define DIO152 152
#define DIO152_BIT DIN22_BIT
#define DIO152_OUTREG DIN22_OUTREG
#define DIO152_INREG DIN22_INREG
#endif</v>
      </c>
      <c r="F151" s="6"/>
      <c r="G151" s="6"/>
      <c r="H151" s="6"/>
      <c r="I151" s="9" t="str">
        <f t="shared" si="22"/>
        <v>#if DIN22&gt;=0
mcu_config_input(DIN22);
#ifdef DIN22_PULLUP
mcu_config_pullup(DIN22);
#endif
#endif</v>
      </c>
    </row>
    <row r="152" spans="1:9" ht="15" customHeight="1" x14ac:dyDescent="0.25">
      <c r="A152" s="4">
        <v>153</v>
      </c>
      <c r="B152" s="4" t="str">
        <f t="shared" si="0"/>
        <v>DIO153</v>
      </c>
      <c r="C152" s="5" t="s">
        <v>214</v>
      </c>
      <c r="D152" s="6"/>
      <c r="E152" s="9" t="str">
        <f t="shared" si="23"/>
        <v>#if(defined(DIN23_BIT))
#define DIN23 153
#if (DIN23_BIT&lt;32)
#define DIN23_OUTREG OUT0
#define DIN23_INREG IN0
#else
#define DIN23_OUTREG OUT1
#define DIN23_INREG IN1
#endif
#define DIO153 153
#define DIO153_BIT DIN23_BIT
#define DIO153_OUTREG DIN23_OUTREG
#define DIO153_INREG DIN23_INREG
#endif</v>
      </c>
      <c r="F152" s="6"/>
      <c r="G152" s="6"/>
      <c r="H152" s="6"/>
      <c r="I152" s="9" t="str">
        <f t="shared" si="22"/>
        <v>#if DIN23&gt;=0
mcu_config_input(DIN23);
#ifdef DIN23_PULLUP
mcu_config_pullup(DIN23);
#endif
#endif</v>
      </c>
    </row>
    <row r="153" spans="1:9" ht="15" customHeight="1" x14ac:dyDescent="0.25">
      <c r="A153" s="4">
        <v>154</v>
      </c>
      <c r="B153" s="4" t="str">
        <f t="shared" si="0"/>
        <v>DIO154</v>
      </c>
      <c r="C153" s="5" t="s">
        <v>215</v>
      </c>
      <c r="D153" s="6"/>
      <c r="E153" s="9" t="str">
        <f t="shared" si="23"/>
        <v>#if(defined(DIN24_BIT))
#define DIN24 154
#if (DIN24_BIT&lt;32)
#define DIN24_OUTREG OUT0
#define DIN24_INREG IN0
#else
#define DIN24_OUTREG OUT1
#define DIN24_INREG IN1
#endif
#define DIO154 154
#define DIO154_BIT DIN24_BIT
#define DIO154_OUTREG DIN24_OUTREG
#define DIO154_INREG DIN24_INREG
#endif</v>
      </c>
      <c r="F153" s="6"/>
      <c r="G153" s="6"/>
      <c r="H153" s="6"/>
      <c r="I153" s="9" t="str">
        <f t="shared" si="22"/>
        <v>#if DIN24&gt;=0
mcu_config_input(DIN24);
#ifdef DIN24_PULLUP
mcu_config_pullup(DIN24);
#endif
#endif</v>
      </c>
    </row>
    <row r="154" spans="1:9" ht="15" customHeight="1" x14ac:dyDescent="0.25">
      <c r="A154" s="4">
        <v>155</v>
      </c>
      <c r="B154" s="4" t="str">
        <f t="shared" si="0"/>
        <v>DIO155</v>
      </c>
      <c r="C154" s="5" t="s">
        <v>216</v>
      </c>
      <c r="D154" s="6"/>
      <c r="E154" s="9" t="str">
        <f t="shared" si="23"/>
        <v>#if(defined(DIN25_BIT))
#define DIN25 155
#if (DIN25_BIT&lt;32)
#define DIN25_OUTREG OUT0
#define DIN25_INREG IN0
#else
#define DIN25_OUTREG OUT1
#define DIN25_INREG IN1
#endif
#define DIO155 155
#define DIO155_BIT DIN25_BIT
#define DIO155_OUTREG DIN25_OUTREG
#define DIO155_INREG DIN25_INREG
#endif</v>
      </c>
      <c r="F154" s="6"/>
      <c r="G154" s="6"/>
      <c r="H154" s="6"/>
      <c r="I154" s="9" t="str">
        <f t="shared" si="22"/>
        <v>#if DIN25&gt;=0
mcu_config_input(DIN25);
#ifdef DIN25_PULLUP
mcu_config_pullup(DIN25);
#endif
#endif</v>
      </c>
    </row>
    <row r="155" spans="1:9" ht="15" customHeight="1" x14ac:dyDescent="0.25">
      <c r="A155" s="4">
        <v>156</v>
      </c>
      <c r="B155" s="4" t="str">
        <f t="shared" si="0"/>
        <v>DIO156</v>
      </c>
      <c r="C155" s="5" t="s">
        <v>217</v>
      </c>
      <c r="D155" s="6"/>
      <c r="E155" s="9" t="str">
        <f t="shared" si="23"/>
        <v>#if(defined(DIN26_BIT))
#define DIN26 156
#if (DIN26_BIT&lt;32)
#define DIN26_OUTREG OUT0
#define DIN26_INREG IN0
#else
#define DIN26_OUTREG OUT1
#define DIN26_INREG IN1
#endif
#define DIO156 156
#define DIO156_BIT DIN26_BIT
#define DIO156_OUTREG DIN26_OUTREG
#define DIO156_INREG DIN26_INREG
#endif</v>
      </c>
      <c r="F155" s="6"/>
      <c r="G155" s="6"/>
      <c r="H155" s="6"/>
      <c r="I155" s="9" t="str">
        <f t="shared" si="22"/>
        <v>#if DIN26&gt;=0
mcu_config_input(DIN26);
#ifdef DIN26_PULLUP
mcu_config_pullup(DIN26);
#endif
#endif</v>
      </c>
    </row>
    <row r="156" spans="1:9" ht="15" customHeight="1" x14ac:dyDescent="0.25">
      <c r="A156" s="4">
        <v>157</v>
      </c>
      <c r="B156" s="4" t="str">
        <f t="shared" si="0"/>
        <v>DIO157</v>
      </c>
      <c r="C156" s="5" t="s">
        <v>218</v>
      </c>
      <c r="D156" s="6"/>
      <c r="E156" s="9" t="str">
        <f t="shared" si="23"/>
        <v>#if(defined(DIN27_BIT))
#define DIN27 157
#if (DIN27_BIT&lt;32)
#define DIN27_OUTREG OUT0
#define DIN27_INREG IN0
#else
#define DIN27_OUTREG OUT1
#define DIN27_INREG IN1
#endif
#define DIO157 157
#define DIO157_BIT DIN27_BIT
#define DIO157_OUTREG DIN27_OUTREG
#define DIO157_INREG DIN27_INREG
#endif</v>
      </c>
      <c r="F156" s="6"/>
      <c r="G156" s="6"/>
      <c r="H156" s="6"/>
      <c r="I156" s="9" t="str">
        <f t="shared" si="22"/>
        <v>#if DIN27&gt;=0
mcu_config_input(DIN27);
#ifdef DIN27_PULLUP
mcu_config_pullup(DIN27);
#endif
#endif</v>
      </c>
    </row>
    <row r="157" spans="1:9" ht="15" customHeight="1" x14ac:dyDescent="0.25">
      <c r="A157" s="4">
        <v>158</v>
      </c>
      <c r="B157" s="4" t="str">
        <f t="shared" si="0"/>
        <v>DIO158</v>
      </c>
      <c r="C157" s="5" t="s">
        <v>219</v>
      </c>
      <c r="D157" s="6"/>
      <c r="E157" s="9" t="str">
        <f t="shared" si="23"/>
        <v>#if(defined(DIN28_BIT))
#define DIN28 158
#if (DIN28_BIT&lt;32)
#define DIN28_OUTREG OUT0
#define DIN28_INREG IN0
#else
#define DIN28_OUTREG OUT1
#define DIN28_INREG IN1
#endif
#define DIO158 158
#define DIO158_BIT DIN28_BIT
#define DIO158_OUTREG DIN28_OUTREG
#define DIO158_INREG DIN28_INREG
#endif</v>
      </c>
      <c r="F157" s="6"/>
      <c r="G157" s="6"/>
      <c r="H157" s="6"/>
      <c r="I157" s="9" t="str">
        <f t="shared" si="22"/>
        <v>#if DIN28&gt;=0
mcu_config_input(DIN28);
#ifdef DIN28_PULLUP
mcu_config_pullup(DIN28);
#endif
#endif</v>
      </c>
    </row>
    <row r="158" spans="1:9" ht="15" customHeight="1" x14ac:dyDescent="0.25">
      <c r="A158" s="4">
        <v>159</v>
      </c>
      <c r="B158" s="4" t="str">
        <f t="shared" si="0"/>
        <v>DIO159</v>
      </c>
      <c r="C158" s="5" t="s">
        <v>220</v>
      </c>
      <c r="D158" s="6"/>
      <c r="E158" s="9" t="str">
        <f t="shared" si="23"/>
        <v>#if(defined(DIN29_BIT))
#define DIN29 159
#if (DIN29_BIT&lt;32)
#define DIN29_OUTREG OUT0
#define DIN29_INREG IN0
#else
#define DIN29_OUTREG OUT1
#define DIN29_INREG IN1
#endif
#define DIO159 159
#define DIO159_BIT DIN29_BIT
#define DIO159_OUTREG DIN29_OUTREG
#define DIO159_INREG DIN29_INREG
#endif</v>
      </c>
      <c r="F158" s="6"/>
      <c r="G158" s="6"/>
      <c r="H158" s="6"/>
      <c r="I158" s="9" t="str">
        <f t="shared" si="22"/>
        <v>#if DIN29&gt;=0
mcu_config_input(DIN29);
#ifdef DIN29_PULLUP
mcu_config_pullup(DIN29);
#endif
#endif</v>
      </c>
    </row>
    <row r="159" spans="1:9" ht="15" customHeight="1" x14ac:dyDescent="0.25">
      <c r="A159" s="4">
        <v>160</v>
      </c>
      <c r="B159" s="4" t="str">
        <f t="shared" si="0"/>
        <v>DIO160</v>
      </c>
      <c r="C159" s="5" t="s">
        <v>221</v>
      </c>
      <c r="D159" s="6"/>
      <c r="E159" s="9" t="str">
        <f t="shared" si="23"/>
        <v>#if(defined(DIN30_BIT))
#define DIN30 160
#if (DIN30_BIT&lt;32)
#define DIN30_OUTREG OUT0
#define DIN30_INREG IN0
#else
#define DIN30_OUTREG OUT1
#define DIN30_INREG IN1
#endif
#define DIO160 160
#define DIO160_BIT DIN30_BIT
#define DIO160_OUTREG DIN30_OUTREG
#define DIO160_INREG DIN30_INREG
#endif</v>
      </c>
      <c r="F159" s="6"/>
      <c r="G159" s="6"/>
      <c r="H159" s="6"/>
      <c r="I159" s="9" t="str">
        <f t="shared" si="22"/>
        <v>#if DIN30&gt;=0
mcu_config_input(DIN30);
#ifdef DIN30_PULLUP
mcu_config_pullup(DIN30);
#endif
#endif</v>
      </c>
    </row>
    <row r="160" spans="1:9" ht="15" customHeight="1" x14ac:dyDescent="0.25">
      <c r="A160" s="4">
        <v>161</v>
      </c>
      <c r="B160" s="4" t="str">
        <f t="shared" si="0"/>
        <v>DIO161</v>
      </c>
      <c r="C160" s="5" t="s">
        <v>222</v>
      </c>
      <c r="D160" s="6"/>
      <c r="E160" s="9" t="str">
        <f t="shared" si="23"/>
        <v>#if(defined(DIN31_BIT))
#define DIN31 161
#if (DIN31_BIT&lt;32)
#define DIN31_OUTREG OUT0
#define DIN31_INREG IN0
#else
#define DIN31_OUTREG OUT1
#define DIN31_INREG IN1
#endif
#define DIO161 161
#define DIO161_BIT DIN31_BIT
#define DIO161_OUTREG DIN31_OUTREG
#define DIO161_INREG DIN31_INREG
#endif</v>
      </c>
      <c r="F160" s="6"/>
      <c r="G160" s="6"/>
      <c r="H160" s="6"/>
      <c r="I160" s="9" t="str">
        <f t="shared" si="22"/>
        <v>#if DIN31&gt;=0
mcu_config_input(DIN31);
#ifdef DIN31_PULLUP
mcu_config_pullup(DIN31);
#endif
#endif</v>
      </c>
    </row>
    <row r="161" spans="1:9" ht="15" customHeight="1" x14ac:dyDescent="0.25">
      <c r="A161" s="4">
        <v>162</v>
      </c>
      <c r="B161" s="4" t="str">
        <f t="shared" ref="B161:B178" si="24">"DIO"&amp;A161</f>
        <v>DIO162</v>
      </c>
      <c r="C161" s="5" t="s">
        <v>545</v>
      </c>
      <c r="D161" s="6"/>
      <c r="E161" s="9" t="str">
        <f t="shared" ref="E161:E178" si="25">"#if(defined("&amp;C161&amp;"_BIT))
#define "&amp;C161&amp;" "&amp;A161&amp;"
#if ("&amp;C161&amp;"_BIT&lt;32)
#define "&amp;C161&amp;"_OUTREG OUT0
#define "&amp;C161&amp;"_INREG IN0
#else
#define "&amp;C161&amp;"_OUTREG OUT1
#define "&amp;C161&amp;"_INREG IN1
#endif
#define "&amp;B161&amp;" "&amp;A161&amp;"
#define "&amp;B161&amp;"_BIT "&amp;C161&amp;"_BIT
#define "&amp;B161&amp;"_OUTREG "&amp;C161&amp;"_OUTREG
#define "&amp;B161&amp;"_INREG "&amp;C161&amp;"_INREG
#endif"</f>
        <v>#if(defined(DIN32_BIT))
#define DIN32 162
#if (DIN32_BIT&lt;32)
#define DIN32_OUTREG OUT0
#define DIN32_INREG IN0
#else
#define DIN32_OUTREG OUT1
#define DIN32_INREG IN1
#endif
#define DIO162 162
#define DIO162_BIT DIN32_BIT
#define DIO162_OUTREG DIN32_OUTREG
#define DIO162_INREG DIN32_INREG
#endif</v>
      </c>
      <c r="F161" s="6"/>
      <c r="G161" s="6"/>
      <c r="H161" s="6"/>
      <c r="I161" s="9"/>
    </row>
    <row r="162" spans="1:9" ht="15" customHeight="1" x14ac:dyDescent="0.25">
      <c r="A162" s="4">
        <v>163</v>
      </c>
      <c r="B162" s="4" t="str">
        <f t="shared" si="24"/>
        <v>DIO163</v>
      </c>
      <c r="C162" s="5" t="s">
        <v>546</v>
      </c>
      <c r="D162" s="6"/>
      <c r="E162" s="9" t="str">
        <f t="shared" si="25"/>
        <v>#if(defined(DIN33_BIT))
#define DIN33 163
#if (DIN33_BIT&lt;32)
#define DIN33_OUTREG OUT0
#define DIN33_INREG IN0
#else
#define DIN33_OUTREG OUT1
#define DIN33_INREG IN1
#endif
#define DIO163 163
#define DIO163_BIT DIN33_BIT
#define DIO163_OUTREG DIN33_OUTREG
#define DIO163_INREG DIN33_INREG
#endif</v>
      </c>
      <c r="F162" s="6"/>
      <c r="G162" s="6"/>
      <c r="H162" s="6"/>
      <c r="I162" s="9"/>
    </row>
    <row r="163" spans="1:9" ht="15" customHeight="1" x14ac:dyDescent="0.25">
      <c r="A163" s="4">
        <v>164</v>
      </c>
      <c r="B163" s="4" t="str">
        <f t="shared" si="24"/>
        <v>DIO164</v>
      </c>
      <c r="C163" s="5" t="s">
        <v>547</v>
      </c>
      <c r="D163" s="6"/>
      <c r="E163" s="9" t="str">
        <f t="shared" si="25"/>
        <v>#if(defined(DIN34_BIT))
#define DIN34 164
#if (DIN34_BIT&lt;32)
#define DIN34_OUTREG OUT0
#define DIN34_INREG IN0
#else
#define DIN34_OUTREG OUT1
#define DIN34_INREG IN1
#endif
#define DIO164 164
#define DIO164_BIT DIN34_BIT
#define DIO164_OUTREG DIN34_OUTREG
#define DIO164_INREG DIN34_INREG
#endif</v>
      </c>
      <c r="F163" s="6"/>
      <c r="G163" s="6"/>
      <c r="H163" s="6"/>
      <c r="I163" s="9"/>
    </row>
    <row r="164" spans="1:9" ht="15" customHeight="1" x14ac:dyDescent="0.25">
      <c r="A164" s="4">
        <v>165</v>
      </c>
      <c r="B164" s="4" t="str">
        <f t="shared" si="24"/>
        <v>DIO165</v>
      </c>
      <c r="C164" s="5" t="s">
        <v>548</v>
      </c>
      <c r="D164" s="6"/>
      <c r="E164" s="9" t="str">
        <f t="shared" si="25"/>
        <v>#if(defined(DIN35_BIT))
#define DIN35 165
#if (DIN35_BIT&lt;32)
#define DIN35_OUTREG OUT0
#define DIN35_INREG IN0
#else
#define DIN35_OUTREG OUT1
#define DIN35_INREG IN1
#endif
#define DIO165 165
#define DIO165_BIT DIN35_BIT
#define DIO165_OUTREG DIN35_OUTREG
#define DIO165_INREG DIN35_INREG
#endif</v>
      </c>
      <c r="F164" s="6"/>
      <c r="G164" s="6"/>
      <c r="H164" s="6"/>
      <c r="I164" s="9"/>
    </row>
    <row r="165" spans="1:9" ht="15" customHeight="1" x14ac:dyDescent="0.25">
      <c r="A165" s="4">
        <v>166</v>
      </c>
      <c r="B165" s="4" t="str">
        <f t="shared" si="24"/>
        <v>DIO166</v>
      </c>
      <c r="C165" s="5" t="s">
        <v>549</v>
      </c>
      <c r="D165" s="6"/>
      <c r="E165" s="9" t="str">
        <f t="shared" si="25"/>
        <v>#if(defined(DIN36_BIT))
#define DIN36 166
#if (DIN36_BIT&lt;32)
#define DIN36_OUTREG OUT0
#define DIN36_INREG IN0
#else
#define DIN36_OUTREG OUT1
#define DIN36_INREG IN1
#endif
#define DIO166 166
#define DIO166_BIT DIN36_BIT
#define DIO166_OUTREG DIN36_OUTREG
#define DIO166_INREG DIN36_INREG
#endif</v>
      </c>
      <c r="F165" s="6"/>
      <c r="G165" s="6"/>
      <c r="H165" s="6"/>
      <c r="I165" s="9"/>
    </row>
    <row r="166" spans="1:9" ht="15" customHeight="1" x14ac:dyDescent="0.25">
      <c r="A166" s="4">
        <v>167</v>
      </c>
      <c r="B166" s="4" t="str">
        <f t="shared" si="24"/>
        <v>DIO167</v>
      </c>
      <c r="C166" s="5" t="s">
        <v>550</v>
      </c>
      <c r="D166" s="6"/>
      <c r="E166" s="9" t="str">
        <f t="shared" si="25"/>
        <v>#if(defined(DIN37_BIT))
#define DIN37 167
#if (DIN37_BIT&lt;32)
#define DIN37_OUTREG OUT0
#define DIN37_INREG IN0
#else
#define DIN37_OUTREG OUT1
#define DIN37_INREG IN1
#endif
#define DIO167 167
#define DIO167_BIT DIN37_BIT
#define DIO167_OUTREG DIN37_OUTREG
#define DIO167_INREG DIN37_INREG
#endif</v>
      </c>
      <c r="F166" s="6"/>
      <c r="G166" s="6"/>
      <c r="H166" s="6"/>
      <c r="I166" s="9"/>
    </row>
    <row r="167" spans="1:9" ht="15" customHeight="1" x14ac:dyDescent="0.25">
      <c r="A167" s="4">
        <v>168</v>
      </c>
      <c r="B167" s="4" t="str">
        <f t="shared" si="24"/>
        <v>DIO168</v>
      </c>
      <c r="C167" s="5" t="s">
        <v>551</v>
      </c>
      <c r="D167" s="6"/>
      <c r="E167" s="9" t="str">
        <f t="shared" si="25"/>
        <v>#if(defined(DIN38_BIT))
#define DIN38 168
#if (DIN38_BIT&lt;32)
#define DIN38_OUTREG OUT0
#define DIN38_INREG IN0
#else
#define DIN38_OUTREG OUT1
#define DIN38_INREG IN1
#endif
#define DIO168 168
#define DIO168_BIT DIN38_BIT
#define DIO168_OUTREG DIN38_OUTREG
#define DIO168_INREG DIN38_INREG
#endif</v>
      </c>
      <c r="F167" s="6"/>
      <c r="G167" s="6"/>
      <c r="H167" s="6"/>
      <c r="I167" s="9"/>
    </row>
    <row r="168" spans="1:9" ht="15" customHeight="1" x14ac:dyDescent="0.25">
      <c r="A168" s="4">
        <v>169</v>
      </c>
      <c r="B168" s="4" t="str">
        <f t="shared" si="24"/>
        <v>DIO169</v>
      </c>
      <c r="C168" s="5" t="s">
        <v>552</v>
      </c>
      <c r="D168" s="6"/>
      <c r="E168" s="9" t="str">
        <f t="shared" si="25"/>
        <v>#if(defined(DIN39_BIT))
#define DIN39 169
#if (DIN39_BIT&lt;32)
#define DIN39_OUTREG OUT0
#define DIN39_INREG IN0
#else
#define DIN39_OUTREG OUT1
#define DIN39_INREG IN1
#endif
#define DIO169 169
#define DIO169_BIT DIN39_BIT
#define DIO169_OUTREG DIN39_OUTREG
#define DIO169_INREG DIN39_INREG
#endif</v>
      </c>
      <c r="F168" s="6"/>
      <c r="G168" s="6"/>
      <c r="H168" s="6"/>
      <c r="I168" s="9"/>
    </row>
    <row r="169" spans="1:9" ht="15" customHeight="1" x14ac:dyDescent="0.25">
      <c r="A169" s="4">
        <v>170</v>
      </c>
      <c r="B169" s="4" t="str">
        <f t="shared" si="24"/>
        <v>DIO170</v>
      </c>
      <c r="C169" s="5" t="s">
        <v>553</v>
      </c>
      <c r="D169" s="6"/>
      <c r="E169" s="9" t="str">
        <f t="shared" si="25"/>
        <v>#if(defined(DIN40_BIT))
#define DIN40 170
#if (DIN40_BIT&lt;32)
#define DIN40_OUTREG OUT0
#define DIN40_INREG IN0
#else
#define DIN40_OUTREG OUT1
#define DIN40_INREG IN1
#endif
#define DIO170 170
#define DIO170_BIT DIN40_BIT
#define DIO170_OUTREG DIN40_OUTREG
#define DIO170_INREG DIN40_INREG
#endif</v>
      </c>
      <c r="F169" s="6"/>
      <c r="G169" s="6"/>
      <c r="H169" s="6"/>
      <c r="I169" s="9"/>
    </row>
    <row r="170" spans="1:9" ht="15" customHeight="1" x14ac:dyDescent="0.25">
      <c r="A170" s="4">
        <v>171</v>
      </c>
      <c r="B170" s="4" t="str">
        <f t="shared" si="24"/>
        <v>DIO171</v>
      </c>
      <c r="C170" s="5" t="s">
        <v>554</v>
      </c>
      <c r="D170" s="6"/>
      <c r="E170" s="9" t="str">
        <f t="shared" si="25"/>
        <v>#if(defined(DIN41_BIT))
#define DIN41 171
#if (DIN41_BIT&lt;32)
#define DIN41_OUTREG OUT0
#define DIN41_INREG IN0
#else
#define DIN41_OUTREG OUT1
#define DIN41_INREG IN1
#endif
#define DIO171 171
#define DIO171_BIT DIN41_BIT
#define DIO171_OUTREG DIN41_OUTREG
#define DIO171_INREG DIN41_INREG
#endif</v>
      </c>
      <c r="F170" s="6"/>
      <c r="G170" s="6"/>
      <c r="H170" s="6"/>
      <c r="I170" s="9"/>
    </row>
    <row r="171" spans="1:9" ht="15" customHeight="1" x14ac:dyDescent="0.25">
      <c r="A171" s="4">
        <v>172</v>
      </c>
      <c r="B171" s="4" t="str">
        <f t="shared" si="24"/>
        <v>DIO172</v>
      </c>
      <c r="C171" s="5" t="s">
        <v>555</v>
      </c>
      <c r="D171" s="6"/>
      <c r="E171" s="9" t="str">
        <f t="shared" si="25"/>
        <v>#if(defined(DIN42_BIT))
#define DIN42 172
#if (DIN42_BIT&lt;32)
#define DIN42_OUTREG OUT0
#define DIN42_INREG IN0
#else
#define DIN42_OUTREG OUT1
#define DIN42_INREG IN1
#endif
#define DIO172 172
#define DIO172_BIT DIN42_BIT
#define DIO172_OUTREG DIN42_OUTREG
#define DIO172_INREG DIN42_INREG
#endif</v>
      </c>
      <c r="F171" s="6"/>
      <c r="G171" s="6"/>
      <c r="H171" s="6"/>
      <c r="I171" s="9"/>
    </row>
    <row r="172" spans="1:9" ht="15" customHeight="1" x14ac:dyDescent="0.25">
      <c r="A172" s="4">
        <v>173</v>
      </c>
      <c r="B172" s="4" t="str">
        <f t="shared" si="24"/>
        <v>DIO173</v>
      </c>
      <c r="C172" s="5" t="s">
        <v>556</v>
      </c>
      <c r="D172" s="6"/>
      <c r="E172" s="9" t="str">
        <f t="shared" si="25"/>
        <v>#if(defined(DIN43_BIT))
#define DIN43 173
#if (DIN43_BIT&lt;32)
#define DIN43_OUTREG OUT0
#define DIN43_INREG IN0
#else
#define DIN43_OUTREG OUT1
#define DIN43_INREG IN1
#endif
#define DIO173 173
#define DIO173_BIT DIN43_BIT
#define DIO173_OUTREG DIN43_OUTREG
#define DIO173_INREG DIN43_INREG
#endif</v>
      </c>
      <c r="F172" s="6"/>
      <c r="G172" s="6"/>
      <c r="H172" s="6"/>
      <c r="I172" s="9"/>
    </row>
    <row r="173" spans="1:9" ht="15" customHeight="1" x14ac:dyDescent="0.25">
      <c r="A173" s="4">
        <v>174</v>
      </c>
      <c r="B173" s="4" t="str">
        <f t="shared" si="24"/>
        <v>DIO174</v>
      </c>
      <c r="C173" s="5" t="s">
        <v>557</v>
      </c>
      <c r="D173" s="6"/>
      <c r="E173" s="9" t="str">
        <f t="shared" si="25"/>
        <v>#if(defined(DIN44_BIT))
#define DIN44 174
#if (DIN44_BIT&lt;32)
#define DIN44_OUTREG OUT0
#define DIN44_INREG IN0
#else
#define DIN44_OUTREG OUT1
#define DIN44_INREG IN1
#endif
#define DIO174 174
#define DIO174_BIT DIN44_BIT
#define DIO174_OUTREG DIN44_OUTREG
#define DIO174_INREG DIN44_INREG
#endif</v>
      </c>
      <c r="F173" s="6"/>
      <c r="G173" s="6"/>
      <c r="H173" s="6"/>
      <c r="I173" s="9"/>
    </row>
    <row r="174" spans="1:9" ht="15" customHeight="1" x14ac:dyDescent="0.25">
      <c r="A174" s="4">
        <v>175</v>
      </c>
      <c r="B174" s="4" t="str">
        <f t="shared" si="24"/>
        <v>DIO175</v>
      </c>
      <c r="C174" s="5" t="s">
        <v>558</v>
      </c>
      <c r="D174" s="6"/>
      <c r="E174" s="9" t="str">
        <f t="shared" si="25"/>
        <v>#if(defined(DIN45_BIT))
#define DIN45 175
#if (DIN45_BIT&lt;32)
#define DIN45_OUTREG OUT0
#define DIN45_INREG IN0
#else
#define DIN45_OUTREG OUT1
#define DIN45_INREG IN1
#endif
#define DIO175 175
#define DIO175_BIT DIN45_BIT
#define DIO175_OUTREG DIN45_OUTREG
#define DIO175_INREG DIN45_INREG
#endif</v>
      </c>
      <c r="F174" s="6"/>
      <c r="G174" s="6"/>
      <c r="H174" s="6"/>
      <c r="I174" s="9"/>
    </row>
    <row r="175" spans="1:9" ht="15" customHeight="1" x14ac:dyDescent="0.25">
      <c r="A175" s="4">
        <v>176</v>
      </c>
      <c r="B175" s="4" t="str">
        <f t="shared" si="24"/>
        <v>DIO176</v>
      </c>
      <c r="C175" s="5" t="s">
        <v>559</v>
      </c>
      <c r="D175" s="6"/>
      <c r="E175" s="9" t="str">
        <f t="shared" si="25"/>
        <v>#if(defined(DIN46_BIT))
#define DIN46 176
#if (DIN46_BIT&lt;32)
#define DIN46_OUTREG OUT0
#define DIN46_INREG IN0
#else
#define DIN46_OUTREG OUT1
#define DIN46_INREG IN1
#endif
#define DIO176 176
#define DIO176_BIT DIN46_BIT
#define DIO176_OUTREG DIN46_OUTREG
#define DIO176_INREG DIN46_INREG
#endif</v>
      </c>
      <c r="F175" s="6"/>
      <c r="G175" s="6"/>
      <c r="H175" s="6"/>
      <c r="I175" s="9"/>
    </row>
    <row r="176" spans="1:9" ht="15" customHeight="1" x14ac:dyDescent="0.25">
      <c r="A176" s="4">
        <v>177</v>
      </c>
      <c r="B176" s="4" t="str">
        <f t="shared" si="24"/>
        <v>DIO177</v>
      </c>
      <c r="C176" s="5" t="s">
        <v>560</v>
      </c>
      <c r="D176" s="6"/>
      <c r="E176" s="9" t="str">
        <f t="shared" si="25"/>
        <v>#if(defined(DIN47_BIT))
#define DIN47 177
#if (DIN47_BIT&lt;32)
#define DIN47_OUTREG OUT0
#define DIN47_INREG IN0
#else
#define DIN47_OUTREG OUT1
#define DIN47_INREG IN1
#endif
#define DIO177 177
#define DIO177_BIT DIN47_BIT
#define DIO177_OUTREG DIN47_OUTREG
#define DIO177_INREG DIN47_INREG
#endif</v>
      </c>
      <c r="F176" s="6"/>
      <c r="G176" s="6"/>
      <c r="H176" s="6"/>
      <c r="I176" s="9"/>
    </row>
    <row r="177" spans="1:9" ht="15" customHeight="1" x14ac:dyDescent="0.25">
      <c r="A177" s="4">
        <v>178</v>
      </c>
      <c r="B177" s="4" t="str">
        <f t="shared" si="24"/>
        <v>DIO178</v>
      </c>
      <c r="C177" s="5" t="s">
        <v>561</v>
      </c>
      <c r="D177" s="6"/>
      <c r="E177" s="9" t="str">
        <f t="shared" si="25"/>
        <v>#if(defined(DIN48_BIT))
#define DIN48 178
#if (DIN48_BIT&lt;32)
#define DIN48_OUTREG OUT0
#define DIN48_INREG IN0
#else
#define DIN48_OUTREG OUT1
#define DIN48_INREG IN1
#endif
#define DIO178 178
#define DIO178_BIT DIN48_BIT
#define DIO178_OUTREG DIN48_OUTREG
#define DIO178_INREG DIN48_INREG
#endif</v>
      </c>
      <c r="F177" s="6"/>
      <c r="G177" s="6"/>
      <c r="H177" s="6"/>
      <c r="I177" s="9"/>
    </row>
    <row r="178" spans="1:9" ht="15" customHeight="1" x14ac:dyDescent="0.25">
      <c r="A178" s="4">
        <v>179</v>
      </c>
      <c r="B178" s="4" t="str">
        <f t="shared" si="24"/>
        <v>DIO179</v>
      </c>
      <c r="C178" s="5" t="s">
        <v>562</v>
      </c>
      <c r="D178" s="6"/>
      <c r="E178" s="9" t="str">
        <f t="shared" si="25"/>
        <v>#if(defined(DIN49_BIT))
#define DIN49 179
#if (DIN49_BIT&lt;32)
#define DIN49_OUTREG OUT0
#define DIN49_INREG IN0
#else
#define DIN49_OUTREG OUT1
#define DIN49_INREG IN1
#endif
#define DIO179 179
#define DIO179_BIT DIN49_BIT
#define DIO179_OUTREG DIN49_OUTREG
#define DIO179_INREG DIN49_INREG
#endif</v>
      </c>
      <c r="F178" s="6"/>
      <c r="G178" s="6"/>
      <c r="H178" s="6"/>
      <c r="I178" s="9"/>
    </row>
    <row r="179" spans="1:9" ht="15" customHeight="1" x14ac:dyDescent="0.25">
      <c r="A179" s="4"/>
      <c r="B179" s="4"/>
      <c r="C179" s="5"/>
      <c r="D179" s="6"/>
      <c r="E179" s="9"/>
      <c r="F179" s="6"/>
      <c r="G179" s="6"/>
      <c r="H179" s="6"/>
      <c r="I179" s="9"/>
    </row>
    <row r="180" spans="1:9" ht="15" customHeight="1" x14ac:dyDescent="0.25">
      <c r="A180" s="4">
        <v>200</v>
      </c>
      <c r="B180" s="4" t="str">
        <f t="shared" si="0"/>
        <v>DIO200</v>
      </c>
      <c r="C180" s="4" t="s">
        <v>105</v>
      </c>
      <c r="D180" s="6"/>
      <c r="E180" s="9" t="str">
        <f t="shared" si="23"/>
        <v>#if(defined(TX_BIT))
#define TX 200
#if (TX_BIT&lt;32)
#define TX_OUTREG OUT0
#define TX_INREG IN0
#else
#define TX_OUTREG OUT1
#define TX_INREG IN1
#endif
#define DIO200 200
#define DIO200_BIT TX_BIT
#define DIO200_OUTREG TX_OUTREG
#define DIO200_INREG TX_INREG
#endif</v>
      </c>
      <c r="F180" s="6"/>
      <c r="G180" s="6"/>
      <c r="H180" s="6"/>
      <c r="I180" s="4" t="str">
        <f t="shared" ref="I180" si="26">"#if "&amp;C180&amp;"&gt;=0
mcu_config_output("&amp;C180&amp;");
#endif"</f>
        <v>#if TX&gt;=0
mcu_config_output(TX);
#endif</v>
      </c>
    </row>
    <row r="181" spans="1:9" ht="15" customHeight="1" x14ac:dyDescent="0.25">
      <c r="A181" s="4">
        <v>201</v>
      </c>
      <c r="B181" s="4" t="str">
        <f t="shared" si="0"/>
        <v>DIO201</v>
      </c>
      <c r="C181" s="4" t="s">
        <v>106</v>
      </c>
      <c r="D181" s="6"/>
      <c r="E181" s="9" t="str">
        <f t="shared" si="23"/>
        <v>#if(defined(RX_BIT))
#define RX 201
#if (RX_BIT&lt;32)
#define RX_OUTREG OUT0
#define RX_INREG IN0
#else
#define RX_OUTREG OUT1
#define RX_INREG IN1
#endif
#define DIO201 201
#define DIO201_BIT RX_BIT
#define DIO201_OUTREG RX_OUTREG
#define DIO201_INREG RX_INREG
#endif</v>
      </c>
      <c r="F181" s="6"/>
      <c r="G181" s="6"/>
      <c r="H181" s="6"/>
      <c r="I181" s="9" t="str">
        <f>"#if "&amp;C181&amp;"&gt;=0
mcu_config_input("&amp;C181&amp;");
#endif"</f>
        <v>#if RX&gt;=0
mcu_config_input(RX);
#endif</v>
      </c>
    </row>
    <row r="182" spans="1:9" ht="15" customHeight="1" x14ac:dyDescent="0.25">
      <c r="A182" s="4">
        <v>202</v>
      </c>
      <c r="B182" s="4" t="str">
        <f t="shared" si="0"/>
        <v>DIO202</v>
      </c>
      <c r="C182" s="4" t="s">
        <v>107</v>
      </c>
      <c r="D182" s="6"/>
      <c r="E182" s="9" t="str">
        <f t="shared" si="23"/>
        <v>#if(defined(USB_DM_BIT))
#define USB_DM 202
#if (USB_DM_BIT&lt;32)
#define USB_DM_OUTREG OUT0
#define USB_DM_INREG IN0
#else
#define USB_DM_OUTREG OUT1
#define USB_DM_INREG IN1
#endif
#define DIO202 202
#define DIO202_BIT USB_DM_BIT
#define DIO202_OUTREG USB_DM_OUTREG
#define DIO202_INREG USB_DM_INREG
#endif</v>
      </c>
      <c r="F182" s="6"/>
      <c r="G182" s="6"/>
      <c r="H182" s="6"/>
      <c r="I182" s="9" t="str">
        <f t="shared" si="22"/>
        <v>#if USB_DM&gt;=0
mcu_config_input(USB_DM);
#ifdef USB_DM_PULLUP
mcu_config_pullup(USB_DM);
#endif
#endif</v>
      </c>
    </row>
    <row r="183" spans="1:9" ht="15" customHeight="1" x14ac:dyDescent="0.25">
      <c r="A183" s="4">
        <v>203</v>
      </c>
      <c r="B183" s="4" t="str">
        <f t="shared" si="0"/>
        <v>DIO203</v>
      </c>
      <c r="C183" s="4" t="s">
        <v>108</v>
      </c>
      <c r="D183" s="6"/>
      <c r="E183" s="9" t="str">
        <f t="shared" si="23"/>
        <v>#if(defined(USB_DP_BIT))
#define USB_DP 203
#if (USB_DP_BIT&lt;32)
#define USB_DP_OUTREG OUT0
#define USB_DP_INREG IN0
#else
#define USB_DP_OUTREG OUT1
#define USB_DP_INREG IN1
#endif
#define DIO203 203
#define DIO203_BIT USB_DP_BIT
#define DIO203_OUTREG USB_DP_OUTREG
#define DIO203_INREG USB_DP_INREG
#endif</v>
      </c>
      <c r="F183" s="6"/>
      <c r="G183" s="6"/>
      <c r="H183" s="6"/>
      <c r="I183" s="17" t="str">
        <f t="shared" si="22"/>
        <v>#if USB_DP&gt;=0
mcu_config_input(USB_DP);
#ifdef USB_DP_PULLUP
mcu_config_pullup(USB_DP);
#endif
#endif</v>
      </c>
    </row>
    <row r="184" spans="1:9" ht="15" customHeight="1" x14ac:dyDescent="0.25">
      <c r="A184" s="4">
        <v>204</v>
      </c>
      <c r="B184" s="4" t="str">
        <f t="shared" si="0"/>
        <v>DIO204</v>
      </c>
      <c r="C184" s="4" t="s">
        <v>223</v>
      </c>
      <c r="D184" s="6"/>
      <c r="E184" s="9" t="str">
        <f t="shared" si="23"/>
        <v>#if(defined(SPI_CLK_BIT))
#define SPI_CLK 204
#if (SPI_CLK_BIT&lt;32)
#define SPI_CLK_OUTREG OUT0
#define SPI_CLK_INREG IN0
#else
#define SPI_CLK_OUTREG OUT1
#define SPI_CLK_INREG IN1
#endif
#define DIO204 204
#define DIO204_BIT SPI_CLK_BIT
#define DIO204_OUTREG SPI_CLK_OUTREG
#define DIO204_INREG SPI_CLK_INREG
#endif</v>
      </c>
      <c r="F184" s="6"/>
      <c r="G184" s="6"/>
      <c r="H184" s="6"/>
      <c r="I184" s="18" t="str">
        <f t="shared" ref="I184" si="27">"#if "&amp;C184&amp;"&gt;=0
mcu_config_output("&amp;C184&amp;");
#endif"</f>
        <v>#if SPI_CLK&gt;=0
mcu_config_output(SPI_CLK);
#endif</v>
      </c>
    </row>
    <row r="185" spans="1:9" ht="15" customHeight="1" x14ac:dyDescent="0.25">
      <c r="A185" s="4">
        <v>205</v>
      </c>
      <c r="B185" s="4" t="str">
        <f t="shared" ref="B185:B191" si="28">"DIO"&amp;A185</f>
        <v>DIO205</v>
      </c>
      <c r="C185" s="4" t="s">
        <v>224</v>
      </c>
      <c r="D185" s="6"/>
      <c r="E185" s="9" t="str">
        <f t="shared" si="23"/>
        <v>#if(defined(SPI_SDI_BIT))
#define SPI_SDI 205
#if (SPI_SDI_BIT&lt;32)
#define SPI_SDI_OUTREG OUT0
#define SPI_SDI_INREG IN0
#else
#define SPI_SDI_OUTREG OUT1
#define SPI_SDI_INREG IN1
#endif
#define DIO205 205
#define DIO205_BIT SPI_SDI_BIT
#define DIO205_OUTREG SPI_SDI_OUTREG
#define DIO205_INREG SPI_SDI_INREG
#endif</v>
      </c>
      <c r="F185" s="6"/>
      <c r="G185" s="6"/>
      <c r="H185" s="6"/>
      <c r="I185" s="19" t="str">
        <f>"#if "&amp;C185&amp;"&gt;=0
mcu_config_input("&amp;C185&amp;");
#endif"</f>
        <v>#if SPI_SDI&gt;=0
mcu_config_input(SPI_SDI);
#endif</v>
      </c>
    </row>
    <row r="186" spans="1:9" ht="15" customHeight="1" x14ac:dyDescent="0.25">
      <c r="A186" s="4">
        <v>206</v>
      </c>
      <c r="B186" s="4" t="str">
        <f t="shared" si="28"/>
        <v>DIO206</v>
      </c>
      <c r="C186" s="4" t="s">
        <v>225</v>
      </c>
      <c r="D186" s="6"/>
      <c r="E186" s="9" t="str">
        <f t="shared" si="23"/>
        <v>#if(defined(SPI_SDO_BIT))
#define SPI_SDO 206
#if (SPI_SDO_BIT&lt;32)
#define SPI_SDO_OUTREG OUT0
#define SPI_SDO_INREG IN0
#else
#define SPI_SDO_OUTREG OUT1
#define SPI_SDO_INREG IN1
#endif
#define DIO206 206
#define DIO206_BIT SPI_SDO_BIT
#define DIO206_OUTREG SPI_SDO_OUTREG
#define DIO206_INREG SPI_SDO_INREG
#endif</v>
      </c>
      <c r="F186" s="6"/>
      <c r="G186" s="6"/>
      <c r="H186" s="6"/>
      <c r="I186" s="18" t="str">
        <f t="shared" ref="I186" si="29">"#if "&amp;C186&amp;"&gt;=0
mcu_config_output("&amp;C186&amp;");
#endif"</f>
        <v>#if SPI_SDO&gt;=0
mcu_config_output(SPI_SDO);
#endif</v>
      </c>
    </row>
    <row r="187" spans="1:9" ht="15" customHeight="1" x14ac:dyDescent="0.25">
      <c r="A187" s="4">
        <v>207</v>
      </c>
      <c r="B187" s="4" t="str">
        <f t="shared" si="28"/>
        <v>DIO207</v>
      </c>
      <c r="C187" s="4" t="s">
        <v>459</v>
      </c>
      <c r="D187" s="6"/>
      <c r="E187" s="9" t="str">
        <f t="shared" si="23"/>
        <v>#if(defined(SPI_CS_BIT))
#define SPI_CS 207
#if (SPI_CS_BIT&lt;32)
#define SPI_CS_OUTREG OUT0
#define SPI_CS_INREG IN0
#else
#define SPI_CS_OUTREG OUT1
#define SPI_CS_INREG IN1
#endif
#define DIO207 207
#define DIO207_BIT SPI_CS_BIT
#define DIO207_OUTREG SPI_CS_OUTREG
#define DIO207_INREG SPI_CS_INREG
#endif</v>
      </c>
      <c r="F187" s="6"/>
      <c r="G187" s="6"/>
      <c r="H187" s="6"/>
      <c r="I187" s="18" t="str">
        <f t="shared" ref="I187" si="30">"#if "&amp;C187&amp;"&gt;=0
mcu_config_output("&amp;C187&amp;");
#endif"</f>
        <v>#if SPI_CS&gt;=0
mcu_config_output(SPI_CS);
#endif</v>
      </c>
    </row>
    <row r="188" spans="1:9" ht="15" customHeight="1" x14ac:dyDescent="0.25">
      <c r="A188" s="4">
        <v>208</v>
      </c>
      <c r="B188" s="4" t="str">
        <f t="shared" si="28"/>
        <v>DIO208</v>
      </c>
      <c r="C188" s="4" t="s">
        <v>237</v>
      </c>
      <c r="D188" s="6"/>
      <c r="E188" s="9" t="str">
        <f t="shared" si="23"/>
        <v>#if(defined(I2C_SCL_BIT))
#define I2C_SCL 208
#if (I2C_SCL_BIT&lt;32)
#define I2C_SCL_OUTREG OUT0
#define I2C_SCL_INREG IN0
#else
#define I2C_SCL_OUTREG OUT1
#define I2C_SCL_INREG IN1
#endif
#define DIO208 208
#define DIO208_BIT I2C_SCL_BIT
#define DIO208_OUTREG I2C_SCL_OUTREG
#define DIO208_INREG I2C_SCL_INREG
#endif</v>
      </c>
      <c r="F188" s="6"/>
      <c r="G188" s="6"/>
      <c r="H188" s="6"/>
      <c r="I188" s="4" t="str">
        <f>"#if "&amp;C188&amp;"&gt;=0
mcu_config_input("&amp;C188&amp;");
mcu_config_pullup("&amp;C188&amp;");
#endif"</f>
        <v>#if I2C_SCL&gt;=0
mcu_config_input(I2C_SCL);
mcu_config_pullup(I2C_SCL);
#endif</v>
      </c>
    </row>
    <row r="189" spans="1:9" ht="15" customHeight="1" x14ac:dyDescent="0.25">
      <c r="A189" s="4">
        <v>209</v>
      </c>
      <c r="B189" s="4" t="str">
        <f t="shared" si="28"/>
        <v>DIO209</v>
      </c>
      <c r="C189" s="4" t="s">
        <v>238</v>
      </c>
      <c r="D189" s="6"/>
      <c r="E189" s="9" t="str">
        <f t="shared" si="23"/>
        <v>#if(defined(I2C_SDA_BIT))
#define I2C_SDA 209
#if (I2C_SDA_BIT&lt;32)
#define I2C_SDA_OUTREG OUT0
#define I2C_SDA_INREG IN0
#else
#define I2C_SDA_OUTREG OUT1
#define I2C_SDA_INREG IN1
#endif
#define DIO209 209
#define DIO209_BIT I2C_SDA_BIT
#define DIO209_OUTREG I2C_SDA_OUTREG
#define DIO209_INREG I2C_SDA_INREG
#endif</v>
      </c>
      <c r="F189" s="6"/>
      <c r="G189" s="6"/>
      <c r="H189" s="6"/>
      <c r="I189" s="4" t="str">
        <f>"#if "&amp;C189&amp;"&gt;=0
mcu_config_input("&amp;C189&amp;");
mcu_config_pullup("&amp;C189&amp;");
#endif"</f>
        <v>#if I2C_SDA&gt;=0
mcu_config_input(I2C_SDA);
mcu_config_pullup(I2C_SDA);
#endif</v>
      </c>
    </row>
    <row r="190" spans="1:9" ht="15" customHeight="1" x14ac:dyDescent="0.25">
      <c r="A190" s="4">
        <v>210</v>
      </c>
      <c r="B190" s="4" t="str">
        <f t="shared" si="28"/>
        <v>DIO210</v>
      </c>
      <c r="C190" s="4" t="s">
        <v>467</v>
      </c>
      <c r="D190" s="6"/>
      <c r="E190" s="9" t="str">
        <f t="shared" ref="E190:E195" si="31">"#if(defined("&amp;C190&amp;"_BIT))
#define "&amp;C190&amp;" "&amp;A190&amp;"
#if ("&amp;C190&amp;"_BIT&lt;32)
#define "&amp;C190&amp;"_OUTREG OUT0
#define "&amp;C190&amp;"_INREG IN0
#else
#define "&amp;C190&amp;"_OUTREG OUT1
#define "&amp;C190&amp;"_INREG IN1
#endif
#define "&amp;B190&amp;" "&amp;A190&amp;"
#define "&amp;B190&amp;"_BIT "&amp;C190&amp;"_BIT
#define "&amp;B190&amp;"_OUTREG "&amp;C190&amp;"_OUTREG
#define "&amp;B190&amp;"_INREG "&amp;C190&amp;"_INREG
#endif"</f>
        <v>#if(defined(TX2_BIT))
#define TX2 210
#if (TX2_BIT&lt;32)
#define TX2_OUTREG OUT0
#define TX2_INREG IN0
#else
#define TX2_OUTREG OUT1
#define TX2_INREG IN1
#endif
#define DIO210 210
#define DIO210_BIT TX2_BIT
#define DIO210_OUTREG TX2_OUTREG
#define DIO210_INREG TX2_INREG
#endif</v>
      </c>
      <c r="F190" s="6"/>
      <c r="G190" s="6"/>
      <c r="H190" s="6"/>
      <c r="I190" s="4" t="str">
        <f t="shared" ref="I190" si="32">"#if "&amp;C190&amp;"&gt;=0
mcu_config_output("&amp;C190&amp;");
#endif"</f>
        <v>#if TX2&gt;=0
mcu_config_output(TX2);
#endif</v>
      </c>
    </row>
    <row r="191" spans="1:9" ht="15" customHeight="1" x14ac:dyDescent="0.25">
      <c r="A191" s="4">
        <v>211</v>
      </c>
      <c r="B191" s="4" t="str">
        <f t="shared" si="28"/>
        <v>DIO211</v>
      </c>
      <c r="C191" s="4" t="s">
        <v>468</v>
      </c>
      <c r="D191" s="6"/>
      <c r="E191" s="9" t="str">
        <f t="shared" si="31"/>
        <v>#if(defined(RX2_BIT))
#define RX2 211
#if (RX2_BIT&lt;32)
#define RX2_OUTREG OUT0
#define RX2_INREG IN0
#else
#define RX2_OUTREG OUT1
#define RX2_INREG IN1
#endif
#define DIO211 211
#define DIO211_BIT RX2_BIT
#define DIO211_OUTREG RX2_OUTREG
#define DIO211_INREG RX2_INREG
#endif</v>
      </c>
      <c r="F191" s="6"/>
      <c r="G191" s="6"/>
      <c r="H191" s="6"/>
      <c r="I191" s="9" t="str">
        <f>"#if "&amp;C191&amp;"&gt;=0
mcu_config_input("&amp;C191&amp;");
#endif"</f>
        <v>#if RX2&gt;=0
mcu_config_input(RX2);
#endif</v>
      </c>
    </row>
    <row r="192" spans="1:9" ht="15" customHeight="1" x14ac:dyDescent="0.25">
      <c r="A192" s="4">
        <v>212</v>
      </c>
      <c r="B192" s="4" t="s">
        <v>519</v>
      </c>
      <c r="C192" s="29" t="s">
        <v>520</v>
      </c>
      <c r="D192" s="6"/>
      <c r="E192" s="9" t="str">
        <f t="shared" si="31"/>
        <v>#if(defined(SPI2_CLK_BIT))
#define SPI2_CLK 212
#if (SPI2_CLK_BIT&lt;32)
#define SPI2_CLK_OUTREG OUT0
#define SPI2_CLK_INREG IN0
#else
#define SPI2_CLK_OUTREG OUT1
#define SPI2_CLK_INREG IN1
#endif
#define DIO212 212
#define DIO212_BIT SPI2_CLK_BIT
#define DIO212_OUTREG SPI2_CLK_OUTREG
#define DIO212_INREG SPI2_CLK_INREG
#endif</v>
      </c>
      <c r="F192" s="6"/>
      <c r="G192" s="6"/>
      <c r="H192" s="6"/>
      <c r="I192" s="18" t="str">
        <f t="shared" ref="I192" si="33">"#if "&amp;C192&amp;"&gt;=0
mcu_config_output("&amp;C192&amp;");
#endif"</f>
        <v>#if SPI2_CLK&gt;=0
mcu_config_output(SPI2_CLK);
#endif</v>
      </c>
    </row>
    <row r="193" spans="1:9" ht="15" customHeight="1" x14ac:dyDescent="0.25">
      <c r="A193" s="4">
        <v>213</v>
      </c>
      <c r="B193" s="4" t="s">
        <v>521</v>
      </c>
      <c r="C193" s="29" t="s">
        <v>522</v>
      </c>
      <c r="D193" s="6"/>
      <c r="E193" s="9" t="str">
        <f t="shared" si="31"/>
        <v>#if(defined(SPI2_SDI_BIT))
#define SPI2_SDI 213
#if (SPI2_SDI_BIT&lt;32)
#define SPI2_SDI_OUTREG OUT0
#define SPI2_SDI_INREG IN0
#else
#define SPI2_SDI_OUTREG OUT1
#define SPI2_SDI_INREG IN1
#endif
#define DIO213 213
#define DIO213_BIT SPI2_SDI_BIT
#define DIO213_OUTREG SPI2_SDI_OUTREG
#define DIO213_INREG SPI2_SDI_INREG
#endif</v>
      </c>
      <c r="F193" s="6"/>
      <c r="G193" s="6"/>
      <c r="H193" s="6"/>
      <c r="I193" s="19" t="str">
        <f>"#if "&amp;C193&amp;"&gt;=0
mcu_config_input("&amp;C193&amp;");
#endif"</f>
        <v>#if SPI2_SDI&gt;=0
mcu_config_input(SPI2_SDI);
#endif</v>
      </c>
    </row>
    <row r="194" spans="1:9" ht="15" customHeight="1" x14ac:dyDescent="0.25">
      <c r="A194" s="4">
        <v>214</v>
      </c>
      <c r="B194" s="4" t="s">
        <v>523</v>
      </c>
      <c r="C194" s="29" t="s">
        <v>524</v>
      </c>
      <c r="D194" s="6"/>
      <c r="E194" s="9" t="str">
        <f t="shared" si="31"/>
        <v>#if(defined(SPI2_SDO_BIT))
#define SPI2_SDO 214
#if (SPI2_SDO_BIT&lt;32)
#define SPI2_SDO_OUTREG OUT0
#define SPI2_SDO_INREG IN0
#else
#define SPI2_SDO_OUTREG OUT1
#define SPI2_SDO_INREG IN1
#endif
#define DIO214 214
#define DIO214_BIT SPI2_SDO_BIT
#define DIO214_OUTREG SPI2_SDO_OUTREG
#define DIO214_INREG SPI2_SDO_INREG
#endif</v>
      </c>
      <c r="F194" s="6"/>
      <c r="G194" s="6"/>
      <c r="H194" s="6"/>
      <c r="I194" s="18" t="str">
        <f t="shared" ref="I194:I195" si="34">"#if "&amp;C194&amp;"&gt;=0
mcu_config_output("&amp;C194&amp;");
#endif"</f>
        <v>#if SPI2_SDO&gt;=0
mcu_config_output(SPI2_SDO);
#endif</v>
      </c>
    </row>
    <row r="195" spans="1:9" ht="15" customHeight="1" x14ac:dyDescent="0.25">
      <c r="A195" s="4">
        <v>215</v>
      </c>
      <c r="B195" s="4" t="s">
        <v>525</v>
      </c>
      <c r="C195" s="29" t="s">
        <v>526</v>
      </c>
      <c r="D195" s="6"/>
      <c r="E195" s="9" t="str">
        <f t="shared" si="31"/>
        <v>#if(defined(SPI2_CS_BIT))
#define SPI2_CS 215
#if (SPI2_CS_BIT&lt;32)
#define SPI2_CS_OUTREG OUT0
#define SPI2_CS_INREG IN0
#else
#define SPI2_CS_OUTREG OUT1
#define SPI2_CS_INREG IN1
#endif
#define DIO215 215
#define DIO215_BIT SPI2_CS_BIT
#define DIO215_OUTREG SPI2_CS_OUTREG
#define DIO215_INREG SPI2_CS_INREG
#endif</v>
      </c>
      <c r="F195" s="6"/>
      <c r="G195" s="6"/>
      <c r="H195" s="6"/>
      <c r="I195" s="18" t="str">
        <f t="shared" si="34"/>
        <v>#if SPI2_CS&gt;=0
mcu_config_output(SPI2_CS);
#endif</v>
      </c>
    </row>
    <row r="196" spans="1:9" ht="15" customHeight="1" x14ac:dyDescent="0.25">
      <c r="A196" s="6"/>
      <c r="B196" s="6"/>
      <c r="C196" s="6"/>
      <c r="D196" s="6"/>
      <c r="E196" s="6"/>
      <c r="F196" s="6"/>
      <c r="G196" s="6"/>
      <c r="H196" s="6"/>
      <c r="I196" s="6"/>
    </row>
    <row r="197" spans="1:9" ht="15" customHeight="1" x14ac:dyDescent="0.25">
      <c r="A197" s="6"/>
      <c r="B197" s="6"/>
      <c r="C197" s="6"/>
      <c r="D197" s="6"/>
      <c r="E197" s="6"/>
      <c r="F197" s="6"/>
      <c r="G197" s="6"/>
      <c r="H197" s="6"/>
      <c r="I197" s="6"/>
    </row>
    <row r="198" spans="1:9" ht="15" customHeight="1" x14ac:dyDescent="0.25">
      <c r="A198" s="6"/>
      <c r="B198" s="6"/>
      <c r="C198" s="6"/>
      <c r="D198" s="6"/>
      <c r="E198" s="6"/>
      <c r="F198" s="6"/>
      <c r="G198" s="6"/>
      <c r="H198" s="6"/>
      <c r="I198" s="6"/>
    </row>
    <row r="199" spans="1:9" ht="15" customHeight="1" x14ac:dyDescent="0.25">
      <c r="A199" s="6"/>
      <c r="B199" s="6"/>
      <c r="C199" s="6"/>
      <c r="D199" s="6"/>
      <c r="E199" s="6"/>
      <c r="F199" s="6"/>
      <c r="G199" s="6"/>
      <c r="H199" s="6"/>
      <c r="I199" s="6"/>
    </row>
    <row r="200" spans="1:9" ht="15" customHeight="1" x14ac:dyDescent="0.25">
      <c r="A200" s="6"/>
      <c r="B200" s="6"/>
      <c r="C200" s="6"/>
      <c r="D200" s="6"/>
      <c r="E200" s="6"/>
      <c r="F200" s="6"/>
      <c r="G200" s="6"/>
      <c r="H200" s="6"/>
      <c r="I200" s="6"/>
    </row>
    <row r="201" spans="1:9" ht="15" customHeight="1" x14ac:dyDescent="0.25">
      <c r="A201" s="6"/>
      <c r="B201" s="6"/>
      <c r="C201" s="6"/>
      <c r="D201" s="6"/>
      <c r="E201" s="6"/>
      <c r="F201" s="6"/>
      <c r="G201" s="6"/>
      <c r="H201" s="6"/>
      <c r="I201" s="6"/>
    </row>
    <row r="202" spans="1:9" ht="15" customHeight="1" x14ac:dyDescent="0.25">
      <c r="A202" s="6"/>
      <c r="B202" s="6"/>
      <c r="C202" s="6"/>
      <c r="D202" s="6"/>
      <c r="E202" s="6"/>
      <c r="F202" s="6"/>
      <c r="G202" s="6"/>
      <c r="H202" s="6"/>
      <c r="I202" s="6"/>
    </row>
    <row r="203" spans="1:9" ht="15" customHeight="1" x14ac:dyDescent="0.25">
      <c r="A203" s="6"/>
      <c r="B203" s="6"/>
      <c r="C203" s="6"/>
      <c r="D203" s="6"/>
      <c r="E203" s="6"/>
      <c r="F203" s="6"/>
      <c r="G203" s="6"/>
      <c r="H203" s="6"/>
      <c r="I203" s="6"/>
    </row>
    <row r="204" spans="1:9" ht="15" customHeight="1" x14ac:dyDescent="0.25">
      <c r="A204" s="6"/>
      <c r="B204" s="6"/>
      <c r="C204" s="6"/>
      <c r="D204" s="6"/>
      <c r="E204" s="6"/>
      <c r="F204" s="6"/>
      <c r="G204" s="6"/>
      <c r="H204" s="6"/>
      <c r="I204" s="6"/>
    </row>
    <row r="205" spans="1:9" ht="15" customHeight="1" x14ac:dyDescent="0.25">
      <c r="A205" s="6"/>
      <c r="B205" s="6"/>
      <c r="C205" s="6"/>
      <c r="D205" s="6"/>
      <c r="E205" s="6"/>
      <c r="F205" s="6"/>
      <c r="G205" s="6"/>
      <c r="H205" s="6"/>
      <c r="I205" s="6"/>
    </row>
    <row r="206" spans="1:9" ht="15" customHeight="1" x14ac:dyDescent="0.25">
      <c r="A206" s="6"/>
      <c r="B206" s="6"/>
      <c r="C206" s="6"/>
      <c r="D206" s="6"/>
      <c r="E206" s="6"/>
      <c r="F206" s="6"/>
      <c r="G206" s="6"/>
      <c r="H206" s="6"/>
      <c r="I206" s="6"/>
    </row>
    <row r="207" spans="1:9" ht="15" customHeight="1" x14ac:dyDescent="0.25">
      <c r="A207" s="6"/>
      <c r="B207" s="6"/>
      <c r="C207" s="6"/>
      <c r="D207" s="6"/>
      <c r="E207" s="6"/>
      <c r="F207" s="6"/>
      <c r="G207" s="6"/>
      <c r="H207" s="6"/>
      <c r="I207" s="6"/>
    </row>
    <row r="208" spans="1:9" ht="15" customHeight="1" x14ac:dyDescent="0.25">
      <c r="A208" s="6"/>
      <c r="B208" s="6"/>
      <c r="C208" s="6"/>
      <c r="D208" s="6"/>
      <c r="E208" s="6"/>
      <c r="F208" s="6"/>
      <c r="G208" s="6"/>
      <c r="H208" s="6"/>
      <c r="I208" s="6"/>
    </row>
    <row r="209" spans="1:9" ht="15" customHeight="1" x14ac:dyDescent="0.25">
      <c r="A209" s="6"/>
      <c r="B209" s="6"/>
      <c r="C209" s="6"/>
      <c r="D209" s="6"/>
      <c r="E209" s="6"/>
      <c r="F209" s="6"/>
      <c r="G209" s="6"/>
      <c r="H209" s="6"/>
      <c r="I209" s="6"/>
    </row>
    <row r="210" spans="1:9" ht="15" customHeight="1" x14ac:dyDescent="0.25">
      <c r="A210" s="6"/>
      <c r="B210" s="6"/>
      <c r="C210" s="6"/>
      <c r="D210" s="6"/>
      <c r="E210" s="6"/>
      <c r="F210" s="6"/>
      <c r="G210" s="6"/>
      <c r="H210" s="6"/>
      <c r="I210" s="6"/>
    </row>
    <row r="211" spans="1:9" ht="15" customHeight="1" x14ac:dyDescent="0.25">
      <c r="A211" s="6"/>
      <c r="B211" s="6"/>
      <c r="C211" s="6"/>
      <c r="D211" s="6"/>
      <c r="E211" s="6"/>
      <c r="F211" s="6"/>
      <c r="G211" s="6"/>
      <c r="H211" s="6"/>
      <c r="I211" s="6"/>
    </row>
    <row r="212" spans="1:9" ht="15" customHeight="1" x14ac:dyDescent="0.25">
      <c r="A212" s="6"/>
      <c r="B212" s="6"/>
      <c r="C212" s="6"/>
      <c r="D212" s="6"/>
      <c r="E212" s="6"/>
      <c r="F212" s="6"/>
      <c r="G212" s="6"/>
      <c r="H212" s="6"/>
      <c r="I212" s="6"/>
    </row>
    <row r="213" spans="1:9" ht="15" customHeight="1" x14ac:dyDescent="0.25">
      <c r="A213" s="6"/>
      <c r="B213" s="6"/>
      <c r="C213" s="6"/>
      <c r="D213" s="6"/>
      <c r="E213" s="6"/>
      <c r="F213" s="6"/>
      <c r="G213" s="6"/>
      <c r="H213" s="6"/>
      <c r="I213" s="6"/>
    </row>
    <row r="214" spans="1:9" ht="15" customHeight="1" x14ac:dyDescent="0.25">
      <c r="A214" s="6"/>
      <c r="B214" s="6"/>
      <c r="C214" s="6"/>
      <c r="D214" s="6"/>
      <c r="E214" s="6"/>
      <c r="F214" s="6"/>
      <c r="G214" s="6"/>
      <c r="H214" s="6"/>
      <c r="I214" s="6"/>
    </row>
    <row r="215" spans="1:9" ht="15" customHeight="1" x14ac:dyDescent="0.25">
      <c r="A215" s="6"/>
      <c r="B215" s="6"/>
      <c r="C215" s="6"/>
      <c r="D215" s="6"/>
      <c r="E215" s="6"/>
      <c r="F215" s="6"/>
      <c r="G215" s="6"/>
      <c r="H215" s="6"/>
      <c r="I215" s="6"/>
    </row>
    <row r="216" spans="1:9" ht="15" customHeight="1" x14ac:dyDescent="0.25">
      <c r="A216" s="6"/>
      <c r="B216" s="6"/>
      <c r="C216" s="6"/>
      <c r="D216" s="6"/>
      <c r="E216" s="6"/>
      <c r="F216" s="6"/>
      <c r="G216" s="6"/>
      <c r="H216" s="6"/>
      <c r="I216" s="6"/>
    </row>
    <row r="217" spans="1:9" ht="15" customHeight="1" x14ac:dyDescent="0.25">
      <c r="A217" s="6"/>
      <c r="B217" s="6"/>
      <c r="C217" s="6"/>
      <c r="D217" s="6"/>
      <c r="E217" s="6"/>
      <c r="F217" s="6"/>
      <c r="G217" s="6"/>
      <c r="H217" s="6"/>
      <c r="I217" s="6"/>
    </row>
    <row r="218" spans="1:9" ht="15" customHeight="1" x14ac:dyDescent="0.25">
      <c r="A218" s="6"/>
      <c r="B218" s="6"/>
      <c r="C218" s="6"/>
      <c r="D218" s="6"/>
      <c r="E218" s="6"/>
      <c r="F218" s="6"/>
      <c r="G218" s="6"/>
      <c r="H218" s="6"/>
      <c r="I218" s="6"/>
    </row>
    <row r="219" spans="1:9" ht="15" customHeight="1" x14ac:dyDescent="0.25">
      <c r="A219" s="6"/>
      <c r="B219" s="6"/>
      <c r="C219" s="6"/>
      <c r="D219" s="6"/>
      <c r="E219" s="6"/>
      <c r="F219" s="6"/>
      <c r="G219" s="6"/>
      <c r="H219" s="6"/>
      <c r="I219" s="6"/>
    </row>
    <row r="220" spans="1:9" ht="15" customHeight="1" x14ac:dyDescent="0.25">
      <c r="A220" s="6"/>
      <c r="B220" s="6"/>
      <c r="C220" s="6"/>
      <c r="D220" s="6"/>
      <c r="E220" s="6"/>
      <c r="F220" s="6"/>
      <c r="G220" s="6"/>
      <c r="H220" s="6"/>
      <c r="I220" s="6"/>
    </row>
    <row r="221" spans="1:9" ht="15" customHeight="1" x14ac:dyDescent="0.25">
      <c r="A221" s="6"/>
      <c r="B221" s="6"/>
      <c r="C221" s="6"/>
      <c r="D221" s="6"/>
      <c r="E221" s="6"/>
      <c r="F221" s="6"/>
      <c r="G221" s="6"/>
      <c r="H221" s="6"/>
      <c r="I221" s="6"/>
    </row>
    <row r="222" spans="1:9" ht="15" customHeight="1" x14ac:dyDescent="0.25">
      <c r="A222" s="6"/>
      <c r="B222" s="6"/>
      <c r="C222" s="6"/>
      <c r="D222" s="6"/>
      <c r="E222" s="6"/>
      <c r="F222" s="6"/>
      <c r="G222" s="6"/>
      <c r="H222" s="6"/>
      <c r="I222" s="6"/>
    </row>
    <row r="223" spans="1:9" ht="15" customHeight="1" x14ac:dyDescent="0.25">
      <c r="A223" s="6"/>
      <c r="B223" s="6"/>
      <c r="C223" s="6"/>
      <c r="D223" s="6"/>
      <c r="E223" s="6"/>
      <c r="F223" s="6"/>
      <c r="G223" s="6"/>
      <c r="H223" s="6"/>
      <c r="I223" s="6"/>
    </row>
    <row r="224" spans="1:9" ht="15" customHeight="1" x14ac:dyDescent="0.25">
      <c r="A224" s="6"/>
      <c r="B224" s="6"/>
      <c r="C224" s="6"/>
      <c r="D224" s="6"/>
      <c r="E224" s="6"/>
      <c r="F224" s="6"/>
      <c r="G224" s="6"/>
      <c r="H224" s="6"/>
      <c r="I224" s="6"/>
    </row>
    <row r="225" spans="1:9" ht="15" customHeight="1" x14ac:dyDescent="0.25">
      <c r="A225" s="6"/>
      <c r="B225" s="6"/>
      <c r="C225" s="6"/>
      <c r="D225" s="6"/>
      <c r="E225" s="6"/>
      <c r="F225" s="6"/>
      <c r="G225" s="6"/>
      <c r="H225" s="6"/>
      <c r="I225" s="6"/>
    </row>
    <row r="226" spans="1:9" ht="15" customHeight="1" x14ac:dyDescent="0.25">
      <c r="A226" s="6"/>
      <c r="B226" s="6"/>
      <c r="C226" s="6"/>
      <c r="D226" s="6"/>
      <c r="E226" s="6"/>
      <c r="F226" s="6"/>
      <c r="G226" s="6"/>
      <c r="H226" s="6"/>
      <c r="I226" s="6"/>
    </row>
    <row r="227" spans="1:9" ht="15" customHeight="1" x14ac:dyDescent="0.25">
      <c r="A227" s="6"/>
      <c r="B227" s="6"/>
      <c r="C227" s="6"/>
      <c r="D227" s="6"/>
      <c r="E227" s="6"/>
      <c r="F227" s="6"/>
      <c r="G227" s="6"/>
      <c r="H227" s="6"/>
      <c r="I227" s="6"/>
    </row>
    <row r="228" spans="1:9" ht="15" customHeight="1" x14ac:dyDescent="0.25">
      <c r="A228" s="6"/>
      <c r="B228" s="6"/>
      <c r="C228" s="6"/>
      <c r="D228" s="6"/>
      <c r="E228" s="6"/>
      <c r="F228" s="6"/>
      <c r="G228" s="6"/>
      <c r="H228" s="6"/>
      <c r="I228" s="6"/>
    </row>
    <row r="229" spans="1:9" ht="15" customHeight="1" x14ac:dyDescent="0.25">
      <c r="A229" s="6"/>
      <c r="B229" s="6"/>
      <c r="C229" s="6"/>
      <c r="D229" s="6"/>
      <c r="E229" s="6"/>
      <c r="F229" s="6"/>
      <c r="G229" s="6"/>
      <c r="H229" s="6"/>
      <c r="I229" s="6"/>
    </row>
    <row r="230" spans="1:9" ht="15" customHeight="1" x14ac:dyDescent="0.25">
      <c r="A230" s="6"/>
      <c r="B230" s="6"/>
      <c r="C230" s="6"/>
      <c r="D230" s="6"/>
      <c r="E230" s="6"/>
      <c r="F230" s="6"/>
      <c r="G230" s="6"/>
      <c r="H230" s="6"/>
      <c r="I230" s="6"/>
    </row>
    <row r="231" spans="1:9" ht="15" customHeight="1" x14ac:dyDescent="0.25">
      <c r="A231" s="6"/>
      <c r="B231" s="6"/>
      <c r="C231" s="6"/>
      <c r="D231" s="6"/>
      <c r="E231" s="6"/>
      <c r="F231" s="6"/>
      <c r="G231" s="6"/>
      <c r="H231" s="6"/>
      <c r="I231" s="6"/>
    </row>
    <row r="232" spans="1:9" ht="15" customHeight="1" x14ac:dyDescent="0.25">
      <c r="A232" s="6"/>
      <c r="B232" s="6"/>
      <c r="C232" s="6"/>
      <c r="D232" s="6"/>
      <c r="E232" s="6"/>
      <c r="F232" s="6"/>
      <c r="G232" s="6"/>
      <c r="H232" s="6"/>
      <c r="I232" s="6"/>
    </row>
    <row r="233" spans="1:9" ht="15" customHeight="1" x14ac:dyDescent="0.25">
      <c r="A233" s="6"/>
      <c r="B233" s="6"/>
      <c r="C233" s="6"/>
      <c r="D233" s="6"/>
      <c r="E233" s="6"/>
      <c r="F233" s="6"/>
      <c r="G233" s="6"/>
      <c r="H233" s="6"/>
      <c r="I233" s="6"/>
    </row>
    <row r="234" spans="1:9" ht="15" customHeight="1" x14ac:dyDescent="0.25">
      <c r="A234" s="6"/>
      <c r="B234" s="6"/>
      <c r="C234" s="6"/>
      <c r="D234" s="6"/>
      <c r="E234" s="6"/>
      <c r="F234" s="6"/>
      <c r="G234" s="6"/>
      <c r="H234" s="6"/>
      <c r="I234" s="6"/>
    </row>
    <row r="235" spans="1:9" ht="15" customHeight="1" x14ac:dyDescent="0.25">
      <c r="A235" s="6"/>
      <c r="B235" s="6"/>
      <c r="C235" s="6"/>
      <c r="D235" s="6"/>
      <c r="E235" s="6"/>
      <c r="F235" s="6"/>
      <c r="G235" s="6"/>
      <c r="H235" s="6"/>
      <c r="I235" s="6"/>
    </row>
    <row r="236" spans="1:9" ht="15" customHeight="1" x14ac:dyDescent="0.25">
      <c r="A236" s="6"/>
      <c r="B236" s="6"/>
      <c r="C236" s="6"/>
      <c r="D236" s="6"/>
      <c r="E236" s="6"/>
      <c r="F236" s="6"/>
      <c r="G236" s="6"/>
      <c r="H236" s="6"/>
      <c r="I236" s="6"/>
    </row>
    <row r="237" spans="1:9" ht="15" customHeight="1" x14ac:dyDescent="0.25">
      <c r="A237" s="6"/>
      <c r="B237" s="6"/>
      <c r="C237" s="6"/>
      <c r="D237" s="6"/>
      <c r="E237" s="6"/>
      <c r="F237" s="6"/>
      <c r="G237" s="6"/>
      <c r="H237" s="6"/>
      <c r="I237" s="6"/>
    </row>
    <row r="238" spans="1:9" ht="15" customHeight="1" x14ac:dyDescent="0.25">
      <c r="A238" s="6"/>
      <c r="B238" s="6"/>
      <c r="C238" s="6"/>
      <c r="D238" s="6"/>
      <c r="E238" s="6"/>
      <c r="F238" s="6"/>
      <c r="G238" s="6"/>
      <c r="H238" s="6"/>
      <c r="I238" s="6"/>
    </row>
    <row r="239" spans="1:9" ht="15" customHeight="1" x14ac:dyDescent="0.25">
      <c r="A239" s="6"/>
      <c r="B239" s="6"/>
      <c r="C239" s="6"/>
      <c r="D239" s="6"/>
      <c r="E239" s="6"/>
      <c r="F239" s="6"/>
      <c r="G239" s="6"/>
      <c r="H239" s="6"/>
      <c r="I239" s="6"/>
    </row>
    <row r="240" spans="1:9" ht="15" customHeight="1" x14ac:dyDescent="0.25">
      <c r="A240" s="6"/>
      <c r="B240" s="6"/>
      <c r="C240" s="6"/>
      <c r="D240" s="6"/>
      <c r="E240" s="6"/>
      <c r="F240" s="6"/>
      <c r="G240" s="6"/>
      <c r="H240" s="6"/>
      <c r="I240" s="6"/>
    </row>
    <row r="241" spans="1:9" ht="15" customHeight="1" x14ac:dyDescent="0.25">
      <c r="A241" s="6"/>
      <c r="B241" s="6"/>
      <c r="C241" s="6"/>
      <c r="D241" s="6"/>
      <c r="E241" s="6"/>
      <c r="F241" s="6"/>
      <c r="G241" s="6"/>
      <c r="H241" s="6"/>
      <c r="I241" s="6"/>
    </row>
    <row r="242" spans="1:9" ht="15" customHeight="1" x14ac:dyDescent="0.25">
      <c r="A242" s="6"/>
      <c r="B242" s="6"/>
      <c r="C242" s="6"/>
      <c r="D242" s="6"/>
      <c r="E242" s="6"/>
      <c r="F242" s="6"/>
      <c r="G242" s="6"/>
      <c r="H242" s="6"/>
      <c r="I242" s="6"/>
    </row>
    <row r="243" spans="1:9" ht="15" customHeight="1" x14ac:dyDescent="0.25">
      <c r="A243" s="6"/>
      <c r="B243" s="6"/>
      <c r="C243" s="6"/>
      <c r="D243" s="6"/>
      <c r="E243" s="6"/>
      <c r="F243" s="6"/>
      <c r="G243" s="6"/>
      <c r="H243" s="6"/>
      <c r="I243" s="6"/>
    </row>
    <row r="244" spans="1:9" ht="15" customHeight="1" x14ac:dyDescent="0.25">
      <c r="A244" s="6"/>
      <c r="B244" s="6"/>
      <c r="C244" s="6"/>
      <c r="D244" s="6"/>
      <c r="E244" s="6"/>
      <c r="F244" s="6"/>
      <c r="G244" s="6"/>
      <c r="H244" s="6"/>
      <c r="I244" s="6"/>
    </row>
    <row r="245" spans="1:9" ht="15" customHeight="1" x14ac:dyDescent="0.25">
      <c r="A245" s="6"/>
      <c r="B245" s="6"/>
      <c r="C245" s="6"/>
      <c r="D245" s="6"/>
      <c r="E245" s="6"/>
      <c r="F245" s="6"/>
      <c r="G245" s="6"/>
      <c r="H245" s="6"/>
      <c r="I245" s="6"/>
    </row>
    <row r="246" spans="1:9" ht="15" customHeight="1" x14ac:dyDescent="0.25">
      <c r="A246" s="6"/>
      <c r="B246" s="6"/>
      <c r="C246" s="6"/>
      <c r="D246" s="6"/>
      <c r="E246" s="6"/>
      <c r="F246" s="6"/>
      <c r="G246" s="6"/>
      <c r="H246" s="6"/>
      <c r="I246" s="6"/>
    </row>
    <row r="247" spans="1:9" ht="15" customHeight="1" x14ac:dyDescent="0.25">
      <c r="A247" s="6"/>
      <c r="B247" s="6"/>
      <c r="C247" s="6"/>
      <c r="D247" s="6"/>
      <c r="E247" s="6"/>
      <c r="F247" s="6"/>
      <c r="G247" s="6"/>
      <c r="H247" s="6"/>
      <c r="I247" s="6"/>
    </row>
    <row r="248" spans="1:9" ht="15" customHeight="1" x14ac:dyDescent="0.25">
      <c r="A248" s="6"/>
      <c r="B248" s="6"/>
      <c r="C248" s="6"/>
      <c r="D248" s="6"/>
      <c r="E248" s="6"/>
      <c r="F248" s="6"/>
      <c r="G248" s="6"/>
      <c r="H248" s="6"/>
      <c r="I248" s="6"/>
    </row>
    <row r="249" spans="1:9" ht="15" customHeight="1" x14ac:dyDescent="0.25">
      <c r="A249" s="6"/>
      <c r="B249" s="6"/>
      <c r="C249" s="6"/>
      <c r="D249" s="6"/>
      <c r="E249" s="6"/>
      <c r="F249" s="6"/>
      <c r="G249" s="6"/>
      <c r="H249" s="6"/>
      <c r="I249" s="6"/>
    </row>
    <row r="250" spans="1:9" ht="15" customHeight="1" x14ac:dyDescent="0.25">
      <c r="A250" s="6"/>
      <c r="B250" s="6"/>
      <c r="C250" s="6"/>
      <c r="D250" s="6"/>
      <c r="E250" s="6"/>
      <c r="F250" s="6"/>
      <c r="G250" s="6"/>
      <c r="H250" s="6"/>
      <c r="I250" s="6"/>
    </row>
    <row r="251" spans="1:9" ht="15" customHeight="1" x14ac:dyDescent="0.25">
      <c r="A251" s="6"/>
      <c r="B251" s="6"/>
      <c r="C251" s="6"/>
      <c r="D251" s="6"/>
      <c r="E251" s="6"/>
      <c r="F251" s="6"/>
      <c r="G251" s="6"/>
      <c r="H251" s="6"/>
      <c r="I251" s="6"/>
    </row>
    <row r="252" spans="1:9" ht="15" customHeight="1" x14ac:dyDescent="0.25">
      <c r="A252" s="6"/>
      <c r="B252" s="6"/>
      <c r="C252" s="6"/>
      <c r="D252" s="6"/>
      <c r="E252" s="6"/>
      <c r="F252" s="6"/>
      <c r="G252" s="6"/>
      <c r="H252" s="6"/>
      <c r="I252" s="6"/>
    </row>
    <row r="253" spans="1:9" ht="15" customHeight="1" x14ac:dyDescent="0.25">
      <c r="A253" s="6"/>
      <c r="B253" s="6"/>
      <c r="C253" s="6"/>
      <c r="D253" s="6"/>
      <c r="E253" s="6"/>
      <c r="F253" s="6"/>
      <c r="G253" s="6"/>
      <c r="H253" s="6"/>
      <c r="I253" s="6"/>
    </row>
    <row r="254" spans="1:9" ht="15" customHeight="1" x14ac:dyDescent="0.25">
      <c r="A254" s="6"/>
      <c r="B254" s="6"/>
      <c r="C254" s="6"/>
      <c r="D254" s="6"/>
      <c r="E254" s="6"/>
      <c r="F254" s="6"/>
      <c r="G254" s="6"/>
      <c r="H254" s="6"/>
      <c r="I254" s="6"/>
    </row>
    <row r="255" spans="1:9" ht="15" customHeight="1" x14ac:dyDescent="0.25">
      <c r="A255" s="6"/>
      <c r="B255" s="6"/>
      <c r="C255" s="6"/>
      <c r="D255" s="6"/>
      <c r="E255" s="6"/>
      <c r="F255" s="6"/>
      <c r="G255" s="6"/>
      <c r="H255" s="6"/>
      <c r="I255" s="6"/>
    </row>
    <row r="256" spans="1:9" ht="15" customHeight="1" x14ac:dyDescent="0.25">
      <c r="A256" s="6"/>
      <c r="B256" s="6"/>
      <c r="C256" s="6"/>
      <c r="D256" s="6"/>
      <c r="E256" s="6"/>
      <c r="F256" s="6"/>
      <c r="G256" s="6"/>
      <c r="H256" s="6"/>
      <c r="I256" s="6"/>
    </row>
    <row r="257" spans="1:9" ht="15" customHeight="1" x14ac:dyDescent="0.25">
      <c r="A257" s="6"/>
      <c r="B257" s="6"/>
      <c r="C257" s="6"/>
      <c r="D257" s="6"/>
      <c r="E257" s="6"/>
      <c r="F257" s="6"/>
      <c r="G257" s="6"/>
      <c r="H257" s="6"/>
      <c r="I257" s="6"/>
    </row>
    <row r="258" spans="1:9" ht="15" customHeight="1" x14ac:dyDescent="0.25">
      <c r="A258" s="6"/>
      <c r="B258" s="6"/>
      <c r="C258" s="6"/>
      <c r="D258" s="6"/>
      <c r="E258" s="6"/>
      <c r="F258" s="6"/>
      <c r="G258" s="6"/>
      <c r="H258" s="6"/>
      <c r="I258" s="6"/>
    </row>
    <row r="259" spans="1:9" ht="15" customHeight="1" x14ac:dyDescent="0.25">
      <c r="A259" s="6"/>
      <c r="B259" s="6"/>
      <c r="C259" s="6"/>
      <c r="D259" s="6"/>
      <c r="E259" s="6"/>
      <c r="F259" s="6"/>
      <c r="G259" s="6"/>
      <c r="H259" s="6"/>
      <c r="I259" s="6"/>
    </row>
    <row r="260" spans="1:9" ht="15" customHeight="1" x14ac:dyDescent="0.25">
      <c r="A260" s="6"/>
      <c r="B260" s="6"/>
      <c r="C260" s="6"/>
      <c r="D260" s="6"/>
      <c r="E260" s="6"/>
      <c r="F260" s="6"/>
      <c r="G260" s="6"/>
      <c r="H260" s="6"/>
      <c r="I260" s="6"/>
    </row>
    <row r="261" spans="1:9" ht="15" customHeight="1" x14ac:dyDescent="0.25">
      <c r="A261" s="6"/>
      <c r="B261" s="6"/>
      <c r="C261" s="6"/>
      <c r="D261" s="6"/>
      <c r="E261" s="6"/>
      <c r="F261" s="6"/>
      <c r="G261" s="6"/>
      <c r="H261" s="6"/>
      <c r="I261" s="6"/>
    </row>
    <row r="262" spans="1:9" ht="15" customHeight="1" x14ac:dyDescent="0.25">
      <c r="A262" s="6"/>
      <c r="B262" s="6"/>
      <c r="C262" s="6"/>
      <c r="D262" s="6"/>
      <c r="E262" s="6"/>
      <c r="F262" s="6"/>
      <c r="G262" s="6"/>
      <c r="H262" s="6"/>
      <c r="I262" s="6"/>
    </row>
    <row r="263" spans="1:9" ht="15" customHeight="1" x14ac:dyDescent="0.25">
      <c r="A263" s="6"/>
      <c r="B263" s="6"/>
      <c r="C263" s="6"/>
      <c r="D263" s="6"/>
      <c r="E263" s="6"/>
      <c r="F263" s="6"/>
      <c r="G263" s="6"/>
      <c r="H263" s="6"/>
      <c r="I263" s="6"/>
    </row>
    <row r="264" spans="1:9" ht="15" customHeight="1" x14ac:dyDescent="0.25">
      <c r="A264" s="6"/>
      <c r="B264" s="6"/>
      <c r="C264" s="6"/>
      <c r="D264" s="6"/>
      <c r="E264" s="6"/>
      <c r="F264" s="6"/>
      <c r="G264" s="6"/>
      <c r="H264" s="6"/>
      <c r="I264" s="6"/>
    </row>
    <row r="265" spans="1:9" ht="15" customHeight="1" x14ac:dyDescent="0.25">
      <c r="A265" s="6"/>
      <c r="B265" s="6"/>
      <c r="C265" s="6"/>
      <c r="D265" s="6"/>
      <c r="E265" s="6"/>
      <c r="F265" s="6"/>
      <c r="G265" s="6"/>
      <c r="H265" s="6"/>
      <c r="I265" s="6"/>
    </row>
    <row r="266" spans="1:9" ht="15" customHeight="1" x14ac:dyDescent="0.25">
      <c r="A266" s="6"/>
      <c r="B266" s="6"/>
      <c r="C266" s="6"/>
      <c r="D266" s="6"/>
      <c r="E266" s="6"/>
      <c r="F266" s="6"/>
      <c r="G266" s="6"/>
      <c r="H266" s="6"/>
      <c r="I266" s="6"/>
    </row>
    <row r="267" spans="1:9" ht="15" customHeight="1" x14ac:dyDescent="0.25">
      <c r="A267" s="6"/>
      <c r="B267" s="6"/>
      <c r="C267" s="6"/>
      <c r="D267" s="6"/>
      <c r="E267" s="6"/>
      <c r="F267" s="6"/>
      <c r="G267" s="6"/>
      <c r="H267" s="6"/>
      <c r="I267" s="6"/>
    </row>
    <row r="268" spans="1:9" ht="15" customHeight="1" x14ac:dyDescent="0.25">
      <c r="A268" s="6"/>
      <c r="B268" s="6"/>
      <c r="C268" s="6"/>
      <c r="D268" s="6"/>
      <c r="E268" s="6"/>
      <c r="F268" s="6"/>
      <c r="G268" s="6"/>
      <c r="H268" s="6"/>
      <c r="I268" s="6"/>
    </row>
    <row r="269" spans="1:9" ht="15" customHeight="1" x14ac:dyDescent="0.25">
      <c r="A269" s="6"/>
      <c r="B269" s="6"/>
      <c r="C269" s="6"/>
      <c r="D269" s="6"/>
      <c r="E269" s="6"/>
      <c r="F269" s="6"/>
      <c r="G269" s="6"/>
      <c r="H269" s="6"/>
      <c r="I269" s="6"/>
    </row>
    <row r="270" spans="1:9" ht="15" customHeight="1" x14ac:dyDescent="0.25">
      <c r="A270" s="6"/>
      <c r="B270" s="6"/>
      <c r="C270" s="6"/>
      <c r="D270" s="6"/>
      <c r="E270" s="6"/>
      <c r="F270" s="6"/>
      <c r="G270" s="6"/>
      <c r="H270" s="6"/>
      <c r="I270" s="6"/>
    </row>
    <row r="271" spans="1:9" ht="15" customHeight="1" x14ac:dyDescent="0.25">
      <c r="A271" s="6"/>
      <c r="B271" s="6"/>
      <c r="C271" s="6"/>
      <c r="D271" s="6"/>
      <c r="E271" s="6"/>
      <c r="F271" s="6"/>
      <c r="G271" s="6"/>
      <c r="H271" s="6"/>
      <c r="I271" s="6"/>
    </row>
    <row r="272" spans="1:9" ht="15" customHeight="1" x14ac:dyDescent="0.25">
      <c r="A272" s="6"/>
      <c r="B272" s="6"/>
      <c r="C272" s="6"/>
      <c r="D272" s="6"/>
      <c r="E272" s="6"/>
      <c r="F272" s="6"/>
      <c r="G272" s="6"/>
      <c r="H272" s="6"/>
      <c r="I272" s="6"/>
    </row>
    <row r="273" spans="1:9" ht="15" customHeight="1" x14ac:dyDescent="0.25">
      <c r="A273" s="6"/>
      <c r="B273" s="6"/>
      <c r="C273" s="6"/>
      <c r="D273" s="6"/>
      <c r="E273" s="6"/>
      <c r="F273" s="6"/>
      <c r="G273" s="6"/>
      <c r="H273" s="6"/>
      <c r="I273" s="6"/>
    </row>
    <row r="274" spans="1:9" ht="15" customHeight="1" x14ac:dyDescent="0.25">
      <c r="A274" s="6"/>
      <c r="B274" s="6"/>
      <c r="C274" s="6"/>
      <c r="D274" s="6"/>
      <c r="E274" s="6"/>
      <c r="F274" s="6"/>
      <c r="G274" s="6"/>
      <c r="H274" s="6"/>
      <c r="I274" s="6"/>
    </row>
    <row r="275" spans="1:9" ht="15" customHeight="1" x14ac:dyDescent="0.25">
      <c r="A275" s="6"/>
      <c r="B275" s="6"/>
      <c r="C275" s="6"/>
      <c r="D275" s="6"/>
      <c r="E275" s="6"/>
      <c r="F275" s="6"/>
      <c r="G275" s="6"/>
      <c r="H275" s="6"/>
      <c r="I275" s="6"/>
    </row>
    <row r="276" spans="1:9" ht="15" customHeight="1" x14ac:dyDescent="0.25">
      <c r="A276" s="6"/>
      <c r="B276" s="6"/>
      <c r="C276" s="6"/>
      <c r="D276" s="6"/>
      <c r="E276" s="6"/>
      <c r="F276" s="6"/>
      <c r="G276" s="6"/>
      <c r="H276" s="6"/>
      <c r="I276" s="6"/>
    </row>
    <row r="277" spans="1:9" ht="15" customHeight="1" x14ac:dyDescent="0.25">
      <c r="A277" s="6"/>
      <c r="B277" s="6"/>
      <c r="C277" s="6"/>
      <c r="D277" s="6"/>
      <c r="E277" s="6"/>
      <c r="F277" s="6"/>
      <c r="G277" s="6"/>
      <c r="H277" s="6"/>
      <c r="I277" s="6"/>
    </row>
    <row r="278" spans="1:9" ht="15" customHeight="1" x14ac:dyDescent="0.25">
      <c r="A278" s="6"/>
      <c r="B278" s="6"/>
      <c r="C278" s="6"/>
      <c r="D278" s="6"/>
      <c r="E278" s="6"/>
      <c r="F278" s="6"/>
      <c r="G278" s="6"/>
      <c r="H278" s="6"/>
      <c r="I278" s="6"/>
    </row>
    <row r="279" spans="1:9" ht="15" customHeight="1" x14ac:dyDescent="0.25">
      <c r="A279" s="6"/>
      <c r="B279" s="6"/>
      <c r="C279" s="6"/>
      <c r="D279" s="6"/>
      <c r="E279" s="6"/>
      <c r="F279" s="6"/>
      <c r="G279" s="6"/>
      <c r="H279" s="6"/>
      <c r="I279" s="6"/>
    </row>
    <row r="280" spans="1:9" ht="15" customHeight="1" x14ac:dyDescent="0.25">
      <c r="A280" s="6"/>
      <c r="B280" s="6"/>
      <c r="C280" s="6"/>
      <c r="D280" s="6"/>
      <c r="E280" s="6"/>
      <c r="F280" s="6"/>
      <c r="G280" s="6"/>
      <c r="H280" s="6"/>
      <c r="I280" s="6"/>
    </row>
    <row r="281" spans="1:9" ht="15" customHeight="1" x14ac:dyDescent="0.25">
      <c r="A281" s="6"/>
      <c r="B281" s="6"/>
      <c r="C281" s="6"/>
      <c r="D281" s="6"/>
      <c r="E281" s="6"/>
      <c r="F281" s="6"/>
      <c r="G281" s="6"/>
      <c r="H281" s="6"/>
      <c r="I281" s="6"/>
    </row>
    <row r="282" spans="1:9" ht="15" customHeight="1" x14ac:dyDescent="0.25">
      <c r="A282" s="6"/>
      <c r="B282" s="6"/>
      <c r="C282" s="6"/>
      <c r="D282" s="6"/>
      <c r="E282" s="6"/>
      <c r="F282" s="6"/>
      <c r="G282" s="6"/>
      <c r="H282" s="6"/>
      <c r="I282" s="6"/>
    </row>
    <row r="283" spans="1:9" ht="15" customHeight="1" x14ac:dyDescent="0.25">
      <c r="A283" s="6"/>
      <c r="B283" s="6"/>
      <c r="C283" s="6"/>
      <c r="D283" s="6"/>
      <c r="E283" s="6"/>
      <c r="F283" s="6"/>
      <c r="G283" s="6"/>
      <c r="H283" s="6"/>
      <c r="I283" s="6"/>
    </row>
    <row r="284" spans="1:9" ht="15" customHeight="1" x14ac:dyDescent="0.25">
      <c r="A284" s="6"/>
      <c r="B284" s="6"/>
      <c r="C284" s="6"/>
      <c r="D284" s="6"/>
      <c r="E284" s="6"/>
      <c r="F284" s="6"/>
      <c r="G284" s="6"/>
      <c r="H284" s="6"/>
      <c r="I284" s="6"/>
    </row>
    <row r="285" spans="1:9" ht="15" customHeight="1" x14ac:dyDescent="0.25">
      <c r="A285" s="6"/>
      <c r="B285" s="6"/>
      <c r="C285" s="6"/>
      <c r="D285" s="6"/>
      <c r="E285" s="6"/>
      <c r="F285" s="6"/>
      <c r="G285" s="6"/>
      <c r="H285" s="6"/>
      <c r="I285" s="6"/>
    </row>
    <row r="286" spans="1:9" ht="15" customHeight="1" x14ac:dyDescent="0.25">
      <c r="A286" s="6"/>
      <c r="B286" s="6"/>
      <c r="C286" s="6"/>
      <c r="D286" s="6"/>
      <c r="E286" s="6"/>
      <c r="F286" s="6"/>
      <c r="G286" s="6"/>
      <c r="H286" s="6"/>
      <c r="I286" s="6"/>
    </row>
    <row r="287" spans="1:9" ht="15" customHeight="1" x14ac:dyDescent="0.25">
      <c r="A287" s="6"/>
      <c r="B287" s="6"/>
      <c r="C287" s="6"/>
      <c r="D287" s="6"/>
      <c r="E287" s="6"/>
      <c r="F287" s="6"/>
      <c r="G287" s="6"/>
      <c r="H287" s="6"/>
      <c r="I287" s="6"/>
    </row>
    <row r="288" spans="1:9" ht="15" customHeight="1" x14ac:dyDescent="0.25">
      <c r="A288" s="6"/>
      <c r="B288" s="6"/>
      <c r="C288" s="6"/>
      <c r="D288" s="6"/>
      <c r="E288" s="6"/>
      <c r="F288" s="6"/>
      <c r="G288" s="6"/>
      <c r="H288" s="6"/>
      <c r="I288" s="6"/>
    </row>
    <row r="289" spans="1:9" ht="15" customHeight="1" x14ac:dyDescent="0.25">
      <c r="A289" s="6"/>
      <c r="B289" s="6"/>
      <c r="C289" s="6"/>
      <c r="D289" s="6"/>
      <c r="E289" s="6"/>
      <c r="F289" s="6"/>
      <c r="G289" s="6"/>
      <c r="H289" s="6"/>
      <c r="I289" s="6"/>
    </row>
    <row r="290" spans="1:9" ht="15" customHeight="1" x14ac:dyDescent="0.25">
      <c r="A290" s="6"/>
      <c r="B290" s="6"/>
      <c r="C290" s="6"/>
      <c r="D290" s="6"/>
      <c r="E290" s="6"/>
      <c r="F290" s="6"/>
      <c r="G290" s="6"/>
      <c r="H290" s="6"/>
      <c r="I290" s="6"/>
    </row>
    <row r="291" spans="1:9" ht="15" customHeight="1" x14ac:dyDescent="0.25">
      <c r="A291" s="6"/>
      <c r="B291" s="6"/>
      <c r="C291" s="6"/>
      <c r="D291" s="6"/>
      <c r="E291" s="6"/>
      <c r="F291" s="6"/>
      <c r="G291" s="6"/>
      <c r="H291" s="6"/>
      <c r="I291" s="6"/>
    </row>
    <row r="292" spans="1:9" ht="15" customHeight="1" x14ac:dyDescent="0.25">
      <c r="A292" s="6"/>
      <c r="B292" s="6"/>
      <c r="C292" s="6"/>
      <c r="D292" s="6"/>
      <c r="E292" s="6"/>
      <c r="F292" s="6"/>
      <c r="G292" s="6"/>
      <c r="H292" s="6"/>
      <c r="I292" s="6"/>
    </row>
    <row r="293" spans="1:9" ht="15" customHeight="1" x14ac:dyDescent="0.25">
      <c r="A293" s="6"/>
      <c r="B293" s="6"/>
      <c r="C293" s="6"/>
      <c r="D293" s="6"/>
      <c r="E293" s="6"/>
      <c r="F293" s="6"/>
      <c r="G293" s="6"/>
      <c r="H293" s="6"/>
      <c r="I293" s="6"/>
    </row>
    <row r="294" spans="1:9" ht="15" customHeight="1" x14ac:dyDescent="0.25">
      <c r="A294" s="6"/>
      <c r="B294" s="6"/>
      <c r="C294" s="6"/>
      <c r="D294" s="6"/>
      <c r="E294" s="6"/>
      <c r="F294" s="6"/>
      <c r="G294" s="6"/>
      <c r="H294" s="6"/>
      <c r="I294" s="6"/>
    </row>
    <row r="295" spans="1:9" ht="15" customHeight="1" x14ac:dyDescent="0.25">
      <c r="A295" s="6"/>
      <c r="B295" s="6"/>
      <c r="C295" s="6"/>
      <c r="D295" s="6"/>
      <c r="E295" s="6"/>
      <c r="F295" s="6"/>
      <c r="G295" s="6"/>
      <c r="H295" s="6"/>
      <c r="I295" s="6"/>
    </row>
    <row r="296" spans="1:9" ht="15" customHeight="1" x14ac:dyDescent="0.25">
      <c r="A296" s="6"/>
      <c r="B296" s="6"/>
      <c r="C296" s="6"/>
      <c r="D296" s="6"/>
      <c r="E296" s="6"/>
      <c r="F296" s="6"/>
      <c r="G296" s="6"/>
      <c r="H296" s="6"/>
      <c r="I296" s="6"/>
    </row>
    <row r="297" spans="1:9" ht="15" customHeight="1" x14ac:dyDescent="0.25">
      <c r="A297" s="6"/>
      <c r="B297" s="6"/>
      <c r="C297" s="6"/>
      <c r="D297" s="6"/>
      <c r="E297" s="6"/>
      <c r="F297" s="6"/>
      <c r="G297" s="6"/>
      <c r="H297" s="6"/>
      <c r="I297" s="6"/>
    </row>
    <row r="298" spans="1:9" ht="15" customHeight="1" x14ac:dyDescent="0.25">
      <c r="A298" s="6"/>
      <c r="B298" s="6"/>
      <c r="C298" s="6"/>
      <c r="D298" s="6"/>
      <c r="E298" s="6"/>
      <c r="F298" s="6"/>
      <c r="G298" s="6"/>
      <c r="H298" s="6"/>
      <c r="I298" s="6"/>
    </row>
    <row r="299" spans="1:9" ht="15" customHeight="1" x14ac:dyDescent="0.25">
      <c r="A299" s="6"/>
      <c r="B299" s="6"/>
      <c r="C299" s="6"/>
      <c r="D299" s="6"/>
      <c r="E299" s="6"/>
      <c r="F299" s="6"/>
      <c r="G299" s="6"/>
      <c r="H299" s="6"/>
      <c r="I299" s="6"/>
    </row>
    <row r="300" spans="1:9" ht="15" customHeight="1" x14ac:dyDescent="0.25">
      <c r="A300" s="6"/>
      <c r="B300" s="6"/>
      <c r="C300" s="6"/>
      <c r="D300" s="6"/>
      <c r="E300" s="6"/>
      <c r="F300" s="6"/>
      <c r="G300" s="6"/>
      <c r="H300" s="6"/>
      <c r="I300" s="6"/>
    </row>
    <row r="301" spans="1:9" ht="15" customHeight="1" x14ac:dyDescent="0.25">
      <c r="A301" s="6"/>
      <c r="B301" s="6"/>
      <c r="C301" s="6"/>
      <c r="D301" s="6"/>
      <c r="E301" s="6"/>
      <c r="F301" s="6"/>
      <c r="G301" s="6"/>
      <c r="H301" s="6"/>
      <c r="I301" s="6"/>
    </row>
    <row r="302" spans="1:9" ht="15" customHeight="1" x14ac:dyDescent="0.25">
      <c r="A302" s="6"/>
      <c r="B302" s="6"/>
      <c r="C302" s="6"/>
      <c r="D302" s="6"/>
      <c r="E302" s="6"/>
      <c r="F302" s="6"/>
      <c r="G302" s="6"/>
      <c r="H302" s="6"/>
      <c r="I302" s="6"/>
    </row>
    <row r="303" spans="1:9" ht="15" customHeight="1" x14ac:dyDescent="0.25">
      <c r="A303" s="6"/>
      <c r="B303" s="6"/>
      <c r="C303" s="6"/>
      <c r="D303" s="6"/>
      <c r="E303" s="6"/>
      <c r="F303" s="6"/>
      <c r="G303" s="6"/>
      <c r="H303" s="6"/>
      <c r="I303" s="6"/>
    </row>
    <row r="304" spans="1:9" ht="15" customHeight="1" x14ac:dyDescent="0.25">
      <c r="A304" s="6"/>
      <c r="B304" s="6"/>
      <c r="C304" s="6"/>
      <c r="D304" s="6"/>
      <c r="E304" s="6"/>
      <c r="F304" s="6"/>
      <c r="G304" s="6"/>
      <c r="H304" s="6"/>
      <c r="I304" s="6"/>
    </row>
    <row r="305" spans="1:9" ht="15" customHeight="1" x14ac:dyDescent="0.25">
      <c r="A305" s="6"/>
      <c r="B305" s="6"/>
      <c r="C305" s="6"/>
      <c r="D305" s="6"/>
      <c r="E305" s="6"/>
      <c r="F305" s="6"/>
      <c r="G305" s="6"/>
      <c r="H305" s="6"/>
      <c r="I305" s="6"/>
    </row>
    <row r="306" spans="1:9" ht="15" customHeight="1" x14ac:dyDescent="0.25">
      <c r="A306" s="6"/>
      <c r="B306" s="6"/>
      <c r="C306" s="6"/>
      <c r="D306" s="6"/>
      <c r="E306" s="6"/>
      <c r="F306" s="6"/>
      <c r="G306" s="6"/>
      <c r="H306" s="6"/>
      <c r="I306" s="6"/>
    </row>
    <row r="307" spans="1:9" ht="15" customHeight="1" x14ac:dyDescent="0.25">
      <c r="A307" s="6"/>
      <c r="B307" s="6"/>
      <c r="C307" s="6"/>
      <c r="D307" s="6"/>
      <c r="E307" s="6"/>
      <c r="F307" s="6"/>
      <c r="G307" s="6"/>
      <c r="H307" s="6"/>
      <c r="I307" s="6"/>
    </row>
    <row r="308" spans="1:9" ht="15" customHeight="1" x14ac:dyDescent="0.25">
      <c r="A308" s="6"/>
      <c r="B308" s="6"/>
      <c r="C308" s="6"/>
      <c r="D308" s="6"/>
      <c r="E308" s="6"/>
      <c r="F308" s="6"/>
      <c r="G308" s="6"/>
      <c r="H308" s="6"/>
      <c r="I308" s="6"/>
    </row>
    <row r="309" spans="1:9" ht="15" customHeight="1" x14ac:dyDescent="0.25">
      <c r="A309" s="6"/>
      <c r="B309" s="6"/>
      <c r="C309" s="6"/>
      <c r="D309" s="6"/>
      <c r="E309" s="6"/>
      <c r="F309" s="6"/>
      <c r="G309" s="6"/>
      <c r="H309" s="6"/>
      <c r="I309" s="6"/>
    </row>
    <row r="310" spans="1:9" ht="15" customHeight="1" x14ac:dyDescent="0.25">
      <c r="A310" s="6"/>
      <c r="B310" s="6"/>
      <c r="C310" s="6"/>
      <c r="D310" s="6"/>
      <c r="E310" s="6"/>
      <c r="F310" s="6"/>
      <c r="G310" s="6"/>
      <c r="H310" s="6"/>
      <c r="I310" s="6"/>
    </row>
    <row r="311" spans="1:9" ht="15" customHeight="1" x14ac:dyDescent="0.25">
      <c r="A311" s="6"/>
      <c r="B311" s="6"/>
      <c r="C311" s="6"/>
      <c r="D311" s="6"/>
      <c r="E311" s="6"/>
      <c r="F311" s="6"/>
      <c r="G311" s="6"/>
      <c r="H311" s="6"/>
      <c r="I311" s="6"/>
    </row>
    <row r="312" spans="1:9" ht="15" customHeight="1" x14ac:dyDescent="0.25">
      <c r="A312" s="6"/>
      <c r="B312" s="6"/>
      <c r="C312" s="6"/>
      <c r="D312" s="6"/>
      <c r="E312" s="6"/>
      <c r="F312" s="6"/>
      <c r="G312" s="6"/>
      <c r="H312" s="6"/>
      <c r="I312" s="6"/>
    </row>
    <row r="313" spans="1:9" ht="15" customHeight="1" x14ac:dyDescent="0.25">
      <c r="A313" s="6"/>
      <c r="B313" s="6"/>
      <c r="C313" s="6"/>
      <c r="D313" s="6"/>
      <c r="E313" s="6"/>
      <c r="F313" s="6"/>
      <c r="G313" s="6"/>
      <c r="H313" s="6"/>
      <c r="I313" s="6"/>
    </row>
    <row r="314" spans="1:9" ht="15" customHeight="1" x14ac:dyDescent="0.25">
      <c r="A314" s="6"/>
      <c r="B314" s="6"/>
      <c r="C314" s="6"/>
      <c r="D314" s="6"/>
      <c r="E314" s="6"/>
      <c r="F314" s="6"/>
      <c r="G314" s="6"/>
      <c r="H314" s="6"/>
      <c r="I314" s="6"/>
    </row>
    <row r="315" spans="1:9" ht="15" customHeight="1" x14ac:dyDescent="0.25">
      <c r="A315" s="6"/>
      <c r="B315" s="6"/>
      <c r="C315" s="6"/>
      <c r="D315" s="6"/>
      <c r="E315" s="6"/>
      <c r="F315" s="6"/>
      <c r="G315" s="6"/>
      <c r="H315" s="6"/>
      <c r="I315" s="6"/>
    </row>
    <row r="316" spans="1:9" ht="15" customHeight="1" x14ac:dyDescent="0.25">
      <c r="A316" s="6"/>
      <c r="B316" s="6"/>
      <c r="C316" s="6"/>
      <c r="D316" s="6"/>
      <c r="E316" s="6"/>
      <c r="F316" s="6"/>
      <c r="G316" s="6"/>
      <c r="H316" s="6"/>
      <c r="I316" s="6"/>
    </row>
    <row r="317" spans="1:9" ht="15" customHeight="1" x14ac:dyDescent="0.25">
      <c r="A317" s="6"/>
      <c r="B317" s="6"/>
      <c r="C317" s="6"/>
      <c r="D317" s="6"/>
      <c r="E317" s="6"/>
      <c r="F317" s="6"/>
      <c r="G317" s="6"/>
      <c r="H317" s="6"/>
      <c r="I317" s="6"/>
    </row>
    <row r="318" spans="1:9" ht="15" customHeight="1" x14ac:dyDescent="0.25">
      <c r="A318" s="6"/>
      <c r="B318" s="6"/>
      <c r="C318" s="6"/>
      <c r="D318" s="6"/>
      <c r="E318" s="6"/>
      <c r="F318" s="6"/>
      <c r="G318" s="6"/>
      <c r="H318" s="6"/>
      <c r="I318" s="6"/>
    </row>
    <row r="319" spans="1:9" ht="15" customHeight="1" x14ac:dyDescent="0.25">
      <c r="A319" s="6"/>
      <c r="B319" s="6"/>
      <c r="C319" s="6"/>
      <c r="D319" s="6"/>
      <c r="E319" s="6"/>
      <c r="F319" s="6"/>
      <c r="G319" s="6"/>
      <c r="H319" s="6"/>
      <c r="I319" s="6"/>
    </row>
    <row r="320" spans="1:9" ht="15" customHeight="1" x14ac:dyDescent="0.25">
      <c r="A320" s="6"/>
      <c r="B320" s="6"/>
      <c r="C320" s="6"/>
      <c r="D320" s="6"/>
      <c r="E320" s="6"/>
      <c r="F320" s="6"/>
      <c r="G320" s="6"/>
      <c r="H320" s="6"/>
      <c r="I320" s="6"/>
    </row>
    <row r="321" spans="1:9" ht="15" customHeight="1" x14ac:dyDescent="0.25">
      <c r="A321" s="6"/>
      <c r="B321" s="6"/>
      <c r="C321" s="6"/>
      <c r="D321" s="6"/>
      <c r="E321" s="6"/>
      <c r="F321" s="6"/>
      <c r="G321" s="6"/>
      <c r="H321" s="6"/>
      <c r="I321" s="6"/>
    </row>
    <row r="322" spans="1:9" ht="15" customHeight="1" x14ac:dyDescent="0.25">
      <c r="A322" s="6"/>
      <c r="B322" s="6"/>
      <c r="C322" s="6"/>
      <c r="D322" s="6"/>
      <c r="E322" s="6"/>
      <c r="F322" s="6"/>
      <c r="G322" s="6"/>
      <c r="H322" s="6"/>
      <c r="I322" s="6"/>
    </row>
    <row r="323" spans="1:9" ht="15" customHeight="1" x14ac:dyDescent="0.25">
      <c r="A323" s="6"/>
      <c r="B323" s="6"/>
      <c r="C323" s="6"/>
      <c r="D323" s="6"/>
      <c r="E323" s="6"/>
      <c r="F323" s="6"/>
      <c r="G323" s="6"/>
      <c r="H323" s="6"/>
      <c r="I323" s="6"/>
    </row>
    <row r="324" spans="1:9" ht="15" customHeight="1" x14ac:dyDescent="0.25">
      <c r="A324" s="6"/>
      <c r="B324" s="6"/>
      <c r="C324" s="6"/>
      <c r="D324" s="6"/>
      <c r="E324" s="6"/>
      <c r="F324" s="6"/>
      <c r="G324" s="6"/>
      <c r="H324" s="6"/>
      <c r="I324" s="6"/>
    </row>
    <row r="325" spans="1:9" ht="15" customHeight="1" x14ac:dyDescent="0.25">
      <c r="A325" s="6"/>
      <c r="B325" s="6"/>
      <c r="C325" s="6"/>
      <c r="D325" s="6"/>
      <c r="E325" s="6"/>
      <c r="F325" s="6"/>
      <c r="G325" s="6"/>
      <c r="H325" s="6"/>
      <c r="I325" s="6"/>
    </row>
    <row r="326" spans="1:9" ht="15" customHeight="1" x14ac:dyDescent="0.25">
      <c r="A326" s="6"/>
      <c r="B326" s="6"/>
      <c r="C326" s="6"/>
      <c r="D326" s="6"/>
      <c r="E326" s="6"/>
      <c r="F326" s="6"/>
      <c r="G326" s="6"/>
      <c r="H326" s="6"/>
      <c r="I326" s="6"/>
    </row>
    <row r="327" spans="1:9" ht="15" customHeight="1" x14ac:dyDescent="0.25">
      <c r="A327" s="6"/>
      <c r="B327" s="6"/>
      <c r="C327" s="6"/>
      <c r="D327" s="6"/>
      <c r="E327" s="6"/>
      <c r="F327" s="6"/>
      <c r="G327" s="6"/>
      <c r="H327" s="6"/>
      <c r="I327" s="6"/>
    </row>
    <row r="328" spans="1:9" ht="15" customHeight="1" x14ac:dyDescent="0.25">
      <c r="A328" s="6"/>
      <c r="B328" s="6"/>
      <c r="C328" s="6"/>
      <c r="D328" s="6"/>
      <c r="E328" s="6"/>
      <c r="F328" s="6"/>
      <c r="G328" s="6"/>
      <c r="H328" s="6"/>
      <c r="I328" s="6"/>
    </row>
    <row r="329" spans="1:9" ht="15" customHeight="1" x14ac:dyDescent="0.25">
      <c r="A329" s="6"/>
      <c r="B329" s="6"/>
      <c r="C329" s="6"/>
      <c r="D329" s="6"/>
      <c r="E329" s="6"/>
      <c r="F329" s="6"/>
      <c r="G329" s="6"/>
      <c r="H329" s="6"/>
      <c r="I329" s="6"/>
    </row>
    <row r="330" spans="1:9" ht="15" customHeight="1" x14ac:dyDescent="0.25">
      <c r="A330" s="6"/>
      <c r="B330" s="6"/>
      <c r="C330" s="6"/>
      <c r="D330" s="6"/>
      <c r="E330" s="6"/>
      <c r="F330" s="6"/>
      <c r="G330" s="6"/>
      <c r="H330" s="6"/>
      <c r="I330" s="6"/>
    </row>
    <row r="331" spans="1:9" ht="15" customHeight="1" x14ac:dyDescent="0.25">
      <c r="A331" s="6"/>
      <c r="B331" s="6"/>
      <c r="C331" s="6"/>
      <c r="D331" s="6"/>
      <c r="E331" s="6"/>
      <c r="F331" s="6"/>
      <c r="G331" s="6"/>
      <c r="H331" s="6"/>
      <c r="I331" s="6"/>
    </row>
    <row r="332" spans="1:9" ht="15" customHeight="1" x14ac:dyDescent="0.25">
      <c r="A332" s="6"/>
      <c r="B332" s="6"/>
      <c r="C332" s="6"/>
      <c r="D332" s="6"/>
      <c r="E332" s="6"/>
      <c r="F332" s="6"/>
      <c r="G332" s="6"/>
      <c r="H332" s="6"/>
      <c r="I332" s="6"/>
    </row>
    <row r="333" spans="1:9" ht="15" customHeight="1" x14ac:dyDescent="0.25">
      <c r="A333" s="6"/>
      <c r="B333" s="6"/>
      <c r="C333" s="6"/>
      <c r="D333" s="6"/>
      <c r="E333" s="6"/>
      <c r="F333" s="6"/>
      <c r="G333" s="6"/>
      <c r="H333" s="6"/>
      <c r="I333" s="6"/>
    </row>
    <row r="334" spans="1:9" ht="15" customHeight="1" x14ac:dyDescent="0.25">
      <c r="A334" s="6"/>
      <c r="B334" s="6"/>
      <c r="C334" s="6"/>
      <c r="D334" s="6"/>
      <c r="E334" s="6"/>
      <c r="F334" s="6"/>
      <c r="G334" s="6"/>
      <c r="H334" s="6"/>
      <c r="I334" s="6"/>
    </row>
    <row r="335" spans="1:9" ht="15" customHeight="1" x14ac:dyDescent="0.25">
      <c r="A335" s="6"/>
      <c r="B335" s="6"/>
      <c r="C335" s="6"/>
      <c r="D335" s="6"/>
      <c r="E335" s="6"/>
      <c r="F335" s="6"/>
      <c r="G335" s="6"/>
      <c r="H335" s="6"/>
      <c r="I335" s="6"/>
    </row>
    <row r="336" spans="1:9" ht="15" customHeight="1" x14ac:dyDescent="0.25">
      <c r="A336" s="6"/>
      <c r="B336" s="6"/>
      <c r="C336" s="6"/>
      <c r="D336" s="6"/>
      <c r="E336" s="6"/>
      <c r="F336" s="6"/>
      <c r="G336" s="6"/>
      <c r="H336" s="6"/>
      <c r="I336" s="6"/>
    </row>
    <row r="337" spans="1:9" ht="15" customHeight="1" x14ac:dyDescent="0.25">
      <c r="A337" s="6"/>
      <c r="B337" s="6"/>
      <c r="C337" s="6"/>
      <c r="D337" s="6"/>
      <c r="E337" s="6"/>
      <c r="F337" s="6"/>
      <c r="G337" s="6"/>
      <c r="H337" s="6"/>
      <c r="I337" s="6"/>
    </row>
    <row r="338" spans="1:9" ht="15" customHeight="1" x14ac:dyDescent="0.25">
      <c r="A338" s="6"/>
      <c r="B338" s="6"/>
      <c r="C338" s="6"/>
      <c r="D338" s="6"/>
      <c r="E338" s="6"/>
      <c r="F338" s="6"/>
      <c r="G338" s="6"/>
      <c r="H338" s="6"/>
      <c r="I338" s="6"/>
    </row>
    <row r="339" spans="1:9" ht="15" customHeight="1" x14ac:dyDescent="0.25">
      <c r="A339" s="6"/>
      <c r="B339" s="6"/>
      <c r="C339" s="6"/>
      <c r="D339" s="6"/>
      <c r="E339" s="6"/>
      <c r="F339" s="6"/>
      <c r="G339" s="6"/>
      <c r="H339" s="6"/>
      <c r="I339" s="6"/>
    </row>
    <row r="340" spans="1:9" ht="15" customHeight="1" x14ac:dyDescent="0.25">
      <c r="A340" s="6"/>
      <c r="B340" s="6"/>
      <c r="C340" s="6"/>
      <c r="D340" s="6"/>
      <c r="E340" s="6"/>
      <c r="F340" s="6"/>
      <c r="G340" s="6"/>
      <c r="H340" s="6"/>
      <c r="I340" s="6"/>
    </row>
    <row r="341" spans="1:9" ht="15" customHeight="1" x14ac:dyDescent="0.25">
      <c r="A341" s="6"/>
      <c r="B341" s="6"/>
      <c r="C341" s="6"/>
      <c r="D341" s="6"/>
      <c r="E341" s="6"/>
      <c r="F341" s="6"/>
      <c r="G341" s="6"/>
      <c r="H341" s="6"/>
      <c r="I341" s="6"/>
    </row>
    <row r="342" spans="1:9" ht="15.75" customHeight="1" x14ac:dyDescent="0.25">
      <c r="A342" s="6"/>
      <c r="B342" s="6"/>
      <c r="C342" s="6"/>
    </row>
    <row r="343" spans="1:9" ht="15.75" customHeight="1" x14ac:dyDescent="0.25">
      <c r="A343" s="6"/>
      <c r="B343" s="6"/>
      <c r="C343" s="6"/>
    </row>
    <row r="344" spans="1:9" ht="15.75" customHeight="1" x14ac:dyDescent="0.25">
      <c r="A344" s="6"/>
      <c r="B344" s="6"/>
      <c r="C344" s="6"/>
    </row>
    <row r="345" spans="1:9" ht="15.75" customHeight="1" x14ac:dyDescent="0.25">
      <c r="A345" s="6"/>
      <c r="B345" s="6"/>
      <c r="C345" s="6"/>
    </row>
    <row r="346" spans="1:9" ht="15.75" customHeight="1" x14ac:dyDescent="0.25">
      <c r="A346" s="6"/>
      <c r="B346" s="6"/>
      <c r="C346" s="6"/>
    </row>
    <row r="347" spans="1:9" ht="15.75" customHeight="1" x14ac:dyDescent="0.25">
      <c r="A347" s="6"/>
      <c r="B347" s="6"/>
      <c r="C347" s="6"/>
    </row>
    <row r="348" spans="1:9" ht="15.75" customHeight="1" x14ac:dyDescent="0.25">
      <c r="A348" s="6"/>
      <c r="B348" s="6"/>
      <c r="C348" s="6"/>
    </row>
    <row r="349" spans="1:9" ht="15.75" customHeight="1" x14ac:dyDescent="0.25">
      <c r="A349" s="6"/>
      <c r="B349" s="6"/>
      <c r="C349" s="6"/>
    </row>
    <row r="350" spans="1:9" ht="15.75" customHeight="1" x14ac:dyDescent="0.25">
      <c r="A350" s="6"/>
      <c r="B350" s="6"/>
      <c r="C350" s="6"/>
    </row>
    <row r="351" spans="1:9" ht="15.75" customHeight="1" x14ac:dyDescent="0.25">
      <c r="A351" s="6"/>
      <c r="B351" s="6"/>
      <c r="C351" s="6"/>
    </row>
    <row r="352" spans="1:9" ht="15.75" customHeight="1" x14ac:dyDescent="0.25">
      <c r="A352" s="6"/>
      <c r="B352" s="6"/>
      <c r="C352" s="6"/>
    </row>
    <row r="353" spans="1:3" ht="15.75" customHeight="1" x14ac:dyDescent="0.25">
      <c r="A353" s="6"/>
      <c r="B353" s="6"/>
      <c r="C353" s="6"/>
    </row>
    <row r="354" spans="1:3" ht="15.75" customHeight="1" x14ac:dyDescent="0.25">
      <c r="A354" s="6"/>
      <c r="B354" s="6"/>
      <c r="C354" s="6"/>
    </row>
    <row r="355" spans="1:3" ht="15.75" customHeight="1" x14ac:dyDescent="0.25">
      <c r="A355" s="6"/>
      <c r="B355" s="6"/>
      <c r="C355" s="6"/>
    </row>
    <row r="356" spans="1:3" ht="15.75" customHeight="1" x14ac:dyDescent="0.25">
      <c r="A356" s="6"/>
      <c r="B356" s="6"/>
      <c r="C356" s="6"/>
    </row>
    <row r="357" spans="1:3" ht="15.75" customHeight="1" x14ac:dyDescent="0.25">
      <c r="A357" s="6"/>
      <c r="B357" s="6"/>
      <c r="C357" s="6"/>
    </row>
    <row r="358" spans="1:3" ht="15.75" customHeight="1" x14ac:dyDescent="0.25">
      <c r="A358" s="6"/>
      <c r="B358" s="6"/>
      <c r="C358" s="6"/>
    </row>
    <row r="359" spans="1:3" ht="15.75" customHeight="1" x14ac:dyDescent="0.25">
      <c r="A359" s="6"/>
      <c r="B359" s="6"/>
      <c r="C359" s="6"/>
    </row>
    <row r="360" spans="1:3" ht="15.75" customHeight="1" x14ac:dyDescent="0.25">
      <c r="A360" s="6"/>
      <c r="B360" s="6"/>
      <c r="C360" s="6"/>
    </row>
    <row r="361" spans="1:3" ht="15.75" customHeight="1" x14ac:dyDescent="0.25">
      <c r="A361" s="6"/>
      <c r="B361" s="6"/>
      <c r="C361" s="6"/>
    </row>
    <row r="362" spans="1:3" ht="15.75" customHeight="1" x14ac:dyDescent="0.25">
      <c r="A362" s="6"/>
      <c r="B362" s="6"/>
      <c r="C362" s="6"/>
    </row>
    <row r="363" spans="1:3" ht="15.75" customHeight="1" x14ac:dyDescent="0.25">
      <c r="A363" s="6"/>
      <c r="B363" s="6"/>
      <c r="C363" s="6"/>
    </row>
    <row r="364" spans="1:3" ht="15.75" customHeight="1" x14ac:dyDescent="0.25">
      <c r="A364" s="6"/>
      <c r="B364" s="6"/>
      <c r="C364" s="6"/>
    </row>
    <row r="365" spans="1:3" ht="15.75" customHeight="1" x14ac:dyDescent="0.25">
      <c r="A365" s="6"/>
      <c r="B365" s="6"/>
      <c r="C365" s="6"/>
    </row>
    <row r="366" spans="1:3" ht="15.75" customHeight="1" x14ac:dyDescent="0.25">
      <c r="A366" s="6"/>
      <c r="B366" s="6"/>
      <c r="C366" s="6"/>
    </row>
    <row r="367" spans="1:3" ht="15.75" customHeight="1" x14ac:dyDescent="0.25">
      <c r="A367" s="6"/>
      <c r="B367" s="6"/>
      <c r="C367" s="6"/>
    </row>
    <row r="368" spans="1:3" ht="15.75" customHeight="1" x14ac:dyDescent="0.25">
      <c r="A368" s="6"/>
      <c r="B368" s="6"/>
      <c r="C368" s="6"/>
    </row>
    <row r="369" spans="1:3" ht="15.75" customHeight="1" x14ac:dyDescent="0.25">
      <c r="A369" s="6"/>
      <c r="B369" s="6"/>
      <c r="C369" s="6"/>
    </row>
    <row r="370" spans="1:3" ht="15.75" customHeight="1" x14ac:dyDescent="0.25">
      <c r="A370" s="6"/>
      <c r="B370" s="6"/>
      <c r="C370" s="6"/>
    </row>
    <row r="371" spans="1:3" ht="15.75" customHeight="1" x14ac:dyDescent="0.25">
      <c r="A371" s="6"/>
      <c r="B371" s="6"/>
      <c r="C371" s="6"/>
    </row>
    <row r="372" spans="1:3" ht="15.75" customHeight="1" x14ac:dyDescent="0.25">
      <c r="A372" s="6"/>
      <c r="B372" s="6"/>
      <c r="C372" s="6"/>
    </row>
    <row r="373" spans="1:3" ht="15.75" customHeight="1" x14ac:dyDescent="0.25">
      <c r="A373" s="6"/>
      <c r="B373" s="6"/>
      <c r="C373" s="6"/>
    </row>
    <row r="374" spans="1:3" ht="15.75" customHeight="1" x14ac:dyDescent="0.25">
      <c r="A374" s="6"/>
      <c r="B374" s="6"/>
      <c r="C374" s="6"/>
    </row>
    <row r="375" spans="1:3" ht="15.75" customHeight="1" x14ac:dyDescent="0.25">
      <c r="A375" s="6"/>
      <c r="B375" s="6"/>
      <c r="C375" s="6"/>
    </row>
    <row r="376" spans="1:3" ht="15.75" customHeight="1" x14ac:dyDescent="0.25">
      <c r="A376" s="6"/>
      <c r="B376" s="6"/>
      <c r="C376" s="6"/>
    </row>
    <row r="377" spans="1:3" ht="15.75" customHeight="1" x14ac:dyDescent="0.25">
      <c r="A377" s="6"/>
      <c r="B377" s="6"/>
      <c r="C377" s="6"/>
    </row>
    <row r="378" spans="1:3" ht="15.75" customHeight="1" x14ac:dyDescent="0.25"/>
    <row r="379" spans="1:3" ht="15.75" customHeight="1" x14ac:dyDescent="0.25"/>
    <row r="380" spans="1:3" ht="15.75" customHeight="1" x14ac:dyDescent="0.25"/>
    <row r="381" spans="1:3" ht="15.75" customHeight="1" x14ac:dyDescent="0.25"/>
    <row r="382" spans="1:3" ht="15.75" customHeight="1" x14ac:dyDescent="0.25"/>
    <row r="383" spans="1:3" ht="15.75" customHeight="1" x14ac:dyDescent="0.25"/>
    <row r="384" spans="1:3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</sheetData>
  <mergeCells count="2">
    <mergeCell ref="A1:C1"/>
    <mergeCell ref="F2:H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54C1FA-799D-4AA4-A2EF-B1A95632A896}">
  <dimension ref="A1:Z1036"/>
  <sheetViews>
    <sheetView topLeftCell="A156" workbookViewId="0">
      <selection activeCell="E178" sqref="E161:E178"/>
    </sheetView>
  </sheetViews>
  <sheetFormatPr defaultRowHeight="16.149999999999999" customHeight="1" x14ac:dyDescent="0.25"/>
  <cols>
    <col min="1" max="1" width="8.7109375" bestFit="1" customWidth="1"/>
    <col min="2" max="2" width="7.28515625" bestFit="1" customWidth="1"/>
    <col min="3" max="3" width="8.7109375" bestFit="1" customWidth="1"/>
    <col min="4" max="4" width="6.7109375" bestFit="1" customWidth="1"/>
    <col min="5" max="5" width="16.85546875" bestFit="1" customWidth="1"/>
    <col min="6" max="6" width="16.5703125" bestFit="1" customWidth="1"/>
    <col min="7" max="7" width="18.28515625" bestFit="1" customWidth="1"/>
    <col min="8" max="8" width="28.42578125" bestFit="1" customWidth="1"/>
    <col min="9" max="9" width="103.5703125" bestFit="1" customWidth="1"/>
    <col min="10" max="10" width="2.7109375" bestFit="1" customWidth="1"/>
    <col min="11" max="11" width="1.7109375" bestFit="1" customWidth="1"/>
    <col min="12" max="12" width="2.7109375" bestFit="1" customWidth="1"/>
  </cols>
  <sheetData>
    <row r="1" spans="1:26" ht="16.149999999999999" customHeight="1" x14ac:dyDescent="0.25">
      <c r="A1" s="44" t="s">
        <v>0</v>
      </c>
      <c r="B1" s="44"/>
      <c r="C1" s="44"/>
      <c r="D1" s="20"/>
      <c r="E1" s="21"/>
      <c r="F1" s="21"/>
      <c r="G1" s="21"/>
      <c r="H1" s="21"/>
      <c r="I1" s="21"/>
      <c r="J1" s="21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</row>
    <row r="2" spans="1:26" ht="16.149999999999999" customHeight="1" x14ac:dyDescent="0.25">
      <c r="A2" s="23" t="s">
        <v>1</v>
      </c>
      <c r="B2" s="23" t="s">
        <v>2</v>
      </c>
      <c r="C2" s="23" t="s">
        <v>3</v>
      </c>
      <c r="D2" s="23" t="s">
        <v>115</v>
      </c>
      <c r="E2" s="23" t="s">
        <v>116</v>
      </c>
      <c r="F2" s="45" t="s">
        <v>117</v>
      </c>
      <c r="G2" s="45"/>
      <c r="H2" s="45"/>
      <c r="I2" s="23" t="s">
        <v>118</v>
      </c>
      <c r="J2" s="45"/>
      <c r="K2" s="45"/>
      <c r="L2" s="45"/>
      <c r="M2" s="45"/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</row>
    <row r="3" spans="1:26" ht="16.149999999999999" customHeight="1" x14ac:dyDescent="0.25">
      <c r="A3" s="4">
        <v>1</v>
      </c>
      <c r="B3" s="4" t="str">
        <f t="shared" ref="B3:B183" si="0">"DIO"&amp;A3</f>
        <v>DIO1</v>
      </c>
      <c r="C3" s="4" t="s">
        <v>7</v>
      </c>
      <c r="D3" s="24">
        <v>0</v>
      </c>
      <c r="E3" s="19" t="str">
        <f>"#if (defined("&amp;C3&amp;"_PORT) &amp;&amp; defined("&amp;C3&amp;"_BIT))
#define "&amp;C3&amp;" "&amp;A3&amp;"
#define "&amp;C3&amp;"_MBED_PIN __mbedpin__("&amp;C3&amp;"_PORT, "&amp;C3&amp;"_BIT)
#define "&amp;C3&amp;"_GPIOREG __gpioreg__("&amp;C3&amp;"_PORT)
#if ("&amp;C3&amp;"_BIT &lt; 16)
#define "&amp;C3&amp;"_PINHALF L
#else
#define "&amp;C3&amp;"_PINHALF H
#endif
#define "&amp;C3&amp;"_PINCON __pincon__("&amp;C3&amp;"_PORT, "&amp;C3&amp;"_PINHALF)
#define "&amp;B3&amp;" "&amp;A3&amp;"
#define "&amp;B3&amp;"_MBED_PIN "&amp;C3&amp;"_MBED_PIN
#define "&amp;B3&amp;"_PORT "&amp;C3&amp;"_PORT
#define "&amp;B3&amp;"_BIT "&amp;C3&amp;"_BIT
#define "&amp;B3&amp;"_GPIOREG "&amp;C3&amp;"_GPIOREG
#define "&amp;B3&amp;"_PINHALF "&amp;C3&amp;"_PINHALF
#define "&amp;B3&amp;"_PINCON "&amp;C3&amp;"_PINCON
#endif"</f>
        <v>#if (defined(STEP0_PORT) &amp;&amp; defined(STEP0_BIT))
#define STEP0 1
#define STEP0_MBED_PIN __mbedpin__(STEP0_PORT, STEP0_BIT)
#define STEP0_GPIOREG __gpioreg__(STEP0_PORT)
#if (STEP0_BIT &lt; 16)
#define STEP0_PINHALF L
#else
#define STEP0_PINHALF H
#endif
#define STEP0_PINCON __pincon__(STEP0_PORT, STEP0_PINHALF)
#define DIO1 1
#define DIO1_MBED_PIN STEP0_MBED_PIN
#define DIO1_PORT STEP0_PORT
#define DIO1_BIT STEP0_BIT
#define DIO1_GPIOREG STEP0_GPIOREG
#define DIO1_PINHALF STEP0_PINHALF
#define DIO1_PINCON STEP0_PINCON
#endif</v>
      </c>
      <c r="F3" s="19"/>
      <c r="G3" s="19"/>
      <c r="H3" s="19"/>
      <c r="I3" s="19" t="s">
        <v>239</v>
      </c>
      <c r="J3" s="24">
        <v>0</v>
      </c>
      <c r="K3" s="24">
        <v>0</v>
      </c>
      <c r="L3" s="24">
        <v>0</v>
      </c>
      <c r="M3" s="22"/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</row>
    <row r="4" spans="1:26" ht="16.149999999999999" customHeight="1" x14ac:dyDescent="0.25">
      <c r="A4" s="4">
        <v>2</v>
      </c>
      <c r="B4" s="4" t="str">
        <f t="shared" si="0"/>
        <v>DIO2</v>
      </c>
      <c r="C4" s="4" t="s">
        <v>8</v>
      </c>
      <c r="D4" s="24">
        <v>1</v>
      </c>
      <c r="E4" s="19" t="str">
        <f t="shared" ref="E4:E67" si="1">"#if (defined("&amp;C4&amp;"_PORT) &amp;&amp; defined("&amp;C4&amp;"_BIT))
#define "&amp;C4&amp;" "&amp;A4&amp;"
#define "&amp;C4&amp;"_MBED_PIN __mbedpin__("&amp;C4&amp;"_PORT, "&amp;C4&amp;"_BIT)
#define "&amp;C4&amp;"_GPIOREG __gpioreg__("&amp;C4&amp;"_PORT)
#if ("&amp;C4&amp;"_BIT &lt; 16)
#define "&amp;C4&amp;"_PINHALF L
#else
#define "&amp;C4&amp;"_PINHALF H
#endif
#define "&amp;C4&amp;"_PINCON __pincon__("&amp;C4&amp;"_PORT, "&amp;C4&amp;"_PINHALF)
#define "&amp;B4&amp;" "&amp;A4&amp;"
#define "&amp;B4&amp;"_MBED_PIN "&amp;C4&amp;"_MBED_PIN
#define "&amp;B4&amp;"_PORT "&amp;C4&amp;"_PORT
#define "&amp;B4&amp;"_BIT "&amp;C4&amp;"_BIT
#define "&amp;B4&amp;"_GPIOREG "&amp;C4&amp;"_GPIOREG
#define "&amp;B4&amp;"_PINHALF "&amp;C4&amp;"_PINHALF
#define "&amp;B4&amp;"_PINCON "&amp;C4&amp;"_PINCON
#endif"</f>
        <v>#if (defined(STEP1_PORT) &amp;&amp; defined(STEP1_BIT))
#define STEP1 2
#define STEP1_MBED_PIN __mbedpin__(STEP1_PORT, STEP1_BIT)
#define STEP1_GPIOREG __gpioreg__(STEP1_PORT)
#if (STEP1_BIT &lt; 16)
#define STEP1_PINHALF L
#else
#define STEP1_PINHALF H
#endif
#define STEP1_PINCON __pincon__(STEP1_PORT, STEP1_PINHALF)
#define DIO2 2
#define DIO2_MBED_PIN STEP1_MBED_PIN
#define DIO2_PORT STEP1_PORT
#define DIO2_BIT STEP1_BIT
#define DIO2_GPIOREG STEP1_GPIOREG
#define DIO2_PINHALF STEP1_PINHALF
#define DIO2_PINCON STEP1_PINCON
#endif</v>
      </c>
      <c r="F4" s="19"/>
      <c r="G4" s="19"/>
      <c r="H4" s="19"/>
      <c r="I4" s="19" t="s">
        <v>240</v>
      </c>
      <c r="J4" s="24">
        <v>1</v>
      </c>
      <c r="K4" s="24">
        <v>0</v>
      </c>
      <c r="L4" s="24">
        <v>1</v>
      </c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</row>
    <row r="5" spans="1:26" ht="16.149999999999999" customHeight="1" x14ac:dyDescent="0.25">
      <c r="A5" s="4">
        <v>3</v>
      </c>
      <c r="B5" s="4" t="str">
        <f t="shared" si="0"/>
        <v>DIO3</v>
      </c>
      <c r="C5" s="4" t="s">
        <v>9</v>
      </c>
      <c r="D5" s="24">
        <v>2</v>
      </c>
      <c r="E5" s="19" t="str">
        <f t="shared" si="1"/>
        <v>#if (defined(STEP2_PORT) &amp;&amp; defined(STEP2_BIT))
#define STEP2 3
#define STEP2_MBED_PIN __mbedpin__(STEP2_PORT, STEP2_BIT)
#define STEP2_GPIOREG __gpioreg__(STEP2_PORT)
#if (STEP2_BIT &lt; 16)
#define STEP2_PINHALF L
#else
#define STEP2_PINHALF H
#endif
#define STEP2_PINCON __pincon__(STEP2_PORT, STEP2_PINHALF)
#define DIO3 3
#define DIO3_MBED_PIN STEP2_MBED_PIN
#define DIO3_PORT STEP2_PORT
#define DIO3_BIT STEP2_BIT
#define DIO3_GPIOREG STEP2_GPIOREG
#define DIO3_PINHALF STEP2_PINHALF
#define DIO3_PINCON STEP2_PINCON
#endif</v>
      </c>
      <c r="F5" s="19"/>
      <c r="G5" s="19"/>
      <c r="H5" s="19"/>
      <c r="I5" s="19" t="s">
        <v>241</v>
      </c>
      <c r="J5" s="24">
        <v>2</v>
      </c>
      <c r="K5" s="24">
        <v>0</v>
      </c>
      <c r="L5" s="24">
        <v>2</v>
      </c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</row>
    <row r="6" spans="1:26" ht="16.149999999999999" customHeight="1" x14ac:dyDescent="0.25">
      <c r="A6" s="4">
        <v>4</v>
      </c>
      <c r="B6" s="4" t="str">
        <f t="shared" si="0"/>
        <v>DIO4</v>
      </c>
      <c r="C6" s="4" t="s">
        <v>10</v>
      </c>
      <c r="D6" s="24">
        <v>3</v>
      </c>
      <c r="E6" s="19" t="str">
        <f t="shared" si="1"/>
        <v>#if (defined(STEP3_PORT) &amp;&amp; defined(STEP3_BIT))
#define STEP3 4
#define STEP3_MBED_PIN __mbedpin__(STEP3_PORT, STEP3_BIT)
#define STEP3_GPIOREG __gpioreg__(STEP3_PORT)
#if (STEP3_BIT &lt; 16)
#define STEP3_PINHALF L
#else
#define STEP3_PINHALF H
#endif
#define STEP3_PINCON __pincon__(STEP3_PORT, STEP3_PINHALF)
#define DIO4 4
#define DIO4_MBED_PIN STEP3_MBED_PIN
#define DIO4_PORT STEP3_PORT
#define DIO4_BIT STEP3_BIT
#define DIO4_GPIOREG STEP3_GPIOREG
#define DIO4_PINHALF STEP3_PINHALF
#define DIO4_PINCON STEP3_PINCON
#endif</v>
      </c>
      <c r="F6" s="19"/>
      <c r="G6" s="19"/>
      <c r="H6" s="19"/>
      <c r="I6" s="19" t="s">
        <v>242</v>
      </c>
      <c r="J6" s="24">
        <v>3</v>
      </c>
      <c r="K6" s="24">
        <v>0</v>
      </c>
      <c r="L6" s="24">
        <v>3</v>
      </c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</row>
    <row r="7" spans="1:26" ht="16.149999999999999" customHeight="1" x14ac:dyDescent="0.25">
      <c r="A7" s="4">
        <v>5</v>
      </c>
      <c r="B7" s="4" t="str">
        <f t="shared" si="0"/>
        <v>DIO5</v>
      </c>
      <c r="C7" s="4" t="s">
        <v>11</v>
      </c>
      <c r="D7" s="24">
        <v>4</v>
      </c>
      <c r="E7" s="19" t="str">
        <f t="shared" si="1"/>
        <v>#if (defined(STEP4_PORT) &amp;&amp; defined(STEP4_BIT))
#define STEP4 5
#define STEP4_MBED_PIN __mbedpin__(STEP4_PORT, STEP4_BIT)
#define STEP4_GPIOREG __gpioreg__(STEP4_PORT)
#if (STEP4_BIT &lt; 16)
#define STEP4_PINHALF L
#else
#define STEP4_PINHALF H
#endif
#define STEP4_PINCON __pincon__(STEP4_PORT, STEP4_PINHALF)
#define DIO5 5
#define DIO5_MBED_PIN STEP4_MBED_PIN
#define DIO5_PORT STEP4_PORT
#define DIO5_BIT STEP4_BIT
#define DIO5_GPIOREG STEP4_GPIOREG
#define DIO5_PINHALF STEP4_PINHALF
#define DIO5_PINCON STEP4_PINCON
#endif</v>
      </c>
      <c r="F7" s="19"/>
      <c r="G7" s="19"/>
      <c r="H7" s="19"/>
      <c r="I7" s="19" t="s">
        <v>243</v>
      </c>
      <c r="J7" s="24">
        <v>4</v>
      </c>
      <c r="K7" s="24">
        <v>0</v>
      </c>
      <c r="L7" s="24">
        <v>4</v>
      </c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</row>
    <row r="8" spans="1:26" ht="16.149999999999999" customHeight="1" x14ac:dyDescent="0.25">
      <c r="A8" s="4">
        <v>6</v>
      </c>
      <c r="B8" s="4" t="str">
        <f t="shared" si="0"/>
        <v>DIO6</v>
      </c>
      <c r="C8" s="4" t="s">
        <v>12</v>
      </c>
      <c r="D8" s="24">
        <v>5</v>
      </c>
      <c r="E8" s="19" t="str">
        <f t="shared" si="1"/>
        <v>#if (defined(STEP5_PORT) &amp;&amp; defined(STEP5_BIT))
#define STEP5 6
#define STEP5_MBED_PIN __mbedpin__(STEP5_PORT, STEP5_BIT)
#define STEP5_GPIOREG __gpioreg__(STEP5_PORT)
#if (STEP5_BIT &lt; 16)
#define STEP5_PINHALF L
#else
#define STEP5_PINHALF H
#endif
#define STEP5_PINCON __pincon__(STEP5_PORT, STEP5_PINHALF)
#define DIO6 6
#define DIO6_MBED_PIN STEP5_MBED_PIN
#define DIO6_PORT STEP5_PORT
#define DIO6_BIT STEP5_BIT
#define DIO6_GPIOREG STEP5_GPIOREG
#define DIO6_PINHALF STEP5_PINHALF
#define DIO6_PINCON STEP5_PINCON
#endif</v>
      </c>
      <c r="F8" s="19"/>
      <c r="G8" s="19"/>
      <c r="H8" s="19"/>
      <c r="I8" s="19" t="s">
        <v>244</v>
      </c>
      <c r="J8" s="24">
        <v>5</v>
      </c>
      <c r="K8" s="24">
        <v>0</v>
      </c>
      <c r="L8" s="24">
        <v>5</v>
      </c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 spans="1:26" ht="16.149999999999999" customHeight="1" x14ac:dyDescent="0.25">
      <c r="A9" s="4">
        <v>7</v>
      </c>
      <c r="B9" s="4" t="str">
        <f t="shared" si="0"/>
        <v>DIO7</v>
      </c>
      <c r="C9" s="4" t="s">
        <v>13</v>
      </c>
      <c r="D9" s="24">
        <v>6</v>
      </c>
      <c r="E9" s="19" t="str">
        <f t="shared" si="1"/>
        <v>#if (defined(STEP6_PORT) &amp;&amp; defined(STEP6_BIT))
#define STEP6 7
#define STEP6_MBED_PIN __mbedpin__(STEP6_PORT, STEP6_BIT)
#define STEP6_GPIOREG __gpioreg__(STEP6_PORT)
#if (STEP6_BIT &lt; 16)
#define STEP6_PINHALF L
#else
#define STEP6_PINHALF H
#endif
#define STEP6_PINCON __pincon__(STEP6_PORT, STEP6_PINHALF)
#define DIO7 7
#define DIO7_MBED_PIN STEP6_MBED_PIN
#define DIO7_PORT STEP6_PORT
#define DIO7_BIT STEP6_BIT
#define DIO7_GPIOREG STEP6_GPIOREG
#define DIO7_PINHALF STEP6_PINHALF
#define DIO7_PINCON STEP6_PINCON
#endif</v>
      </c>
      <c r="F9" s="19"/>
      <c r="G9" s="19"/>
      <c r="H9" s="19"/>
      <c r="I9" s="19" t="s">
        <v>245</v>
      </c>
      <c r="J9" s="24">
        <v>6</v>
      </c>
      <c r="K9" s="24">
        <v>0</v>
      </c>
      <c r="L9" s="24">
        <v>6</v>
      </c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</row>
    <row r="10" spans="1:26" ht="16.149999999999999" customHeight="1" x14ac:dyDescent="0.25">
      <c r="A10" s="4">
        <v>8</v>
      </c>
      <c r="B10" s="4" t="str">
        <f t="shared" si="0"/>
        <v>DIO8</v>
      </c>
      <c r="C10" s="4" t="s">
        <v>14</v>
      </c>
      <c r="D10" s="24">
        <v>7</v>
      </c>
      <c r="E10" s="19" t="str">
        <f t="shared" si="1"/>
        <v>#if (defined(STEP7_PORT) &amp;&amp; defined(STEP7_BIT))
#define STEP7 8
#define STEP7_MBED_PIN __mbedpin__(STEP7_PORT, STEP7_BIT)
#define STEP7_GPIOREG __gpioreg__(STEP7_PORT)
#if (STEP7_BIT &lt; 16)
#define STEP7_PINHALF L
#else
#define STEP7_PINHALF H
#endif
#define STEP7_PINCON __pincon__(STEP7_PORT, STEP7_PINHALF)
#define DIO8 8
#define DIO8_MBED_PIN STEP7_MBED_PIN
#define DIO8_PORT STEP7_PORT
#define DIO8_BIT STEP7_BIT
#define DIO8_GPIOREG STEP7_GPIOREG
#define DIO8_PINHALF STEP7_PINHALF
#define DIO8_PINCON STEP7_PINCON
#endif</v>
      </c>
      <c r="F10" s="19"/>
      <c r="G10" s="19"/>
      <c r="H10" s="19"/>
      <c r="I10" s="19" t="s">
        <v>246</v>
      </c>
      <c r="J10" s="24">
        <v>7</v>
      </c>
      <c r="K10" s="24">
        <v>0</v>
      </c>
      <c r="L10" s="24">
        <v>7</v>
      </c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</row>
    <row r="11" spans="1:26" ht="16.149999999999999" customHeight="1" x14ac:dyDescent="0.25">
      <c r="A11" s="4">
        <v>9</v>
      </c>
      <c r="B11" s="4" t="str">
        <f t="shared" si="0"/>
        <v>DIO9</v>
      </c>
      <c r="C11" s="4" t="s">
        <v>15</v>
      </c>
      <c r="D11" s="24">
        <v>0</v>
      </c>
      <c r="E11" s="19" t="str">
        <f t="shared" si="1"/>
        <v>#if (defined(DIR0_PORT) &amp;&amp; defined(DIR0_BIT))
#define DIR0 9
#define DIR0_MBED_PIN __mbedpin__(DIR0_PORT, DIR0_BIT)
#define DIR0_GPIOREG __gpioreg__(DIR0_PORT)
#if (DIR0_BIT &lt; 16)
#define DIR0_PINHALF L
#else
#define DIR0_PINHALF H
#endif
#define DIR0_PINCON __pincon__(DIR0_PORT, DIR0_PINHALF)
#define DIO9 9
#define DIO9_MBED_PIN DIR0_MBED_PIN
#define DIO9_PORT DIR0_PORT
#define DIO9_BIT DIR0_BIT
#define DIO9_GPIOREG DIR0_GPIOREG
#define DIO9_PINHALF DIR0_PINHALF
#define DIO9_PINCON DIR0_PINCON
#endif</v>
      </c>
      <c r="F11" s="19"/>
      <c r="G11" s="19"/>
      <c r="H11" s="19"/>
      <c r="I11" s="19" t="s">
        <v>247</v>
      </c>
      <c r="J11" s="24">
        <v>8</v>
      </c>
      <c r="K11" s="24">
        <v>0</v>
      </c>
      <c r="L11" s="24">
        <v>8</v>
      </c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</row>
    <row r="12" spans="1:26" ht="16.149999999999999" customHeight="1" x14ac:dyDescent="0.25">
      <c r="A12" s="4">
        <v>10</v>
      </c>
      <c r="B12" s="4" t="str">
        <f t="shared" si="0"/>
        <v>DIO10</v>
      </c>
      <c r="C12" s="4" t="s">
        <v>16</v>
      </c>
      <c r="D12" s="24">
        <v>1</v>
      </c>
      <c r="E12" s="19" t="str">
        <f t="shared" si="1"/>
        <v>#if (defined(DIR1_PORT) &amp;&amp; defined(DIR1_BIT))
#define DIR1 10
#define DIR1_MBED_PIN __mbedpin__(DIR1_PORT, DIR1_BIT)
#define DIR1_GPIOREG __gpioreg__(DIR1_PORT)
#if (DIR1_BIT &lt; 16)
#define DIR1_PINHALF L
#else
#define DIR1_PINHALF H
#endif
#define DIR1_PINCON __pincon__(DIR1_PORT, DIR1_PINHALF)
#define DIO10 10
#define DIO10_MBED_PIN DIR1_MBED_PIN
#define DIO10_PORT DIR1_PORT
#define DIO10_BIT DIR1_BIT
#define DIO10_GPIOREG DIR1_GPIOREG
#define DIO10_PINHALF DIR1_PINHALF
#define DIO10_PINCON DIR1_PINCON
#endif</v>
      </c>
      <c r="F12" s="19"/>
      <c r="G12" s="19"/>
      <c r="H12" s="19"/>
      <c r="I12" s="19" t="s">
        <v>248</v>
      </c>
      <c r="J12" s="24">
        <v>9</v>
      </c>
      <c r="K12" s="24">
        <v>0</v>
      </c>
      <c r="L12" s="24">
        <v>9</v>
      </c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</row>
    <row r="13" spans="1:26" ht="16.149999999999999" customHeight="1" x14ac:dyDescent="0.25">
      <c r="A13" s="4">
        <v>11</v>
      </c>
      <c r="B13" s="4" t="str">
        <f t="shared" si="0"/>
        <v>DIO11</v>
      </c>
      <c r="C13" s="4" t="s">
        <v>17</v>
      </c>
      <c r="D13" s="24">
        <v>2</v>
      </c>
      <c r="E13" s="19" t="str">
        <f t="shared" si="1"/>
        <v>#if (defined(DIR2_PORT) &amp;&amp; defined(DIR2_BIT))
#define DIR2 11
#define DIR2_MBED_PIN __mbedpin__(DIR2_PORT, DIR2_BIT)
#define DIR2_GPIOREG __gpioreg__(DIR2_PORT)
#if (DIR2_BIT &lt; 16)
#define DIR2_PINHALF L
#else
#define DIR2_PINHALF H
#endif
#define DIR2_PINCON __pincon__(DIR2_PORT, DIR2_PINHALF)
#define DIO11 11
#define DIO11_MBED_PIN DIR2_MBED_PIN
#define DIO11_PORT DIR2_PORT
#define DIO11_BIT DIR2_BIT
#define DIO11_GPIOREG DIR2_GPIOREG
#define DIO11_PINHALF DIR2_PINHALF
#define DIO11_PINCON DIR2_PINCON
#endif</v>
      </c>
      <c r="F13" s="19"/>
      <c r="G13" s="19"/>
      <c r="H13" s="19"/>
      <c r="I13" s="19" t="s">
        <v>249</v>
      </c>
      <c r="J13" s="24">
        <v>10</v>
      </c>
      <c r="K13" s="24">
        <v>0</v>
      </c>
      <c r="L13" s="24">
        <v>10</v>
      </c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</row>
    <row r="14" spans="1:26" ht="16.149999999999999" customHeight="1" x14ac:dyDescent="0.25">
      <c r="A14" s="4">
        <v>12</v>
      </c>
      <c r="B14" s="4" t="str">
        <f t="shared" si="0"/>
        <v>DIO12</v>
      </c>
      <c r="C14" s="4" t="s">
        <v>18</v>
      </c>
      <c r="D14" s="24">
        <v>3</v>
      </c>
      <c r="E14" s="19" t="str">
        <f t="shared" si="1"/>
        <v>#if (defined(DIR3_PORT) &amp;&amp; defined(DIR3_BIT))
#define DIR3 12
#define DIR3_MBED_PIN __mbedpin__(DIR3_PORT, DIR3_BIT)
#define DIR3_GPIOREG __gpioreg__(DIR3_PORT)
#if (DIR3_BIT &lt; 16)
#define DIR3_PINHALF L
#else
#define DIR3_PINHALF H
#endif
#define DIR3_PINCON __pincon__(DIR3_PORT, DIR3_PINHALF)
#define DIO12 12
#define DIO12_MBED_PIN DIR3_MBED_PIN
#define DIO12_PORT DIR3_PORT
#define DIO12_BIT DIR3_BIT
#define DIO12_GPIOREG DIR3_GPIOREG
#define DIO12_PINHALF DIR3_PINHALF
#define DIO12_PINCON DIR3_PINCON
#endif</v>
      </c>
      <c r="F14" s="19"/>
      <c r="G14" s="19"/>
      <c r="H14" s="19"/>
      <c r="I14" s="19" t="s">
        <v>250</v>
      </c>
      <c r="J14" s="24">
        <v>11</v>
      </c>
      <c r="K14" s="24">
        <v>0</v>
      </c>
      <c r="L14" s="24">
        <v>11</v>
      </c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2"/>
      <c r="X14" s="22"/>
      <c r="Y14" s="22"/>
      <c r="Z14" s="22"/>
    </row>
    <row r="15" spans="1:26" ht="16.149999999999999" customHeight="1" x14ac:dyDescent="0.25">
      <c r="A15" s="4">
        <v>13</v>
      </c>
      <c r="B15" s="4" t="str">
        <f t="shared" si="0"/>
        <v>DIO13</v>
      </c>
      <c r="C15" s="4" t="s">
        <v>19</v>
      </c>
      <c r="D15" s="24">
        <v>4</v>
      </c>
      <c r="E15" s="19" t="str">
        <f t="shared" si="1"/>
        <v>#if (defined(DIR4_PORT) &amp;&amp; defined(DIR4_BIT))
#define DIR4 13
#define DIR4_MBED_PIN __mbedpin__(DIR4_PORT, DIR4_BIT)
#define DIR4_GPIOREG __gpioreg__(DIR4_PORT)
#if (DIR4_BIT &lt; 16)
#define DIR4_PINHALF L
#else
#define DIR4_PINHALF H
#endif
#define DIR4_PINCON __pincon__(DIR4_PORT, DIR4_PINHALF)
#define DIO13 13
#define DIO13_MBED_PIN DIR4_MBED_PIN
#define DIO13_PORT DIR4_PORT
#define DIO13_BIT DIR4_BIT
#define DIO13_GPIOREG DIR4_GPIOREG
#define DIO13_PINHALF DIR4_PINHALF
#define DIO13_PINCON DIR4_PINCON
#endif</v>
      </c>
      <c r="F15" s="19"/>
      <c r="G15" s="19"/>
      <c r="H15" s="19"/>
      <c r="I15" s="19" t="s">
        <v>251</v>
      </c>
      <c r="J15" s="24">
        <v>12</v>
      </c>
      <c r="K15" s="24">
        <v>0</v>
      </c>
      <c r="L15" s="24">
        <v>12</v>
      </c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</row>
    <row r="16" spans="1:26" ht="16.149999999999999" customHeight="1" x14ac:dyDescent="0.25">
      <c r="A16" s="4">
        <v>14</v>
      </c>
      <c r="B16" s="4" t="str">
        <f t="shared" si="0"/>
        <v>DIO14</v>
      </c>
      <c r="C16" s="4" t="s">
        <v>20</v>
      </c>
      <c r="D16" s="24">
        <v>5</v>
      </c>
      <c r="E16" s="19" t="str">
        <f t="shared" si="1"/>
        <v>#if (defined(DIR5_PORT) &amp;&amp; defined(DIR5_BIT))
#define DIR5 14
#define DIR5_MBED_PIN __mbedpin__(DIR5_PORT, DIR5_BIT)
#define DIR5_GPIOREG __gpioreg__(DIR5_PORT)
#if (DIR5_BIT &lt; 16)
#define DIR5_PINHALF L
#else
#define DIR5_PINHALF H
#endif
#define DIR5_PINCON __pincon__(DIR5_PORT, DIR5_PINHALF)
#define DIO14 14
#define DIO14_MBED_PIN DIR5_MBED_PIN
#define DIO14_PORT DIR5_PORT
#define DIO14_BIT DIR5_BIT
#define DIO14_GPIOREG DIR5_GPIOREG
#define DIO14_PINHALF DIR5_PINHALF
#define DIO14_PINCON DIR5_PINCON
#endif</v>
      </c>
      <c r="F16" s="19"/>
      <c r="G16" s="19"/>
      <c r="H16" s="19"/>
      <c r="I16" s="19" t="s">
        <v>252</v>
      </c>
      <c r="J16" s="24">
        <v>13</v>
      </c>
      <c r="K16" s="24">
        <v>0</v>
      </c>
      <c r="L16" s="24">
        <v>13</v>
      </c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2"/>
      <c r="X16" s="22"/>
      <c r="Y16" s="22"/>
      <c r="Z16" s="22"/>
    </row>
    <row r="17" spans="1:26" ht="16.149999999999999" customHeight="1" x14ac:dyDescent="0.25">
      <c r="A17" s="4">
        <v>15</v>
      </c>
      <c r="B17" s="4" t="str">
        <f t="shared" si="0"/>
        <v>DIO15</v>
      </c>
      <c r="C17" s="4" t="s">
        <v>228</v>
      </c>
      <c r="D17" s="24">
        <v>6</v>
      </c>
      <c r="E17" s="19" t="str">
        <f t="shared" si="1"/>
        <v>#if (defined(DIR6_PORT) &amp;&amp; defined(DIR6_BIT))
#define DIR6 15
#define DIR6_MBED_PIN __mbedpin__(DIR6_PORT, DIR6_BIT)
#define DIR6_GPIOREG __gpioreg__(DIR6_PORT)
#if (DIR6_BIT &lt; 16)
#define DIR6_PINHALF L
#else
#define DIR6_PINHALF H
#endif
#define DIR6_PINCON __pincon__(DIR6_PORT, DIR6_PINHALF)
#define DIO15 15
#define DIO15_MBED_PIN DIR6_MBED_PIN
#define DIO15_PORT DIR6_PORT
#define DIO15_BIT DIR6_BIT
#define DIO15_GPIOREG DIR6_GPIOREG
#define DIO15_PINHALF DIR6_PINHALF
#define DIO15_PINCON DIR6_PINCON
#endif</v>
      </c>
      <c r="F17" s="19"/>
      <c r="G17" s="19"/>
      <c r="H17" s="19"/>
      <c r="I17" s="19" t="s">
        <v>253</v>
      </c>
      <c r="J17" s="24">
        <v>14</v>
      </c>
      <c r="K17" s="24">
        <v>0</v>
      </c>
      <c r="L17" s="24">
        <v>14</v>
      </c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22"/>
    </row>
    <row r="18" spans="1:26" ht="16.149999999999999" customHeight="1" x14ac:dyDescent="0.25">
      <c r="A18" s="4">
        <v>16</v>
      </c>
      <c r="B18" s="4" t="str">
        <f t="shared" si="0"/>
        <v>DIO16</v>
      </c>
      <c r="C18" s="4" t="s">
        <v>229</v>
      </c>
      <c r="D18" s="24">
        <v>7</v>
      </c>
      <c r="E18" s="19" t="str">
        <f t="shared" si="1"/>
        <v>#if (defined(DIR7_PORT) &amp;&amp; defined(DIR7_BIT))
#define DIR7 16
#define DIR7_MBED_PIN __mbedpin__(DIR7_PORT, DIR7_BIT)
#define DIR7_GPIOREG __gpioreg__(DIR7_PORT)
#if (DIR7_BIT &lt; 16)
#define DIR7_PINHALF L
#else
#define DIR7_PINHALF H
#endif
#define DIR7_PINCON __pincon__(DIR7_PORT, DIR7_PINHALF)
#define DIO16 16
#define DIO16_MBED_PIN DIR7_MBED_PIN
#define DIO16_PORT DIR7_PORT
#define DIO16_BIT DIR7_BIT
#define DIO16_GPIOREG DIR7_GPIOREG
#define DIO16_PINHALF DIR7_PINHALF
#define DIO16_PINCON DIR7_PINCON
#endif</v>
      </c>
      <c r="F18" s="19"/>
      <c r="G18" s="19"/>
      <c r="H18" s="19"/>
      <c r="I18" s="19" t="s">
        <v>254</v>
      </c>
      <c r="J18" s="24">
        <v>15</v>
      </c>
      <c r="K18" s="24">
        <v>0</v>
      </c>
      <c r="L18" s="24">
        <v>15</v>
      </c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</row>
    <row r="19" spans="1:26" ht="16.149999999999999" customHeight="1" x14ac:dyDescent="0.25">
      <c r="A19" s="4">
        <v>17</v>
      </c>
      <c r="B19" s="4" t="str">
        <f t="shared" si="0"/>
        <v>DIO17</v>
      </c>
      <c r="C19" s="4" t="s">
        <v>21</v>
      </c>
      <c r="D19" s="24">
        <v>0</v>
      </c>
      <c r="E19" s="19" t="str">
        <f t="shared" si="1"/>
        <v>#if (defined(STEP0_EN_PORT) &amp;&amp; defined(STEP0_EN_BIT))
#define STEP0_EN 17
#define STEP0_EN_MBED_PIN __mbedpin__(STEP0_EN_PORT, STEP0_EN_BIT)
#define STEP0_EN_GPIOREG __gpioreg__(STEP0_EN_PORT)
#if (STEP0_EN_BIT &lt; 16)
#define STEP0_EN_PINHALF L
#else
#define STEP0_EN_PINHALF H
#endif
#define STEP0_EN_PINCON __pincon__(STEP0_EN_PORT, STEP0_EN_PINHALF)
#define DIO17 17
#define DIO17_MBED_PIN STEP0_EN_MBED_PIN
#define DIO17_PORT STEP0_EN_PORT
#define DIO17_BIT STEP0_EN_BIT
#define DIO17_GPIOREG STEP0_EN_GPIOREG
#define DIO17_PINHALF STEP0_EN_PINHALF
#define DIO17_PINCON STEP0_EN_PINCON
#endif</v>
      </c>
      <c r="F19" s="19"/>
      <c r="G19" s="19"/>
      <c r="H19" s="22"/>
      <c r="I19" s="19" t="s">
        <v>255</v>
      </c>
      <c r="J19" s="24">
        <v>16</v>
      </c>
      <c r="K19" s="24">
        <v>0</v>
      </c>
      <c r="L19" s="24">
        <v>16</v>
      </c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</row>
    <row r="20" spans="1:26" ht="16.149999999999999" customHeight="1" x14ac:dyDescent="0.25">
      <c r="A20" s="4">
        <v>18</v>
      </c>
      <c r="B20" s="4" t="str">
        <f t="shared" si="0"/>
        <v>DIO18</v>
      </c>
      <c r="C20" s="4" t="s">
        <v>22</v>
      </c>
      <c r="D20" s="24">
        <v>1</v>
      </c>
      <c r="E20" s="19" t="str">
        <f t="shared" si="1"/>
        <v>#if (defined(STEP1_EN_PORT) &amp;&amp; defined(STEP1_EN_BIT))
#define STEP1_EN 18
#define STEP1_EN_MBED_PIN __mbedpin__(STEP1_EN_PORT, STEP1_EN_BIT)
#define STEP1_EN_GPIOREG __gpioreg__(STEP1_EN_PORT)
#if (STEP1_EN_BIT &lt; 16)
#define STEP1_EN_PINHALF L
#else
#define STEP1_EN_PINHALF H
#endif
#define STEP1_EN_PINCON __pincon__(STEP1_EN_PORT, STEP1_EN_PINHALF)
#define DIO18 18
#define DIO18_MBED_PIN STEP1_EN_MBED_PIN
#define DIO18_PORT STEP1_EN_PORT
#define DIO18_BIT STEP1_EN_BIT
#define DIO18_GPIOREG STEP1_EN_GPIOREG
#define DIO18_PINHALF STEP1_EN_PINHALF
#define DIO18_PINCON STEP1_EN_PINCON
#endif</v>
      </c>
      <c r="F20" s="19"/>
      <c r="G20" s="19"/>
      <c r="H20" s="19"/>
      <c r="I20" s="19" t="s">
        <v>256</v>
      </c>
      <c r="J20" s="24">
        <v>17</v>
      </c>
      <c r="K20" s="24">
        <v>0</v>
      </c>
      <c r="L20" s="24">
        <v>17</v>
      </c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</row>
    <row r="21" spans="1:26" ht="16.149999999999999" customHeight="1" x14ac:dyDescent="0.25">
      <c r="A21" s="4">
        <v>19</v>
      </c>
      <c r="B21" s="4" t="str">
        <f t="shared" si="0"/>
        <v>DIO19</v>
      </c>
      <c r="C21" s="4" t="s">
        <v>23</v>
      </c>
      <c r="D21" s="24">
        <v>2</v>
      </c>
      <c r="E21" s="19" t="str">
        <f t="shared" si="1"/>
        <v>#if (defined(STEP2_EN_PORT) &amp;&amp; defined(STEP2_EN_BIT))
#define STEP2_EN 19
#define STEP2_EN_MBED_PIN __mbedpin__(STEP2_EN_PORT, STEP2_EN_BIT)
#define STEP2_EN_GPIOREG __gpioreg__(STEP2_EN_PORT)
#if (STEP2_EN_BIT &lt; 16)
#define STEP2_EN_PINHALF L
#else
#define STEP2_EN_PINHALF H
#endif
#define STEP2_EN_PINCON __pincon__(STEP2_EN_PORT, STEP2_EN_PINHALF)
#define DIO19 19
#define DIO19_MBED_PIN STEP2_EN_MBED_PIN
#define DIO19_PORT STEP2_EN_PORT
#define DIO19_BIT STEP2_EN_BIT
#define DIO19_GPIOREG STEP2_EN_GPIOREG
#define DIO19_PINHALF STEP2_EN_PINHALF
#define DIO19_PINCON STEP2_EN_PINCON
#endif</v>
      </c>
      <c r="F21" s="19"/>
      <c r="G21" s="19"/>
      <c r="H21" s="19"/>
      <c r="I21" s="19" t="s">
        <v>257</v>
      </c>
      <c r="J21" s="24">
        <v>18</v>
      </c>
      <c r="K21" s="24">
        <v>0</v>
      </c>
      <c r="L21" s="24">
        <v>18</v>
      </c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</row>
    <row r="22" spans="1:26" ht="16.149999999999999" customHeight="1" x14ac:dyDescent="0.25">
      <c r="A22" s="4">
        <v>20</v>
      </c>
      <c r="B22" s="4" t="str">
        <f t="shared" si="0"/>
        <v>DIO20</v>
      </c>
      <c r="C22" s="4" t="s">
        <v>24</v>
      </c>
      <c r="D22" s="24">
        <v>3</v>
      </c>
      <c r="E22" s="19" t="str">
        <f t="shared" si="1"/>
        <v>#if (defined(STEP3_EN_PORT) &amp;&amp; defined(STEP3_EN_BIT))
#define STEP3_EN 20
#define STEP3_EN_MBED_PIN __mbedpin__(STEP3_EN_PORT, STEP3_EN_BIT)
#define STEP3_EN_GPIOREG __gpioreg__(STEP3_EN_PORT)
#if (STEP3_EN_BIT &lt; 16)
#define STEP3_EN_PINHALF L
#else
#define STEP3_EN_PINHALF H
#endif
#define STEP3_EN_PINCON __pincon__(STEP3_EN_PORT, STEP3_EN_PINHALF)
#define DIO20 20
#define DIO20_MBED_PIN STEP3_EN_MBED_PIN
#define DIO20_PORT STEP3_EN_PORT
#define DIO20_BIT STEP3_EN_BIT
#define DIO20_GPIOREG STEP3_EN_GPIOREG
#define DIO20_PINHALF STEP3_EN_PINHALF
#define DIO20_PINCON STEP3_EN_PINCON
#endif</v>
      </c>
      <c r="F22" s="19"/>
      <c r="G22" s="19"/>
      <c r="H22" s="19"/>
      <c r="I22" s="19" t="s">
        <v>258</v>
      </c>
      <c r="J22" s="24">
        <v>19</v>
      </c>
      <c r="K22" s="24">
        <v>0</v>
      </c>
      <c r="L22" s="24">
        <v>19</v>
      </c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</row>
    <row r="23" spans="1:26" ht="16.149999999999999" customHeight="1" x14ac:dyDescent="0.25">
      <c r="A23" s="4">
        <v>21</v>
      </c>
      <c r="B23" s="4" t="str">
        <f t="shared" si="0"/>
        <v>DIO21</v>
      </c>
      <c r="C23" s="4" t="s">
        <v>25</v>
      </c>
      <c r="D23" s="24">
        <v>4</v>
      </c>
      <c r="E23" s="19" t="str">
        <f t="shared" si="1"/>
        <v>#if (defined(STEP4_EN_PORT) &amp;&amp; defined(STEP4_EN_BIT))
#define STEP4_EN 21
#define STEP4_EN_MBED_PIN __mbedpin__(STEP4_EN_PORT, STEP4_EN_BIT)
#define STEP4_EN_GPIOREG __gpioreg__(STEP4_EN_PORT)
#if (STEP4_EN_BIT &lt; 16)
#define STEP4_EN_PINHALF L
#else
#define STEP4_EN_PINHALF H
#endif
#define STEP4_EN_PINCON __pincon__(STEP4_EN_PORT, STEP4_EN_PINHALF)
#define DIO21 21
#define DIO21_MBED_PIN STEP4_EN_MBED_PIN
#define DIO21_PORT STEP4_EN_PORT
#define DIO21_BIT STEP4_EN_BIT
#define DIO21_GPIOREG STEP4_EN_GPIOREG
#define DIO21_PINHALF STEP4_EN_PINHALF
#define DIO21_PINCON STEP4_EN_PINCON
#endif</v>
      </c>
      <c r="F23" s="19"/>
      <c r="G23" s="19"/>
      <c r="H23" s="19"/>
      <c r="I23" s="19" t="s">
        <v>259</v>
      </c>
      <c r="J23" s="24">
        <v>20</v>
      </c>
      <c r="K23" s="24">
        <v>0</v>
      </c>
      <c r="L23" s="24">
        <v>20</v>
      </c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</row>
    <row r="24" spans="1:26" ht="16.149999999999999" customHeight="1" x14ac:dyDescent="0.25">
      <c r="A24" s="4">
        <v>22</v>
      </c>
      <c r="B24" s="4" t="str">
        <f t="shared" si="0"/>
        <v>DIO22</v>
      </c>
      <c r="C24" s="4" t="s">
        <v>26</v>
      </c>
      <c r="D24" s="24">
        <v>5</v>
      </c>
      <c r="E24" s="19" t="str">
        <f t="shared" si="1"/>
        <v>#if (defined(STEP5_EN_PORT) &amp;&amp; defined(STEP5_EN_BIT))
#define STEP5_EN 22
#define STEP5_EN_MBED_PIN __mbedpin__(STEP5_EN_PORT, STEP5_EN_BIT)
#define STEP5_EN_GPIOREG __gpioreg__(STEP5_EN_PORT)
#if (STEP5_EN_BIT &lt; 16)
#define STEP5_EN_PINHALF L
#else
#define STEP5_EN_PINHALF H
#endif
#define STEP5_EN_PINCON __pincon__(STEP5_EN_PORT, STEP5_EN_PINHALF)
#define DIO22 22
#define DIO22_MBED_PIN STEP5_EN_MBED_PIN
#define DIO22_PORT STEP5_EN_PORT
#define DIO22_BIT STEP5_EN_BIT
#define DIO22_GPIOREG STEP5_EN_GPIOREG
#define DIO22_PINHALF STEP5_EN_PINHALF
#define DIO22_PINCON STEP5_EN_PINCON
#endif</v>
      </c>
      <c r="F24" s="19"/>
      <c r="G24" s="19"/>
      <c r="H24" s="22"/>
      <c r="I24" s="19" t="s">
        <v>260</v>
      </c>
      <c r="J24" s="24">
        <v>21</v>
      </c>
      <c r="K24" s="24">
        <v>0</v>
      </c>
      <c r="L24" s="24">
        <v>21</v>
      </c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</row>
    <row r="25" spans="1:26" ht="16.149999999999999" customHeight="1" x14ac:dyDescent="0.25">
      <c r="A25" s="4">
        <v>23</v>
      </c>
      <c r="B25" s="4" t="str">
        <f t="shared" si="0"/>
        <v>DIO23</v>
      </c>
      <c r="C25" s="4" t="s">
        <v>226</v>
      </c>
      <c r="D25" s="24">
        <v>6</v>
      </c>
      <c r="E25" s="19" t="str">
        <f t="shared" si="1"/>
        <v>#if (defined(STEP6_EN_PORT) &amp;&amp; defined(STEP6_EN_BIT))
#define STEP6_EN 23
#define STEP6_EN_MBED_PIN __mbedpin__(STEP6_EN_PORT, STEP6_EN_BIT)
#define STEP6_EN_GPIOREG __gpioreg__(STEP6_EN_PORT)
#if (STEP6_EN_BIT &lt; 16)
#define STEP6_EN_PINHALF L
#else
#define STEP6_EN_PINHALF H
#endif
#define STEP6_EN_PINCON __pincon__(STEP6_EN_PORT, STEP6_EN_PINHALF)
#define DIO23 23
#define DIO23_MBED_PIN STEP6_EN_MBED_PIN
#define DIO23_PORT STEP6_EN_PORT
#define DIO23_BIT STEP6_EN_BIT
#define DIO23_GPIOREG STEP6_EN_GPIOREG
#define DIO23_PINHALF STEP6_EN_PINHALF
#define DIO23_PINCON STEP6_EN_PINCON
#endif</v>
      </c>
      <c r="F25" s="19"/>
      <c r="G25" s="19"/>
      <c r="H25" s="22"/>
      <c r="I25" s="19" t="s">
        <v>261</v>
      </c>
      <c r="J25" s="24">
        <v>22</v>
      </c>
      <c r="K25" s="24">
        <v>0</v>
      </c>
      <c r="L25" s="24">
        <v>22</v>
      </c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</row>
    <row r="26" spans="1:26" ht="16.149999999999999" customHeight="1" x14ac:dyDescent="0.25">
      <c r="A26" s="4">
        <v>24</v>
      </c>
      <c r="B26" s="4" t="str">
        <f t="shared" si="0"/>
        <v>DIO24</v>
      </c>
      <c r="C26" s="4" t="s">
        <v>227</v>
      </c>
      <c r="D26" s="24">
        <v>7</v>
      </c>
      <c r="E26" s="19" t="str">
        <f t="shared" si="1"/>
        <v>#if (defined(STEP7_EN_PORT) &amp;&amp; defined(STEP7_EN_BIT))
#define STEP7_EN 24
#define STEP7_EN_MBED_PIN __mbedpin__(STEP7_EN_PORT, STEP7_EN_BIT)
#define STEP7_EN_GPIOREG __gpioreg__(STEP7_EN_PORT)
#if (STEP7_EN_BIT &lt; 16)
#define STEP7_EN_PINHALF L
#else
#define STEP7_EN_PINHALF H
#endif
#define STEP7_EN_PINCON __pincon__(STEP7_EN_PORT, STEP7_EN_PINHALF)
#define DIO24 24
#define DIO24_MBED_PIN STEP7_EN_MBED_PIN
#define DIO24_PORT STEP7_EN_PORT
#define DIO24_BIT STEP7_EN_BIT
#define DIO24_GPIOREG STEP7_EN_GPIOREG
#define DIO24_PINHALF STEP7_EN_PINHALF
#define DIO24_PINCON STEP7_EN_PINCON
#endif</v>
      </c>
      <c r="F26" s="19"/>
      <c r="G26" s="19"/>
      <c r="H26" s="25" t="s">
        <v>121</v>
      </c>
      <c r="I26" s="19" t="s">
        <v>262</v>
      </c>
      <c r="J26" s="24">
        <v>23</v>
      </c>
      <c r="K26" s="24">
        <v>0</v>
      </c>
      <c r="L26" s="24">
        <v>23</v>
      </c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</row>
    <row r="27" spans="1:26" ht="16.149999999999999" customHeight="1" x14ac:dyDescent="0.25">
      <c r="A27" s="4">
        <v>25</v>
      </c>
      <c r="B27" s="4" t="str">
        <f t="shared" si="0"/>
        <v>DIO25</v>
      </c>
      <c r="C27" s="4" t="s">
        <v>27</v>
      </c>
      <c r="D27" s="24">
        <v>0</v>
      </c>
      <c r="E27" s="19" t="str">
        <f t="shared" si="1"/>
        <v>#if (defined(PWM0_PORT) &amp;&amp; defined(PWM0_BIT))
#define PWM0 25
#define PWM0_MBED_PIN __mbedpin__(PWM0_PORT, PWM0_BIT)
#define PWM0_GPIOREG __gpioreg__(PWM0_PORT)
#if (PWM0_BIT &lt; 16)
#define PWM0_PINHALF L
#else
#define PWM0_PINHALF H
#endif
#define PWM0_PINCON __pincon__(PWM0_PORT, PWM0_PINHALF)
#define DIO25 25
#define DIO25_MBED_PIN PWM0_MBED_PIN
#define DIO25_PORT PWM0_PORT
#define DIO25_BIT PWM0_BIT
#define DIO25_GPIOREG PWM0_GPIOREG
#define DIO25_PINHALF PWM0_PINHALF
#define DIO25_PINCON PWM0_PINCON
#endif</v>
      </c>
      <c r="F27" s="19"/>
      <c r="G27" s="19"/>
      <c r="H27" s="19" t="str">
        <f>"#ifdef "&amp;C27&amp;"
#define "&amp;C27&amp;"_MR __mrreg__("&amp;C27&amp;"_CHANNEL)
#if ("&amp;C27&amp;"_PORT == 1)
#define "&amp;C27&amp;"_PINSEL 2
#define "&amp;C27&amp;"_FUNC 2
#elif ("&amp;C27&amp;"_PORT == 2)
#define "&amp;C27&amp;"_PINSEL 1
#define "&amp;C27&amp;"_FUNC 1
#else
#define "&amp;C27&amp;"_PINSEL 0
#define "&amp;C27&amp;"_FUNC 0
#endif
#define "&amp;B27&amp;"_PINSEL "&amp;C27&amp;"_PINSEL
#define "&amp;B27&amp;"_FUNC "&amp;C27&amp;"_FUNC
#define "&amp;B27&amp;"_CHANNEL "&amp;C27&amp;"_CHANNEL
#define "&amp;B27&amp;"_MR "&amp;C27&amp;"_MR
#endif"</f>
        <v>#ifdef PWM0
#define PWM0_MR __mrreg__(PWM0_CHANNEL)
#if (PWM0_PORT == 1)
#define PWM0_PINSEL 2
#define PWM0_FUNC 2
#elif (PWM0_PORT == 2)
#define PWM0_PINSEL 1
#define PWM0_FUNC 1
#else
#define PWM0_PINSEL 0
#define PWM0_FUNC 0
#endif
#define DIO25_PINSEL PWM0_PINSEL
#define DIO25_FUNC PWM0_FUNC
#define DIO25_CHANNEL PWM0_CHANNEL
#define DIO25_MR PWM0_MR
#endif</v>
      </c>
      <c r="I27" s="19" t="s">
        <v>263</v>
      </c>
      <c r="J27" s="24">
        <v>24</v>
      </c>
      <c r="K27" s="24">
        <v>0</v>
      </c>
      <c r="L27" s="24">
        <v>24</v>
      </c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</row>
    <row r="28" spans="1:26" ht="16.149999999999999" customHeight="1" x14ac:dyDescent="0.25">
      <c r="A28" s="4">
        <v>26</v>
      </c>
      <c r="B28" s="4" t="str">
        <f t="shared" si="0"/>
        <v>DIO26</v>
      </c>
      <c r="C28" s="4" t="s">
        <v>28</v>
      </c>
      <c r="D28" s="24">
        <v>1</v>
      </c>
      <c r="E28" s="19" t="str">
        <f t="shared" si="1"/>
        <v>#if (defined(PWM1_PORT) &amp;&amp; defined(PWM1_BIT))
#define PWM1 26
#define PWM1_MBED_PIN __mbedpin__(PWM1_PORT, PWM1_BIT)
#define PWM1_GPIOREG __gpioreg__(PWM1_PORT)
#if (PWM1_BIT &lt; 16)
#define PWM1_PINHALF L
#else
#define PWM1_PINHALF H
#endif
#define PWM1_PINCON __pincon__(PWM1_PORT, PWM1_PINHALF)
#define DIO26 26
#define DIO26_MBED_PIN PWM1_MBED_PIN
#define DIO26_PORT PWM1_PORT
#define DIO26_BIT PWM1_BIT
#define DIO26_GPIOREG PWM1_GPIOREG
#define DIO26_PINHALF PWM1_PINHALF
#define DIO26_PINCON PWM1_PINCON
#endif</v>
      </c>
      <c r="F28" s="19"/>
      <c r="G28" s="19"/>
      <c r="H28" s="19" t="str">
        <f t="shared" ref="H28:H42" si="2">"#ifdef "&amp;C28&amp;"
#define "&amp;C28&amp;"_MR __mrreg__("&amp;C28&amp;"_CHANNEL)
#if ("&amp;C28&amp;"_PORT == 1)
#define "&amp;C28&amp;"_PINSEL 2
#define "&amp;C28&amp;"_FUNC 2
#elif ("&amp;C28&amp;"_PORT == 2)
#define "&amp;C28&amp;"_PINSEL 1
#define "&amp;C28&amp;"_FUNC 1
#else
#define "&amp;C28&amp;"_PINSEL 0
#define "&amp;C28&amp;"_FUNC 0
#endif
#define "&amp;B28&amp;"_PINSEL "&amp;C28&amp;"_PINSEL
#define "&amp;B28&amp;"_FUNC "&amp;C28&amp;"_FUNC
#define "&amp;B28&amp;"_CHANNEL "&amp;C28&amp;"_CHANNEL
#define "&amp;B28&amp;"_MR "&amp;C28&amp;"_MR
#endif"</f>
        <v>#ifdef PWM1
#define PWM1_MR __mrreg__(PWM1_CHANNEL)
#if (PWM1_PORT == 1)
#define PWM1_PINSEL 2
#define PWM1_FUNC 2
#elif (PWM1_PORT == 2)
#define PWM1_PINSEL 1
#define PWM1_FUNC 1
#else
#define PWM1_PINSEL 0
#define PWM1_FUNC 0
#endif
#define DIO26_PINSEL PWM1_PINSEL
#define DIO26_FUNC PWM1_FUNC
#define DIO26_CHANNEL PWM1_CHANNEL
#define DIO26_MR PWM1_MR
#endif</v>
      </c>
      <c r="I28" s="19" t="s">
        <v>264</v>
      </c>
      <c r="J28" s="24">
        <v>25</v>
      </c>
      <c r="K28" s="24">
        <v>0</v>
      </c>
      <c r="L28" s="24">
        <v>25</v>
      </c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2"/>
      <c r="X28" s="22"/>
      <c r="Y28" s="22"/>
      <c r="Z28" s="22"/>
    </row>
    <row r="29" spans="1:26" ht="16.149999999999999" customHeight="1" x14ac:dyDescent="0.25">
      <c r="A29" s="4">
        <v>27</v>
      </c>
      <c r="B29" s="4" t="str">
        <f t="shared" si="0"/>
        <v>DIO27</v>
      </c>
      <c r="C29" s="4" t="s">
        <v>29</v>
      </c>
      <c r="D29" s="24">
        <v>2</v>
      </c>
      <c r="E29" s="19" t="str">
        <f t="shared" si="1"/>
        <v>#if (defined(PWM2_PORT) &amp;&amp; defined(PWM2_BIT))
#define PWM2 27
#define PWM2_MBED_PIN __mbedpin__(PWM2_PORT, PWM2_BIT)
#define PWM2_GPIOREG __gpioreg__(PWM2_PORT)
#if (PWM2_BIT &lt; 16)
#define PWM2_PINHALF L
#else
#define PWM2_PINHALF H
#endif
#define PWM2_PINCON __pincon__(PWM2_PORT, PWM2_PINHALF)
#define DIO27 27
#define DIO27_MBED_PIN PWM2_MBED_PIN
#define DIO27_PORT PWM2_PORT
#define DIO27_BIT PWM2_BIT
#define DIO27_GPIOREG PWM2_GPIOREG
#define DIO27_PINHALF PWM2_PINHALF
#define DIO27_PINCON PWM2_PINCON
#endif</v>
      </c>
      <c r="F29" s="19"/>
      <c r="G29" s="19"/>
      <c r="H29" s="19" t="str">
        <f t="shared" si="2"/>
        <v>#ifdef PWM2
#define PWM2_MR __mrreg__(PWM2_CHANNEL)
#if (PWM2_PORT == 1)
#define PWM2_PINSEL 2
#define PWM2_FUNC 2
#elif (PWM2_PORT == 2)
#define PWM2_PINSEL 1
#define PWM2_FUNC 1
#else
#define PWM2_PINSEL 0
#define PWM2_FUNC 0
#endif
#define DIO27_PINSEL PWM2_PINSEL
#define DIO27_FUNC PWM2_FUNC
#define DIO27_CHANNEL PWM2_CHANNEL
#define DIO27_MR PWM2_MR
#endif</v>
      </c>
      <c r="I29" s="19" t="s">
        <v>265</v>
      </c>
      <c r="J29" s="24">
        <v>26</v>
      </c>
      <c r="K29" s="24">
        <v>0</v>
      </c>
      <c r="L29" s="24">
        <v>26</v>
      </c>
      <c r="M29" s="22"/>
      <c r="N29" s="22"/>
      <c r="O29" s="22"/>
      <c r="P29" s="22"/>
      <c r="Q29" s="22"/>
      <c r="R29" s="22"/>
      <c r="S29" s="22"/>
      <c r="T29" s="22"/>
      <c r="U29" s="22"/>
      <c r="V29" s="22"/>
      <c r="W29" s="22"/>
      <c r="X29" s="22"/>
      <c r="Y29" s="22"/>
      <c r="Z29" s="22"/>
    </row>
    <row r="30" spans="1:26" ht="16.149999999999999" customHeight="1" x14ac:dyDescent="0.25">
      <c r="A30" s="4">
        <v>28</v>
      </c>
      <c r="B30" s="4" t="str">
        <f t="shared" si="0"/>
        <v>DIO28</v>
      </c>
      <c r="C30" s="4" t="s">
        <v>30</v>
      </c>
      <c r="D30" s="24">
        <v>3</v>
      </c>
      <c r="E30" s="19" t="str">
        <f t="shared" si="1"/>
        <v>#if (defined(PWM3_PORT) &amp;&amp; defined(PWM3_BIT))
#define PWM3 28
#define PWM3_MBED_PIN __mbedpin__(PWM3_PORT, PWM3_BIT)
#define PWM3_GPIOREG __gpioreg__(PWM3_PORT)
#if (PWM3_BIT &lt; 16)
#define PWM3_PINHALF L
#else
#define PWM3_PINHALF H
#endif
#define PWM3_PINCON __pincon__(PWM3_PORT, PWM3_PINHALF)
#define DIO28 28
#define DIO28_MBED_PIN PWM3_MBED_PIN
#define DIO28_PORT PWM3_PORT
#define DIO28_BIT PWM3_BIT
#define DIO28_GPIOREG PWM3_GPIOREG
#define DIO28_PINHALF PWM3_PINHALF
#define DIO28_PINCON PWM3_PINCON
#endif</v>
      </c>
      <c r="F30" s="19"/>
      <c r="G30" s="19"/>
      <c r="H30" s="19" t="str">
        <f t="shared" si="2"/>
        <v>#ifdef PWM3
#define PWM3_MR __mrreg__(PWM3_CHANNEL)
#if (PWM3_PORT == 1)
#define PWM3_PINSEL 2
#define PWM3_FUNC 2
#elif (PWM3_PORT == 2)
#define PWM3_PINSEL 1
#define PWM3_FUNC 1
#else
#define PWM3_PINSEL 0
#define PWM3_FUNC 0
#endif
#define DIO28_PINSEL PWM3_PINSEL
#define DIO28_FUNC PWM3_FUNC
#define DIO28_CHANNEL PWM3_CHANNEL
#define DIO28_MR PWM3_MR
#endif</v>
      </c>
      <c r="I30" s="19" t="s">
        <v>266</v>
      </c>
      <c r="J30" s="24">
        <v>27</v>
      </c>
      <c r="K30" s="24">
        <v>0</v>
      </c>
      <c r="L30" s="24">
        <v>27</v>
      </c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2"/>
      <c r="X30" s="22"/>
      <c r="Y30" s="22"/>
      <c r="Z30" s="22"/>
    </row>
    <row r="31" spans="1:26" ht="16.149999999999999" customHeight="1" x14ac:dyDescent="0.25">
      <c r="A31" s="4">
        <v>29</v>
      </c>
      <c r="B31" s="4" t="str">
        <f t="shared" si="0"/>
        <v>DIO29</v>
      </c>
      <c r="C31" s="4" t="s">
        <v>31</v>
      </c>
      <c r="D31" s="24">
        <v>4</v>
      </c>
      <c r="E31" s="19" t="str">
        <f t="shared" si="1"/>
        <v>#if (defined(PWM4_PORT) &amp;&amp; defined(PWM4_BIT))
#define PWM4 29
#define PWM4_MBED_PIN __mbedpin__(PWM4_PORT, PWM4_BIT)
#define PWM4_GPIOREG __gpioreg__(PWM4_PORT)
#if (PWM4_BIT &lt; 16)
#define PWM4_PINHALF L
#else
#define PWM4_PINHALF H
#endif
#define PWM4_PINCON __pincon__(PWM4_PORT, PWM4_PINHALF)
#define DIO29 29
#define DIO29_MBED_PIN PWM4_MBED_PIN
#define DIO29_PORT PWM4_PORT
#define DIO29_BIT PWM4_BIT
#define DIO29_GPIOREG PWM4_GPIOREG
#define DIO29_PINHALF PWM4_PINHALF
#define DIO29_PINCON PWM4_PINCON
#endif</v>
      </c>
      <c r="F31" s="19"/>
      <c r="G31" s="19"/>
      <c r="H31" s="19" t="str">
        <f t="shared" si="2"/>
        <v>#ifdef PWM4
#define PWM4_MR __mrreg__(PWM4_CHANNEL)
#if (PWM4_PORT == 1)
#define PWM4_PINSEL 2
#define PWM4_FUNC 2
#elif (PWM4_PORT == 2)
#define PWM4_PINSEL 1
#define PWM4_FUNC 1
#else
#define PWM4_PINSEL 0
#define PWM4_FUNC 0
#endif
#define DIO29_PINSEL PWM4_PINSEL
#define DIO29_FUNC PWM4_FUNC
#define DIO29_CHANNEL PWM4_CHANNEL
#define DIO29_MR PWM4_MR
#endif</v>
      </c>
      <c r="I31" s="19" t="s">
        <v>267</v>
      </c>
      <c r="J31" s="24">
        <v>28</v>
      </c>
      <c r="K31" s="24">
        <v>0</v>
      </c>
      <c r="L31" s="24">
        <v>28</v>
      </c>
      <c r="M31" s="22"/>
      <c r="N31" s="22"/>
      <c r="O31" s="22"/>
      <c r="P31" s="22"/>
      <c r="Q31" s="22"/>
      <c r="R31" s="22"/>
      <c r="S31" s="22"/>
      <c r="T31" s="22"/>
      <c r="U31" s="22"/>
      <c r="V31" s="22"/>
      <c r="W31" s="22"/>
      <c r="X31" s="22"/>
      <c r="Y31" s="22"/>
      <c r="Z31" s="22"/>
    </row>
    <row r="32" spans="1:26" ht="16.149999999999999" customHeight="1" x14ac:dyDescent="0.25">
      <c r="A32" s="4">
        <v>30</v>
      </c>
      <c r="B32" s="4" t="str">
        <f t="shared" si="0"/>
        <v>DIO30</v>
      </c>
      <c r="C32" s="4" t="s">
        <v>32</v>
      </c>
      <c r="D32" s="24">
        <v>5</v>
      </c>
      <c r="E32" s="19" t="str">
        <f t="shared" si="1"/>
        <v>#if (defined(PWM5_PORT) &amp;&amp; defined(PWM5_BIT))
#define PWM5 30
#define PWM5_MBED_PIN __mbedpin__(PWM5_PORT, PWM5_BIT)
#define PWM5_GPIOREG __gpioreg__(PWM5_PORT)
#if (PWM5_BIT &lt; 16)
#define PWM5_PINHALF L
#else
#define PWM5_PINHALF H
#endif
#define PWM5_PINCON __pincon__(PWM5_PORT, PWM5_PINHALF)
#define DIO30 30
#define DIO30_MBED_PIN PWM5_MBED_PIN
#define DIO30_PORT PWM5_PORT
#define DIO30_BIT PWM5_BIT
#define DIO30_GPIOREG PWM5_GPIOREG
#define DIO30_PINHALF PWM5_PINHALF
#define DIO30_PINCON PWM5_PINCON
#endif</v>
      </c>
      <c r="F32" s="19"/>
      <c r="G32" s="19"/>
      <c r="H32" s="19" t="str">
        <f t="shared" si="2"/>
        <v>#ifdef PWM5
#define PWM5_MR __mrreg__(PWM5_CHANNEL)
#if (PWM5_PORT == 1)
#define PWM5_PINSEL 2
#define PWM5_FUNC 2
#elif (PWM5_PORT == 2)
#define PWM5_PINSEL 1
#define PWM5_FUNC 1
#else
#define PWM5_PINSEL 0
#define PWM5_FUNC 0
#endif
#define DIO30_PINSEL PWM5_PINSEL
#define DIO30_FUNC PWM5_FUNC
#define DIO30_CHANNEL PWM5_CHANNEL
#define DIO30_MR PWM5_MR
#endif</v>
      </c>
      <c r="I32" s="19" t="s">
        <v>268</v>
      </c>
      <c r="J32" s="24">
        <v>29</v>
      </c>
      <c r="K32" s="24">
        <v>0</v>
      </c>
      <c r="L32" s="24">
        <v>29</v>
      </c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2"/>
      <c r="X32" s="22"/>
      <c r="Y32" s="22"/>
      <c r="Z32" s="22"/>
    </row>
    <row r="33" spans="1:26" ht="16.149999999999999" customHeight="1" x14ac:dyDescent="0.25">
      <c r="A33" s="4">
        <v>31</v>
      </c>
      <c r="B33" s="4" t="str">
        <f t="shared" si="0"/>
        <v>DIO31</v>
      </c>
      <c r="C33" s="4" t="s">
        <v>33</v>
      </c>
      <c r="D33" s="24">
        <v>6</v>
      </c>
      <c r="E33" s="19" t="str">
        <f t="shared" si="1"/>
        <v>#if (defined(PWM6_PORT) &amp;&amp; defined(PWM6_BIT))
#define PWM6 31
#define PWM6_MBED_PIN __mbedpin__(PWM6_PORT, PWM6_BIT)
#define PWM6_GPIOREG __gpioreg__(PWM6_PORT)
#if (PWM6_BIT &lt; 16)
#define PWM6_PINHALF L
#else
#define PWM6_PINHALF H
#endif
#define PWM6_PINCON __pincon__(PWM6_PORT, PWM6_PINHALF)
#define DIO31 31
#define DIO31_MBED_PIN PWM6_MBED_PIN
#define DIO31_PORT PWM6_PORT
#define DIO31_BIT PWM6_BIT
#define DIO31_GPIOREG PWM6_GPIOREG
#define DIO31_PINHALF PWM6_PINHALF
#define DIO31_PINCON PWM6_PINCON
#endif</v>
      </c>
      <c r="F33" s="19"/>
      <c r="G33" s="19"/>
      <c r="H33" s="19" t="str">
        <f t="shared" si="2"/>
        <v>#ifdef PWM6
#define PWM6_MR __mrreg__(PWM6_CHANNEL)
#if (PWM6_PORT == 1)
#define PWM6_PINSEL 2
#define PWM6_FUNC 2
#elif (PWM6_PORT == 2)
#define PWM6_PINSEL 1
#define PWM6_FUNC 1
#else
#define PWM6_PINSEL 0
#define PWM6_FUNC 0
#endif
#define DIO31_PINSEL PWM6_PINSEL
#define DIO31_FUNC PWM6_FUNC
#define DIO31_CHANNEL PWM6_CHANNEL
#define DIO31_MR PWM6_MR
#endif</v>
      </c>
      <c r="I33" s="19" t="s">
        <v>269</v>
      </c>
      <c r="J33" s="24">
        <v>30</v>
      </c>
      <c r="K33" s="24">
        <v>0</v>
      </c>
      <c r="L33" s="24">
        <v>30</v>
      </c>
      <c r="M33" s="22"/>
      <c r="N33" s="22"/>
      <c r="O33" s="22"/>
      <c r="P33" s="22"/>
      <c r="Q33" s="22"/>
      <c r="R33" s="22"/>
      <c r="S33" s="22"/>
      <c r="T33" s="22"/>
      <c r="U33" s="22"/>
      <c r="V33" s="22"/>
      <c r="W33" s="22"/>
      <c r="X33" s="22"/>
      <c r="Y33" s="22"/>
      <c r="Z33" s="22"/>
    </row>
    <row r="34" spans="1:26" ht="16.149999999999999" customHeight="1" x14ac:dyDescent="0.25">
      <c r="A34" s="4">
        <v>32</v>
      </c>
      <c r="B34" s="4" t="str">
        <f t="shared" si="0"/>
        <v>DIO32</v>
      </c>
      <c r="C34" s="4" t="s">
        <v>34</v>
      </c>
      <c r="D34" s="24">
        <v>7</v>
      </c>
      <c r="E34" s="19" t="str">
        <f t="shared" si="1"/>
        <v>#if (defined(PWM7_PORT) &amp;&amp; defined(PWM7_BIT))
#define PWM7 32
#define PWM7_MBED_PIN __mbedpin__(PWM7_PORT, PWM7_BIT)
#define PWM7_GPIOREG __gpioreg__(PWM7_PORT)
#if (PWM7_BIT &lt; 16)
#define PWM7_PINHALF L
#else
#define PWM7_PINHALF H
#endif
#define PWM7_PINCON __pincon__(PWM7_PORT, PWM7_PINHALF)
#define DIO32 32
#define DIO32_MBED_PIN PWM7_MBED_PIN
#define DIO32_PORT PWM7_PORT
#define DIO32_BIT PWM7_BIT
#define DIO32_GPIOREG PWM7_GPIOREG
#define DIO32_PINHALF PWM7_PINHALF
#define DIO32_PINCON PWM7_PINCON
#endif</v>
      </c>
      <c r="F34" s="19"/>
      <c r="G34" s="19"/>
      <c r="H34" s="19" t="str">
        <f t="shared" si="2"/>
        <v>#ifdef PWM7
#define PWM7_MR __mrreg__(PWM7_CHANNEL)
#if (PWM7_PORT == 1)
#define PWM7_PINSEL 2
#define PWM7_FUNC 2
#elif (PWM7_PORT == 2)
#define PWM7_PINSEL 1
#define PWM7_FUNC 1
#else
#define PWM7_PINSEL 0
#define PWM7_FUNC 0
#endif
#define DIO32_PINSEL PWM7_PINSEL
#define DIO32_FUNC PWM7_FUNC
#define DIO32_CHANNEL PWM7_CHANNEL
#define DIO32_MR PWM7_MR
#endif</v>
      </c>
      <c r="I34" s="19" t="s">
        <v>270</v>
      </c>
      <c r="J34" s="24">
        <v>31</v>
      </c>
      <c r="K34" s="24">
        <v>0</v>
      </c>
      <c r="L34" s="24">
        <v>31</v>
      </c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2"/>
      <c r="X34" s="22"/>
      <c r="Y34" s="22"/>
      <c r="Z34" s="22"/>
    </row>
    <row r="35" spans="1:26" ht="16.149999999999999" customHeight="1" x14ac:dyDescent="0.25">
      <c r="A35" s="4">
        <v>33</v>
      </c>
      <c r="B35" s="4" t="str">
        <f t="shared" si="0"/>
        <v>DIO33</v>
      </c>
      <c r="C35" s="4" t="s">
        <v>35</v>
      </c>
      <c r="D35" s="24">
        <v>8</v>
      </c>
      <c r="E35" s="19" t="str">
        <f t="shared" si="1"/>
        <v>#if (defined(PWM8_PORT) &amp;&amp; defined(PWM8_BIT))
#define PWM8 33
#define PWM8_MBED_PIN __mbedpin__(PWM8_PORT, PWM8_BIT)
#define PWM8_GPIOREG __gpioreg__(PWM8_PORT)
#if (PWM8_BIT &lt; 16)
#define PWM8_PINHALF L
#else
#define PWM8_PINHALF H
#endif
#define PWM8_PINCON __pincon__(PWM8_PORT, PWM8_PINHALF)
#define DIO33 33
#define DIO33_MBED_PIN PWM8_MBED_PIN
#define DIO33_PORT PWM8_PORT
#define DIO33_BIT PWM8_BIT
#define DIO33_GPIOREG PWM8_GPIOREG
#define DIO33_PINHALF PWM8_PINHALF
#define DIO33_PINCON PWM8_PINCON
#endif</v>
      </c>
      <c r="F35" s="19"/>
      <c r="G35" s="19"/>
      <c r="H35" s="19" t="str">
        <f t="shared" si="2"/>
        <v>#ifdef PWM8
#define PWM8_MR __mrreg__(PWM8_CHANNEL)
#if (PWM8_PORT == 1)
#define PWM8_PINSEL 2
#define PWM8_FUNC 2
#elif (PWM8_PORT == 2)
#define PWM8_PINSEL 1
#define PWM8_FUNC 1
#else
#define PWM8_PINSEL 0
#define PWM8_FUNC 0
#endif
#define DIO33_PINSEL PWM8_PINSEL
#define DIO33_FUNC PWM8_FUNC
#define DIO33_CHANNEL PWM8_CHANNEL
#define DIO33_MR PWM8_MR
#endif</v>
      </c>
      <c r="I35" s="19" t="s">
        <v>271</v>
      </c>
      <c r="J35" s="22"/>
      <c r="K35" s="24">
        <v>1</v>
      </c>
      <c r="L35" s="24">
        <v>0</v>
      </c>
      <c r="M35" s="22"/>
      <c r="N35" s="22"/>
      <c r="O35" s="22"/>
      <c r="P35" s="22"/>
      <c r="Q35" s="22"/>
      <c r="R35" s="22"/>
      <c r="S35" s="22"/>
      <c r="T35" s="22"/>
      <c r="U35" s="22"/>
      <c r="V35" s="22"/>
      <c r="W35" s="22"/>
      <c r="X35" s="22"/>
      <c r="Y35" s="22"/>
      <c r="Z35" s="22"/>
    </row>
    <row r="36" spans="1:26" ht="16.149999999999999" customHeight="1" x14ac:dyDescent="0.25">
      <c r="A36" s="4">
        <v>34</v>
      </c>
      <c r="B36" s="4" t="str">
        <f t="shared" si="0"/>
        <v>DIO34</v>
      </c>
      <c r="C36" s="4" t="s">
        <v>36</v>
      </c>
      <c r="D36" s="24">
        <v>9</v>
      </c>
      <c r="E36" s="19" t="str">
        <f t="shared" si="1"/>
        <v>#if (defined(PWM9_PORT) &amp;&amp; defined(PWM9_BIT))
#define PWM9 34
#define PWM9_MBED_PIN __mbedpin__(PWM9_PORT, PWM9_BIT)
#define PWM9_GPIOREG __gpioreg__(PWM9_PORT)
#if (PWM9_BIT &lt; 16)
#define PWM9_PINHALF L
#else
#define PWM9_PINHALF H
#endif
#define PWM9_PINCON __pincon__(PWM9_PORT, PWM9_PINHALF)
#define DIO34 34
#define DIO34_MBED_PIN PWM9_MBED_PIN
#define DIO34_PORT PWM9_PORT
#define DIO34_BIT PWM9_BIT
#define DIO34_GPIOREG PWM9_GPIOREG
#define DIO34_PINHALF PWM9_PINHALF
#define DIO34_PINCON PWM9_PINCON
#endif</v>
      </c>
      <c r="F36" s="19"/>
      <c r="G36" s="19"/>
      <c r="H36" s="19" t="str">
        <f t="shared" si="2"/>
        <v>#ifdef PWM9
#define PWM9_MR __mrreg__(PWM9_CHANNEL)
#if (PWM9_PORT == 1)
#define PWM9_PINSEL 2
#define PWM9_FUNC 2
#elif (PWM9_PORT == 2)
#define PWM9_PINSEL 1
#define PWM9_FUNC 1
#else
#define PWM9_PINSEL 0
#define PWM9_FUNC 0
#endif
#define DIO34_PINSEL PWM9_PINSEL
#define DIO34_FUNC PWM9_FUNC
#define DIO34_CHANNEL PWM9_CHANNEL
#define DIO34_MR PWM9_MR
#endif</v>
      </c>
      <c r="I36" s="19" t="s">
        <v>272</v>
      </c>
      <c r="J36" s="22"/>
      <c r="K36" s="24">
        <v>1</v>
      </c>
      <c r="L36" s="24">
        <v>1</v>
      </c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2"/>
      <c r="X36" s="22"/>
      <c r="Y36" s="22"/>
      <c r="Z36" s="22"/>
    </row>
    <row r="37" spans="1:26" ht="16.149999999999999" customHeight="1" x14ac:dyDescent="0.25">
      <c r="A37" s="4">
        <v>35</v>
      </c>
      <c r="B37" s="4" t="str">
        <f t="shared" si="0"/>
        <v>DIO35</v>
      </c>
      <c r="C37" s="4" t="s">
        <v>37</v>
      </c>
      <c r="D37" s="24">
        <v>10</v>
      </c>
      <c r="E37" s="19" t="str">
        <f t="shared" si="1"/>
        <v>#if (defined(PWM10_PORT) &amp;&amp; defined(PWM10_BIT))
#define PWM10 35
#define PWM10_MBED_PIN __mbedpin__(PWM10_PORT, PWM10_BIT)
#define PWM10_GPIOREG __gpioreg__(PWM10_PORT)
#if (PWM10_BIT &lt; 16)
#define PWM10_PINHALF L
#else
#define PWM10_PINHALF H
#endif
#define PWM10_PINCON __pincon__(PWM10_PORT, PWM10_PINHALF)
#define DIO35 35
#define DIO35_MBED_PIN PWM10_MBED_PIN
#define DIO35_PORT PWM10_PORT
#define DIO35_BIT PWM10_BIT
#define DIO35_GPIOREG PWM10_GPIOREG
#define DIO35_PINHALF PWM10_PINHALF
#define DIO35_PINCON PWM10_PINCON
#endif</v>
      </c>
      <c r="F37" s="19"/>
      <c r="G37" s="19"/>
      <c r="H37" s="19" t="str">
        <f t="shared" si="2"/>
        <v>#ifdef PWM10
#define PWM10_MR __mrreg__(PWM10_CHANNEL)
#if (PWM10_PORT == 1)
#define PWM10_PINSEL 2
#define PWM10_FUNC 2
#elif (PWM10_PORT == 2)
#define PWM10_PINSEL 1
#define PWM10_FUNC 1
#else
#define PWM10_PINSEL 0
#define PWM10_FUNC 0
#endif
#define DIO35_PINSEL PWM10_PINSEL
#define DIO35_FUNC PWM10_FUNC
#define DIO35_CHANNEL PWM10_CHANNEL
#define DIO35_MR PWM10_MR
#endif</v>
      </c>
      <c r="I37" s="19" t="s">
        <v>273</v>
      </c>
      <c r="J37" s="22"/>
      <c r="K37" s="24">
        <v>1</v>
      </c>
      <c r="L37" s="24">
        <v>2</v>
      </c>
      <c r="M37" s="22"/>
      <c r="N37" s="22"/>
      <c r="O37" s="22"/>
      <c r="P37" s="22"/>
      <c r="Q37" s="22"/>
      <c r="R37" s="22"/>
      <c r="S37" s="22"/>
      <c r="T37" s="22"/>
      <c r="U37" s="22"/>
      <c r="V37" s="22"/>
      <c r="W37" s="22"/>
      <c r="X37" s="22"/>
      <c r="Y37" s="22"/>
      <c r="Z37" s="22"/>
    </row>
    <row r="38" spans="1:26" ht="16.149999999999999" customHeight="1" x14ac:dyDescent="0.25">
      <c r="A38" s="4">
        <v>36</v>
      </c>
      <c r="B38" s="4" t="str">
        <f t="shared" si="0"/>
        <v>DIO36</v>
      </c>
      <c r="C38" s="4" t="s">
        <v>38</v>
      </c>
      <c r="D38" s="24">
        <v>11</v>
      </c>
      <c r="E38" s="19" t="str">
        <f t="shared" si="1"/>
        <v>#if (defined(PWM11_PORT) &amp;&amp; defined(PWM11_BIT))
#define PWM11 36
#define PWM11_MBED_PIN __mbedpin__(PWM11_PORT, PWM11_BIT)
#define PWM11_GPIOREG __gpioreg__(PWM11_PORT)
#if (PWM11_BIT &lt; 16)
#define PWM11_PINHALF L
#else
#define PWM11_PINHALF H
#endif
#define PWM11_PINCON __pincon__(PWM11_PORT, PWM11_PINHALF)
#define DIO36 36
#define DIO36_MBED_PIN PWM11_MBED_PIN
#define DIO36_PORT PWM11_PORT
#define DIO36_BIT PWM11_BIT
#define DIO36_GPIOREG PWM11_GPIOREG
#define DIO36_PINHALF PWM11_PINHALF
#define DIO36_PINCON PWM11_PINCON
#endif</v>
      </c>
      <c r="F38" s="19"/>
      <c r="G38" s="19"/>
      <c r="H38" s="19" t="str">
        <f t="shared" si="2"/>
        <v>#ifdef PWM11
#define PWM11_MR __mrreg__(PWM11_CHANNEL)
#if (PWM11_PORT == 1)
#define PWM11_PINSEL 2
#define PWM11_FUNC 2
#elif (PWM11_PORT == 2)
#define PWM11_PINSEL 1
#define PWM11_FUNC 1
#else
#define PWM11_PINSEL 0
#define PWM11_FUNC 0
#endif
#define DIO36_PINSEL PWM11_PINSEL
#define DIO36_FUNC PWM11_FUNC
#define DIO36_CHANNEL PWM11_CHANNEL
#define DIO36_MR PWM11_MR
#endif</v>
      </c>
      <c r="I38" s="19" t="s">
        <v>274</v>
      </c>
      <c r="J38" s="22"/>
      <c r="K38" s="24">
        <v>1</v>
      </c>
      <c r="L38" s="24">
        <v>3</v>
      </c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2"/>
      <c r="X38" s="22"/>
      <c r="Y38" s="22"/>
      <c r="Z38" s="22"/>
    </row>
    <row r="39" spans="1:26" ht="16.149999999999999" customHeight="1" x14ac:dyDescent="0.25">
      <c r="A39" s="4">
        <v>37</v>
      </c>
      <c r="B39" s="4" t="str">
        <f t="shared" si="0"/>
        <v>DIO37</v>
      </c>
      <c r="C39" s="4" t="s">
        <v>39</v>
      </c>
      <c r="D39" s="24">
        <v>12</v>
      </c>
      <c r="E39" s="19" t="str">
        <f t="shared" si="1"/>
        <v>#if (defined(PWM12_PORT) &amp;&amp; defined(PWM12_BIT))
#define PWM12 37
#define PWM12_MBED_PIN __mbedpin__(PWM12_PORT, PWM12_BIT)
#define PWM12_GPIOREG __gpioreg__(PWM12_PORT)
#if (PWM12_BIT &lt; 16)
#define PWM12_PINHALF L
#else
#define PWM12_PINHALF H
#endif
#define PWM12_PINCON __pincon__(PWM12_PORT, PWM12_PINHALF)
#define DIO37 37
#define DIO37_MBED_PIN PWM12_MBED_PIN
#define DIO37_PORT PWM12_PORT
#define DIO37_BIT PWM12_BIT
#define DIO37_GPIOREG PWM12_GPIOREG
#define DIO37_PINHALF PWM12_PINHALF
#define DIO37_PINCON PWM12_PINCON
#endif</v>
      </c>
      <c r="F39" s="19"/>
      <c r="G39" s="19"/>
      <c r="H39" s="19" t="str">
        <f t="shared" si="2"/>
        <v>#ifdef PWM12
#define PWM12_MR __mrreg__(PWM12_CHANNEL)
#if (PWM12_PORT == 1)
#define PWM12_PINSEL 2
#define PWM12_FUNC 2
#elif (PWM12_PORT == 2)
#define PWM12_PINSEL 1
#define PWM12_FUNC 1
#else
#define PWM12_PINSEL 0
#define PWM12_FUNC 0
#endif
#define DIO37_PINSEL PWM12_PINSEL
#define DIO37_FUNC PWM12_FUNC
#define DIO37_CHANNEL PWM12_CHANNEL
#define DIO37_MR PWM12_MR
#endif</v>
      </c>
      <c r="I39" s="19" t="s">
        <v>275</v>
      </c>
      <c r="J39" s="22"/>
      <c r="K39" s="24">
        <v>1</v>
      </c>
      <c r="L39" s="24">
        <v>4</v>
      </c>
      <c r="M39" s="22"/>
      <c r="N39" s="22"/>
      <c r="O39" s="22"/>
      <c r="P39" s="22"/>
      <c r="Q39" s="22"/>
      <c r="R39" s="22"/>
      <c r="S39" s="22"/>
      <c r="T39" s="22"/>
      <c r="U39" s="22"/>
      <c r="V39" s="22"/>
      <c r="W39" s="22"/>
      <c r="X39" s="22"/>
      <c r="Y39" s="22"/>
      <c r="Z39" s="22"/>
    </row>
    <row r="40" spans="1:26" ht="16.149999999999999" customHeight="1" x14ac:dyDescent="0.25">
      <c r="A40" s="4">
        <v>38</v>
      </c>
      <c r="B40" s="4" t="str">
        <f t="shared" si="0"/>
        <v>DIO38</v>
      </c>
      <c r="C40" s="4" t="s">
        <v>40</v>
      </c>
      <c r="D40" s="24">
        <v>13</v>
      </c>
      <c r="E40" s="19" t="str">
        <f t="shared" si="1"/>
        <v>#if (defined(PWM13_PORT) &amp;&amp; defined(PWM13_BIT))
#define PWM13 38
#define PWM13_MBED_PIN __mbedpin__(PWM13_PORT, PWM13_BIT)
#define PWM13_GPIOREG __gpioreg__(PWM13_PORT)
#if (PWM13_BIT &lt; 16)
#define PWM13_PINHALF L
#else
#define PWM13_PINHALF H
#endif
#define PWM13_PINCON __pincon__(PWM13_PORT, PWM13_PINHALF)
#define DIO38 38
#define DIO38_MBED_PIN PWM13_MBED_PIN
#define DIO38_PORT PWM13_PORT
#define DIO38_BIT PWM13_BIT
#define DIO38_GPIOREG PWM13_GPIOREG
#define DIO38_PINHALF PWM13_PINHALF
#define DIO38_PINCON PWM13_PINCON
#endif</v>
      </c>
      <c r="F40" s="19"/>
      <c r="G40" s="19"/>
      <c r="H40" s="19" t="str">
        <f t="shared" si="2"/>
        <v>#ifdef PWM13
#define PWM13_MR __mrreg__(PWM13_CHANNEL)
#if (PWM13_PORT == 1)
#define PWM13_PINSEL 2
#define PWM13_FUNC 2
#elif (PWM13_PORT == 2)
#define PWM13_PINSEL 1
#define PWM13_FUNC 1
#else
#define PWM13_PINSEL 0
#define PWM13_FUNC 0
#endif
#define DIO38_PINSEL PWM13_PINSEL
#define DIO38_FUNC PWM13_FUNC
#define DIO38_CHANNEL PWM13_CHANNEL
#define DIO38_MR PWM13_MR
#endif</v>
      </c>
      <c r="I40" s="19" t="s">
        <v>276</v>
      </c>
      <c r="J40" s="22"/>
      <c r="K40" s="24">
        <v>1</v>
      </c>
      <c r="L40" s="24">
        <v>5</v>
      </c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</row>
    <row r="41" spans="1:26" ht="16.149999999999999" customHeight="1" x14ac:dyDescent="0.25">
      <c r="A41" s="4">
        <v>39</v>
      </c>
      <c r="B41" s="4" t="str">
        <f t="shared" si="0"/>
        <v>DIO39</v>
      </c>
      <c r="C41" s="4" t="s">
        <v>41</v>
      </c>
      <c r="D41" s="24">
        <v>14</v>
      </c>
      <c r="E41" s="19" t="str">
        <f t="shared" si="1"/>
        <v>#if (defined(PWM14_PORT) &amp;&amp; defined(PWM14_BIT))
#define PWM14 39
#define PWM14_MBED_PIN __mbedpin__(PWM14_PORT, PWM14_BIT)
#define PWM14_GPIOREG __gpioreg__(PWM14_PORT)
#if (PWM14_BIT &lt; 16)
#define PWM14_PINHALF L
#else
#define PWM14_PINHALF H
#endif
#define PWM14_PINCON __pincon__(PWM14_PORT, PWM14_PINHALF)
#define DIO39 39
#define DIO39_MBED_PIN PWM14_MBED_PIN
#define DIO39_PORT PWM14_PORT
#define DIO39_BIT PWM14_BIT
#define DIO39_GPIOREG PWM14_GPIOREG
#define DIO39_PINHALF PWM14_PINHALF
#define DIO39_PINCON PWM14_PINCON
#endif</v>
      </c>
      <c r="F41" s="19"/>
      <c r="G41" s="19"/>
      <c r="H41" s="19" t="str">
        <f t="shared" si="2"/>
        <v>#ifdef PWM14
#define PWM14_MR __mrreg__(PWM14_CHANNEL)
#if (PWM14_PORT == 1)
#define PWM14_PINSEL 2
#define PWM14_FUNC 2
#elif (PWM14_PORT == 2)
#define PWM14_PINSEL 1
#define PWM14_FUNC 1
#else
#define PWM14_PINSEL 0
#define PWM14_FUNC 0
#endif
#define DIO39_PINSEL PWM14_PINSEL
#define DIO39_FUNC PWM14_FUNC
#define DIO39_CHANNEL PWM14_CHANNEL
#define DIO39_MR PWM14_MR
#endif</v>
      </c>
      <c r="I41" s="19" t="s">
        <v>277</v>
      </c>
      <c r="J41" s="22"/>
      <c r="K41" s="24">
        <v>1</v>
      </c>
      <c r="L41" s="24">
        <v>6</v>
      </c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</row>
    <row r="42" spans="1:26" ht="16.149999999999999" customHeight="1" x14ac:dyDescent="0.25">
      <c r="A42" s="4">
        <v>40</v>
      </c>
      <c r="B42" s="4" t="str">
        <f t="shared" si="0"/>
        <v>DIO40</v>
      </c>
      <c r="C42" s="4" t="s">
        <v>42</v>
      </c>
      <c r="D42" s="24">
        <v>15</v>
      </c>
      <c r="E42" s="19" t="str">
        <f t="shared" si="1"/>
        <v>#if (defined(PWM15_PORT) &amp;&amp; defined(PWM15_BIT))
#define PWM15 40
#define PWM15_MBED_PIN __mbedpin__(PWM15_PORT, PWM15_BIT)
#define PWM15_GPIOREG __gpioreg__(PWM15_PORT)
#if (PWM15_BIT &lt; 16)
#define PWM15_PINHALF L
#else
#define PWM15_PINHALF H
#endif
#define PWM15_PINCON __pincon__(PWM15_PORT, PWM15_PINHALF)
#define DIO40 40
#define DIO40_MBED_PIN PWM15_MBED_PIN
#define DIO40_PORT PWM15_PORT
#define DIO40_BIT PWM15_BIT
#define DIO40_GPIOREG PWM15_GPIOREG
#define DIO40_PINHALF PWM15_PINHALF
#define DIO40_PINCON PWM15_PINCON
#endif</v>
      </c>
      <c r="F42" s="19"/>
      <c r="G42" s="19"/>
      <c r="H42" s="19" t="str">
        <f t="shared" si="2"/>
        <v>#ifdef PWM15
#define PWM15_MR __mrreg__(PWM15_CHANNEL)
#if (PWM15_PORT == 1)
#define PWM15_PINSEL 2
#define PWM15_FUNC 2
#elif (PWM15_PORT == 2)
#define PWM15_PINSEL 1
#define PWM15_FUNC 1
#else
#define PWM15_PINSEL 0
#define PWM15_FUNC 0
#endif
#define DIO40_PINSEL PWM15_PINSEL
#define DIO40_FUNC PWM15_FUNC
#define DIO40_CHANNEL PWM15_CHANNEL
#define DIO40_MR PWM15_MR
#endif</v>
      </c>
      <c r="I42" s="19" t="s">
        <v>278</v>
      </c>
      <c r="J42" s="22"/>
      <c r="K42" s="24">
        <v>1</v>
      </c>
      <c r="L42" s="24">
        <v>7</v>
      </c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</row>
    <row r="43" spans="1:26" ht="16.149999999999999" customHeight="1" x14ac:dyDescent="0.25">
      <c r="A43" s="4">
        <v>41</v>
      </c>
      <c r="B43" s="4" t="str">
        <f t="shared" si="0"/>
        <v>DIO41</v>
      </c>
      <c r="C43" s="4" t="s">
        <v>109</v>
      </c>
      <c r="D43" s="24">
        <v>0</v>
      </c>
      <c r="E43" s="19" t="str">
        <f t="shared" si="1"/>
        <v>#if (defined(SERVO0_PORT) &amp;&amp; defined(SERVO0_BIT))
#define SERVO0 41
#define SERVO0_MBED_PIN __mbedpin__(SERVO0_PORT, SERVO0_BIT)
#define SERVO0_GPIOREG __gpioreg__(SERVO0_PORT)
#if (SERVO0_BIT &lt; 16)
#define SERVO0_PINHALF L
#else
#define SERVO0_PINHALF H
#endif
#define SERVO0_PINCON __pincon__(SERVO0_PORT, SERVO0_PINHALF)
#define DIO41 41
#define DIO41_MBED_PIN SERVO0_MBED_PIN
#define DIO41_PORT SERVO0_PORT
#define DIO41_BIT SERVO0_BIT
#define DIO41_GPIOREG SERVO0_GPIOREG
#define DIO41_PINHALF SERVO0_PINHALF
#define DIO41_PINCON SERVO0_PINCON
#endif</v>
      </c>
      <c r="F43" s="19" t="s">
        <v>279</v>
      </c>
      <c r="G43" s="19" t="s">
        <v>280</v>
      </c>
      <c r="H43" s="19"/>
      <c r="I43" s="19" t="s">
        <v>281</v>
      </c>
      <c r="J43" s="22"/>
      <c r="K43" s="24">
        <v>1</v>
      </c>
      <c r="L43" s="24">
        <v>8</v>
      </c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</row>
    <row r="44" spans="1:26" ht="16.149999999999999" customHeight="1" x14ac:dyDescent="0.25">
      <c r="A44" s="4">
        <v>42</v>
      </c>
      <c r="B44" s="4" t="str">
        <f t="shared" si="0"/>
        <v>DIO42</v>
      </c>
      <c r="C44" s="4" t="s">
        <v>110</v>
      </c>
      <c r="D44" s="24">
        <v>1</v>
      </c>
      <c r="E44" s="19" t="str">
        <f t="shared" si="1"/>
        <v>#if (defined(SERVO1_PORT) &amp;&amp; defined(SERVO1_BIT))
#define SERVO1 42
#define SERVO1_MBED_PIN __mbedpin__(SERVO1_PORT, SERVO1_BIT)
#define SERVO1_GPIOREG __gpioreg__(SERVO1_PORT)
#if (SERVO1_BIT &lt; 16)
#define SERVO1_PINHALF L
#else
#define SERVO1_PINHALF H
#endif
#define SERVO1_PINCON __pincon__(SERVO1_PORT, SERVO1_PINHALF)
#define DIO42 42
#define DIO42_MBED_PIN SERVO1_MBED_PIN
#define DIO42_PORT SERVO1_PORT
#define DIO42_BIT SERVO1_BIT
#define DIO42_GPIOREG SERVO1_GPIOREG
#define DIO42_PINHALF SERVO1_PINHALF
#define DIO42_PINCON SERVO1_PINCON
#endif</v>
      </c>
      <c r="F44" s="19" t="s">
        <v>282</v>
      </c>
      <c r="G44" s="19" t="s">
        <v>283</v>
      </c>
      <c r="H44" s="19"/>
      <c r="I44" s="19" t="s">
        <v>284</v>
      </c>
      <c r="J44" s="22"/>
      <c r="K44" s="24">
        <v>1</v>
      </c>
      <c r="L44" s="24">
        <v>9</v>
      </c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</row>
    <row r="45" spans="1:26" ht="16.149999999999999" customHeight="1" x14ac:dyDescent="0.25">
      <c r="A45" s="4">
        <v>43</v>
      </c>
      <c r="B45" s="4" t="str">
        <f t="shared" si="0"/>
        <v>DIO43</v>
      </c>
      <c r="C45" s="4" t="s">
        <v>111</v>
      </c>
      <c r="D45" s="24">
        <v>2</v>
      </c>
      <c r="E45" s="19" t="str">
        <f t="shared" si="1"/>
        <v>#if (defined(SERVO2_PORT) &amp;&amp; defined(SERVO2_BIT))
#define SERVO2 43
#define SERVO2_MBED_PIN __mbedpin__(SERVO2_PORT, SERVO2_BIT)
#define SERVO2_GPIOREG __gpioreg__(SERVO2_PORT)
#if (SERVO2_BIT &lt; 16)
#define SERVO2_PINHALF L
#else
#define SERVO2_PINHALF H
#endif
#define SERVO2_PINCON __pincon__(SERVO2_PORT, SERVO2_PINHALF)
#define DIO43 43
#define DIO43_MBED_PIN SERVO2_MBED_PIN
#define DIO43_PORT SERVO2_PORT
#define DIO43_BIT SERVO2_BIT
#define DIO43_GPIOREG SERVO2_GPIOREG
#define DIO43_PINHALF SERVO2_PINHALF
#define DIO43_PINCON SERVO2_PINCON
#endif</v>
      </c>
      <c r="F45" s="19" t="s">
        <v>285</v>
      </c>
      <c r="G45" s="19" t="s">
        <v>286</v>
      </c>
      <c r="H45" s="19"/>
      <c r="I45" s="19" t="s">
        <v>287</v>
      </c>
      <c r="J45" s="22"/>
      <c r="K45" s="24">
        <v>1</v>
      </c>
      <c r="L45" s="24">
        <v>10</v>
      </c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</row>
    <row r="46" spans="1:26" ht="16.149999999999999" customHeight="1" x14ac:dyDescent="0.25">
      <c r="A46" s="4">
        <v>44</v>
      </c>
      <c r="B46" s="4" t="str">
        <f t="shared" si="0"/>
        <v>DIO44</v>
      </c>
      <c r="C46" s="4" t="s">
        <v>112</v>
      </c>
      <c r="D46" s="24">
        <v>3</v>
      </c>
      <c r="E46" s="19" t="str">
        <f t="shared" si="1"/>
        <v>#if (defined(SERVO3_PORT) &amp;&amp; defined(SERVO3_BIT))
#define SERVO3 44
#define SERVO3_MBED_PIN __mbedpin__(SERVO3_PORT, SERVO3_BIT)
#define SERVO3_GPIOREG __gpioreg__(SERVO3_PORT)
#if (SERVO3_BIT &lt; 16)
#define SERVO3_PINHALF L
#else
#define SERVO3_PINHALF H
#endif
#define SERVO3_PINCON __pincon__(SERVO3_PORT, SERVO3_PINHALF)
#define DIO44 44
#define DIO44_MBED_PIN SERVO3_MBED_PIN
#define DIO44_PORT SERVO3_PORT
#define DIO44_BIT SERVO3_BIT
#define DIO44_GPIOREG SERVO3_GPIOREG
#define DIO44_PINHALF SERVO3_PINHALF
#define DIO44_PINCON SERVO3_PINCON
#endif</v>
      </c>
      <c r="F46" s="19" t="s">
        <v>288</v>
      </c>
      <c r="G46" s="19" t="s">
        <v>289</v>
      </c>
      <c r="H46" s="19"/>
      <c r="I46" s="19" t="s">
        <v>290</v>
      </c>
      <c r="J46" s="22"/>
      <c r="K46" s="24">
        <v>1</v>
      </c>
      <c r="L46" s="24">
        <v>11</v>
      </c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</row>
    <row r="47" spans="1:26" ht="16.149999999999999" customHeight="1" x14ac:dyDescent="0.25">
      <c r="A47" s="4">
        <v>45</v>
      </c>
      <c r="B47" s="4" t="str">
        <f t="shared" si="0"/>
        <v>DIO45</v>
      </c>
      <c r="C47" s="4" t="s">
        <v>113</v>
      </c>
      <c r="D47" s="24">
        <v>4</v>
      </c>
      <c r="E47" s="19" t="str">
        <f t="shared" si="1"/>
        <v>#if (defined(SERVO4_PORT) &amp;&amp; defined(SERVO4_BIT))
#define SERVO4 45
#define SERVO4_MBED_PIN __mbedpin__(SERVO4_PORT, SERVO4_BIT)
#define SERVO4_GPIOREG __gpioreg__(SERVO4_PORT)
#if (SERVO4_BIT &lt; 16)
#define SERVO4_PINHALF L
#else
#define SERVO4_PINHALF H
#endif
#define SERVO4_PINCON __pincon__(SERVO4_PORT, SERVO4_PINHALF)
#define DIO45 45
#define DIO45_MBED_PIN SERVO4_MBED_PIN
#define DIO45_PORT SERVO4_PORT
#define DIO45_BIT SERVO4_BIT
#define DIO45_GPIOREG SERVO4_GPIOREG
#define DIO45_PINHALF SERVO4_PINHALF
#define DIO45_PINCON SERVO4_PINCON
#endif</v>
      </c>
      <c r="F47" s="19" t="s">
        <v>291</v>
      </c>
      <c r="G47" s="19" t="s">
        <v>292</v>
      </c>
      <c r="H47" s="19"/>
      <c r="I47" s="19" t="s">
        <v>293</v>
      </c>
      <c r="J47" s="22"/>
      <c r="K47" s="24">
        <v>1</v>
      </c>
      <c r="L47" s="24">
        <v>12</v>
      </c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</row>
    <row r="48" spans="1:26" ht="16.149999999999999" customHeight="1" x14ac:dyDescent="0.25">
      <c r="A48" s="4">
        <v>46</v>
      </c>
      <c r="B48" s="4" t="str">
        <f t="shared" si="0"/>
        <v>DIO46</v>
      </c>
      <c r="C48" s="4" t="s">
        <v>114</v>
      </c>
      <c r="D48" s="24">
        <v>5</v>
      </c>
      <c r="E48" s="19" t="str">
        <f t="shared" si="1"/>
        <v>#if (defined(SERVO5_PORT) &amp;&amp; defined(SERVO5_BIT))
#define SERVO5 46
#define SERVO5_MBED_PIN __mbedpin__(SERVO5_PORT, SERVO5_BIT)
#define SERVO5_GPIOREG __gpioreg__(SERVO5_PORT)
#if (SERVO5_BIT &lt; 16)
#define SERVO5_PINHALF L
#else
#define SERVO5_PINHALF H
#endif
#define SERVO5_PINCON __pincon__(SERVO5_PORT, SERVO5_PINHALF)
#define DIO46 46
#define DIO46_MBED_PIN SERVO5_MBED_PIN
#define DIO46_PORT SERVO5_PORT
#define DIO46_BIT SERVO5_BIT
#define DIO46_GPIOREG SERVO5_GPIOREG
#define DIO46_PINHALF SERVO5_PINHALF
#define DIO46_PINCON SERVO5_PINCON
#endif</v>
      </c>
      <c r="F48" s="19" t="s">
        <v>294</v>
      </c>
      <c r="G48" s="19" t="s">
        <v>295</v>
      </c>
      <c r="H48" s="19"/>
      <c r="I48" s="19" t="s">
        <v>296</v>
      </c>
      <c r="J48" s="22"/>
      <c r="K48" s="24">
        <v>1</v>
      </c>
      <c r="L48" s="24">
        <v>13</v>
      </c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</row>
    <row r="49" spans="1:26" ht="16.149999999999999" customHeight="1" x14ac:dyDescent="0.25">
      <c r="A49" s="4">
        <v>47</v>
      </c>
      <c r="B49" s="4" t="str">
        <f t="shared" si="0"/>
        <v>DIO47</v>
      </c>
      <c r="C49" s="4" t="s">
        <v>43</v>
      </c>
      <c r="D49" s="24">
        <v>0</v>
      </c>
      <c r="E49" s="19" t="str">
        <f t="shared" si="1"/>
        <v>#if (defined(DOUT0_PORT) &amp;&amp; defined(DOUT0_BIT))
#define DOUT0 47
#define DOUT0_MBED_PIN __mbedpin__(DOUT0_PORT, DOUT0_BIT)
#define DOUT0_GPIOREG __gpioreg__(DOUT0_PORT)
#if (DOUT0_BIT &lt; 16)
#define DOUT0_PINHALF L
#else
#define DOUT0_PINHALF H
#endif
#define DOUT0_PINCON __pincon__(DOUT0_PORT, DOUT0_PINHALF)
#define DIO47 47
#define DIO47_MBED_PIN DOUT0_MBED_PIN
#define DIO47_PORT DOUT0_PORT
#define DIO47_BIT DOUT0_BIT
#define DIO47_GPIOREG DOUT0_GPIOREG
#define DIO47_PINHALF DOUT0_PINHALF
#define DIO47_PINCON DOUT0_PINCON
#endif</v>
      </c>
      <c r="F49" s="19"/>
      <c r="G49" s="19"/>
      <c r="H49" s="19"/>
      <c r="I49" s="19" t="s">
        <v>297</v>
      </c>
      <c r="J49" s="22"/>
      <c r="K49" s="24">
        <v>1</v>
      </c>
      <c r="L49" s="24">
        <v>14</v>
      </c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</row>
    <row r="50" spans="1:26" ht="16.149999999999999" customHeight="1" x14ac:dyDescent="0.25">
      <c r="A50" s="4">
        <v>48</v>
      </c>
      <c r="B50" s="4" t="str">
        <f t="shared" si="0"/>
        <v>DIO48</v>
      </c>
      <c r="C50" s="4" t="s">
        <v>44</v>
      </c>
      <c r="D50" s="24">
        <v>1</v>
      </c>
      <c r="E50" s="19" t="str">
        <f t="shared" si="1"/>
        <v>#if (defined(DOUT1_PORT) &amp;&amp; defined(DOUT1_BIT))
#define DOUT1 48
#define DOUT1_MBED_PIN __mbedpin__(DOUT1_PORT, DOUT1_BIT)
#define DOUT1_GPIOREG __gpioreg__(DOUT1_PORT)
#if (DOUT1_BIT &lt; 16)
#define DOUT1_PINHALF L
#else
#define DOUT1_PINHALF H
#endif
#define DOUT1_PINCON __pincon__(DOUT1_PORT, DOUT1_PINHALF)
#define DIO48 48
#define DIO48_MBED_PIN DOUT1_MBED_PIN
#define DIO48_PORT DOUT1_PORT
#define DIO48_BIT DOUT1_BIT
#define DIO48_GPIOREG DOUT1_GPIOREG
#define DIO48_PINHALF DOUT1_PINHALF
#define DIO48_PINCON DOUT1_PINCON
#endif</v>
      </c>
      <c r="F50" s="19"/>
      <c r="G50" s="19"/>
      <c r="H50" s="19"/>
      <c r="I50" s="19" t="s">
        <v>298</v>
      </c>
      <c r="J50" s="22"/>
      <c r="K50" s="24">
        <v>1</v>
      </c>
      <c r="L50" s="24">
        <v>15</v>
      </c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</row>
    <row r="51" spans="1:26" ht="16.149999999999999" customHeight="1" x14ac:dyDescent="0.25">
      <c r="A51" s="4">
        <v>49</v>
      </c>
      <c r="B51" s="4" t="str">
        <f t="shared" si="0"/>
        <v>DIO49</v>
      </c>
      <c r="C51" s="4" t="s">
        <v>45</v>
      </c>
      <c r="D51" s="24">
        <v>2</v>
      </c>
      <c r="E51" s="19" t="str">
        <f t="shared" si="1"/>
        <v>#if (defined(DOUT2_PORT) &amp;&amp; defined(DOUT2_BIT))
#define DOUT2 49
#define DOUT2_MBED_PIN __mbedpin__(DOUT2_PORT, DOUT2_BIT)
#define DOUT2_GPIOREG __gpioreg__(DOUT2_PORT)
#if (DOUT2_BIT &lt; 16)
#define DOUT2_PINHALF L
#else
#define DOUT2_PINHALF H
#endif
#define DOUT2_PINCON __pincon__(DOUT2_PORT, DOUT2_PINHALF)
#define DIO49 49
#define DIO49_MBED_PIN DOUT2_MBED_PIN
#define DIO49_PORT DOUT2_PORT
#define DIO49_BIT DOUT2_BIT
#define DIO49_GPIOREG DOUT2_GPIOREG
#define DIO49_PINHALF DOUT2_PINHALF
#define DIO49_PINCON DOUT2_PINCON
#endif</v>
      </c>
      <c r="F51" s="19"/>
      <c r="G51" s="19"/>
      <c r="H51" s="19"/>
      <c r="I51" s="19" t="s">
        <v>299</v>
      </c>
      <c r="J51" s="22"/>
      <c r="K51" s="24">
        <v>1</v>
      </c>
      <c r="L51" s="24">
        <v>16</v>
      </c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  <c r="X51" s="22"/>
      <c r="Y51" s="22"/>
      <c r="Z51" s="22"/>
    </row>
    <row r="52" spans="1:26" ht="16.149999999999999" customHeight="1" x14ac:dyDescent="0.25">
      <c r="A52" s="4">
        <v>50</v>
      </c>
      <c r="B52" s="4" t="str">
        <f t="shared" si="0"/>
        <v>DIO50</v>
      </c>
      <c r="C52" s="4" t="s">
        <v>46</v>
      </c>
      <c r="D52" s="24">
        <v>3</v>
      </c>
      <c r="E52" s="19" t="str">
        <f t="shared" si="1"/>
        <v>#if (defined(DOUT3_PORT) &amp;&amp; defined(DOUT3_BIT))
#define DOUT3 50
#define DOUT3_MBED_PIN __mbedpin__(DOUT3_PORT, DOUT3_BIT)
#define DOUT3_GPIOREG __gpioreg__(DOUT3_PORT)
#if (DOUT3_BIT &lt; 16)
#define DOUT3_PINHALF L
#else
#define DOUT3_PINHALF H
#endif
#define DOUT3_PINCON __pincon__(DOUT3_PORT, DOUT3_PINHALF)
#define DIO50 50
#define DIO50_MBED_PIN DOUT3_MBED_PIN
#define DIO50_PORT DOUT3_PORT
#define DIO50_BIT DOUT3_BIT
#define DIO50_GPIOREG DOUT3_GPIOREG
#define DIO50_PINHALF DOUT3_PINHALF
#define DIO50_PINCON DOUT3_PINCON
#endif</v>
      </c>
      <c r="F52" s="19"/>
      <c r="G52" s="19"/>
      <c r="H52" s="19"/>
      <c r="I52" s="19" t="s">
        <v>300</v>
      </c>
      <c r="J52" s="22"/>
      <c r="K52" s="24">
        <v>1</v>
      </c>
      <c r="L52" s="24">
        <v>17</v>
      </c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</row>
    <row r="53" spans="1:26" ht="16.149999999999999" customHeight="1" x14ac:dyDescent="0.25">
      <c r="A53" s="4">
        <v>51</v>
      </c>
      <c r="B53" s="4" t="str">
        <f t="shared" si="0"/>
        <v>DIO51</v>
      </c>
      <c r="C53" s="4" t="s">
        <v>47</v>
      </c>
      <c r="D53" s="24">
        <v>4</v>
      </c>
      <c r="E53" s="19" t="str">
        <f t="shared" si="1"/>
        <v>#if (defined(DOUT4_PORT) &amp;&amp; defined(DOUT4_BIT))
#define DOUT4 51
#define DOUT4_MBED_PIN __mbedpin__(DOUT4_PORT, DOUT4_BIT)
#define DOUT4_GPIOREG __gpioreg__(DOUT4_PORT)
#if (DOUT4_BIT &lt; 16)
#define DOUT4_PINHALF L
#else
#define DOUT4_PINHALF H
#endif
#define DOUT4_PINCON __pincon__(DOUT4_PORT, DOUT4_PINHALF)
#define DIO51 51
#define DIO51_MBED_PIN DOUT4_MBED_PIN
#define DIO51_PORT DOUT4_PORT
#define DIO51_BIT DOUT4_BIT
#define DIO51_GPIOREG DOUT4_GPIOREG
#define DIO51_PINHALF DOUT4_PINHALF
#define DIO51_PINCON DOUT4_PINCON
#endif</v>
      </c>
      <c r="F53" s="19"/>
      <c r="G53" s="19"/>
      <c r="H53" s="19"/>
      <c r="I53" s="19" t="s">
        <v>301</v>
      </c>
      <c r="J53" s="22"/>
      <c r="K53" s="24">
        <v>1</v>
      </c>
      <c r="L53" s="24">
        <v>18</v>
      </c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</row>
    <row r="54" spans="1:26" ht="16.149999999999999" customHeight="1" x14ac:dyDescent="0.25">
      <c r="A54" s="4">
        <v>52</v>
      </c>
      <c r="B54" s="4" t="str">
        <f t="shared" si="0"/>
        <v>DIO52</v>
      </c>
      <c r="C54" s="4" t="s">
        <v>48</v>
      </c>
      <c r="D54" s="24">
        <v>5</v>
      </c>
      <c r="E54" s="19" t="str">
        <f t="shared" si="1"/>
        <v>#if (defined(DOUT5_PORT) &amp;&amp; defined(DOUT5_BIT))
#define DOUT5 52
#define DOUT5_MBED_PIN __mbedpin__(DOUT5_PORT, DOUT5_BIT)
#define DOUT5_GPIOREG __gpioreg__(DOUT5_PORT)
#if (DOUT5_BIT &lt; 16)
#define DOUT5_PINHALF L
#else
#define DOUT5_PINHALF H
#endif
#define DOUT5_PINCON __pincon__(DOUT5_PORT, DOUT5_PINHALF)
#define DIO52 52
#define DIO52_MBED_PIN DOUT5_MBED_PIN
#define DIO52_PORT DOUT5_PORT
#define DIO52_BIT DOUT5_BIT
#define DIO52_GPIOREG DOUT5_GPIOREG
#define DIO52_PINHALF DOUT5_PINHALF
#define DIO52_PINCON DOUT5_PINCON
#endif</v>
      </c>
      <c r="F54" s="19"/>
      <c r="G54" s="19"/>
      <c r="H54" s="19"/>
      <c r="I54" s="19" t="s">
        <v>302</v>
      </c>
      <c r="J54" s="22"/>
      <c r="K54" s="24">
        <v>1</v>
      </c>
      <c r="L54" s="24">
        <v>19</v>
      </c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</row>
    <row r="55" spans="1:26" ht="16.149999999999999" customHeight="1" x14ac:dyDescent="0.25">
      <c r="A55" s="4">
        <v>53</v>
      </c>
      <c r="B55" s="4" t="str">
        <f t="shared" si="0"/>
        <v>DIO53</v>
      </c>
      <c r="C55" s="4" t="s">
        <v>49</v>
      </c>
      <c r="D55" s="24">
        <v>6</v>
      </c>
      <c r="E55" s="19" t="str">
        <f t="shared" si="1"/>
        <v>#if (defined(DOUT6_PORT) &amp;&amp; defined(DOUT6_BIT))
#define DOUT6 53
#define DOUT6_MBED_PIN __mbedpin__(DOUT6_PORT, DOUT6_BIT)
#define DOUT6_GPIOREG __gpioreg__(DOUT6_PORT)
#if (DOUT6_BIT &lt; 16)
#define DOUT6_PINHALF L
#else
#define DOUT6_PINHALF H
#endif
#define DOUT6_PINCON __pincon__(DOUT6_PORT, DOUT6_PINHALF)
#define DIO53 53
#define DIO53_MBED_PIN DOUT6_MBED_PIN
#define DIO53_PORT DOUT6_PORT
#define DIO53_BIT DOUT6_BIT
#define DIO53_GPIOREG DOUT6_GPIOREG
#define DIO53_PINHALF DOUT6_PINHALF
#define DIO53_PINCON DOUT6_PINCON
#endif</v>
      </c>
      <c r="F55" s="19"/>
      <c r="G55" s="19"/>
      <c r="H55" s="19"/>
      <c r="I55" s="19" t="s">
        <v>303</v>
      </c>
      <c r="J55" s="22"/>
      <c r="K55" s="24">
        <v>1</v>
      </c>
      <c r="L55" s="24">
        <v>20</v>
      </c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</row>
    <row r="56" spans="1:26" ht="16.149999999999999" customHeight="1" x14ac:dyDescent="0.25">
      <c r="A56" s="4">
        <v>54</v>
      </c>
      <c r="B56" s="4" t="str">
        <f t="shared" si="0"/>
        <v>DIO54</v>
      </c>
      <c r="C56" s="4" t="s">
        <v>50</v>
      </c>
      <c r="D56" s="24">
        <v>7</v>
      </c>
      <c r="E56" s="19" t="str">
        <f t="shared" si="1"/>
        <v>#if (defined(DOUT7_PORT) &amp;&amp; defined(DOUT7_BIT))
#define DOUT7 54
#define DOUT7_MBED_PIN __mbedpin__(DOUT7_PORT, DOUT7_BIT)
#define DOUT7_GPIOREG __gpioreg__(DOUT7_PORT)
#if (DOUT7_BIT &lt; 16)
#define DOUT7_PINHALF L
#else
#define DOUT7_PINHALF H
#endif
#define DOUT7_PINCON __pincon__(DOUT7_PORT, DOUT7_PINHALF)
#define DIO54 54
#define DIO54_MBED_PIN DOUT7_MBED_PIN
#define DIO54_PORT DOUT7_PORT
#define DIO54_BIT DOUT7_BIT
#define DIO54_GPIOREG DOUT7_GPIOREG
#define DIO54_PINHALF DOUT7_PINHALF
#define DIO54_PINCON DOUT7_PINCON
#endif</v>
      </c>
      <c r="F56" s="19"/>
      <c r="G56" s="19"/>
      <c r="H56" s="19"/>
      <c r="I56" s="19" t="s">
        <v>304</v>
      </c>
      <c r="J56" s="22"/>
      <c r="K56" s="24">
        <v>1</v>
      </c>
      <c r="L56" s="24">
        <v>21</v>
      </c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</row>
    <row r="57" spans="1:26" ht="16.149999999999999" customHeight="1" x14ac:dyDescent="0.25">
      <c r="A57" s="4">
        <v>55</v>
      </c>
      <c r="B57" s="4" t="str">
        <f t="shared" si="0"/>
        <v>DIO55</v>
      </c>
      <c r="C57" s="4" t="s">
        <v>51</v>
      </c>
      <c r="D57" s="24">
        <v>8</v>
      </c>
      <c r="E57" s="19" t="str">
        <f t="shared" si="1"/>
        <v>#if (defined(DOUT8_PORT) &amp;&amp; defined(DOUT8_BIT))
#define DOUT8 55
#define DOUT8_MBED_PIN __mbedpin__(DOUT8_PORT, DOUT8_BIT)
#define DOUT8_GPIOREG __gpioreg__(DOUT8_PORT)
#if (DOUT8_BIT &lt; 16)
#define DOUT8_PINHALF L
#else
#define DOUT8_PINHALF H
#endif
#define DOUT8_PINCON __pincon__(DOUT8_PORT, DOUT8_PINHALF)
#define DIO55 55
#define DIO55_MBED_PIN DOUT8_MBED_PIN
#define DIO55_PORT DOUT8_PORT
#define DIO55_BIT DOUT8_BIT
#define DIO55_GPIOREG DOUT8_GPIOREG
#define DIO55_PINHALF DOUT8_PINHALF
#define DIO55_PINCON DOUT8_PINCON
#endif</v>
      </c>
      <c r="F57" s="19"/>
      <c r="G57" s="19"/>
      <c r="H57" s="19"/>
      <c r="I57" s="19" t="s">
        <v>305</v>
      </c>
      <c r="J57" s="22"/>
      <c r="K57" s="24">
        <v>1</v>
      </c>
      <c r="L57" s="24">
        <v>22</v>
      </c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</row>
    <row r="58" spans="1:26" ht="16.149999999999999" customHeight="1" x14ac:dyDescent="0.25">
      <c r="A58" s="4">
        <v>56</v>
      </c>
      <c r="B58" s="4" t="str">
        <f t="shared" si="0"/>
        <v>DIO56</v>
      </c>
      <c r="C58" s="4" t="s">
        <v>52</v>
      </c>
      <c r="D58" s="24">
        <v>9</v>
      </c>
      <c r="E58" s="19" t="str">
        <f t="shared" si="1"/>
        <v>#if (defined(DOUT9_PORT) &amp;&amp; defined(DOUT9_BIT))
#define DOUT9 56
#define DOUT9_MBED_PIN __mbedpin__(DOUT9_PORT, DOUT9_BIT)
#define DOUT9_GPIOREG __gpioreg__(DOUT9_PORT)
#if (DOUT9_BIT &lt; 16)
#define DOUT9_PINHALF L
#else
#define DOUT9_PINHALF H
#endif
#define DOUT9_PINCON __pincon__(DOUT9_PORT, DOUT9_PINHALF)
#define DIO56 56
#define DIO56_MBED_PIN DOUT9_MBED_PIN
#define DIO56_PORT DOUT9_PORT
#define DIO56_BIT DOUT9_BIT
#define DIO56_GPIOREG DOUT9_GPIOREG
#define DIO56_PINHALF DOUT9_PINHALF
#define DIO56_PINCON DOUT9_PINCON
#endif</v>
      </c>
      <c r="F58" s="19"/>
      <c r="G58" s="19"/>
      <c r="H58" s="19"/>
      <c r="I58" s="19" t="s">
        <v>306</v>
      </c>
      <c r="J58" s="22"/>
      <c r="K58" s="24">
        <v>1</v>
      </c>
      <c r="L58" s="24">
        <v>23</v>
      </c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</row>
    <row r="59" spans="1:26" ht="16.149999999999999" customHeight="1" x14ac:dyDescent="0.25">
      <c r="A59" s="4">
        <v>57</v>
      </c>
      <c r="B59" s="4" t="str">
        <f t="shared" si="0"/>
        <v>DIO57</v>
      </c>
      <c r="C59" s="4" t="s">
        <v>53</v>
      </c>
      <c r="D59" s="24">
        <v>10</v>
      </c>
      <c r="E59" s="19" t="str">
        <f t="shared" si="1"/>
        <v>#if (defined(DOUT10_PORT) &amp;&amp; defined(DOUT10_BIT))
#define DOUT10 57
#define DOUT10_MBED_PIN __mbedpin__(DOUT10_PORT, DOUT10_BIT)
#define DOUT10_GPIOREG __gpioreg__(DOUT10_PORT)
#if (DOUT10_BIT &lt; 16)
#define DOUT10_PINHALF L
#else
#define DOUT10_PINHALF H
#endif
#define DOUT10_PINCON __pincon__(DOUT10_PORT, DOUT10_PINHALF)
#define DIO57 57
#define DIO57_MBED_PIN DOUT10_MBED_PIN
#define DIO57_PORT DOUT10_PORT
#define DIO57_BIT DOUT10_BIT
#define DIO57_GPIOREG DOUT10_GPIOREG
#define DIO57_PINHALF DOUT10_PINHALF
#define DIO57_PINCON DOUT10_PINCON
#endif</v>
      </c>
      <c r="F59" s="19"/>
      <c r="G59" s="19"/>
      <c r="H59" s="19"/>
      <c r="I59" s="19" t="s">
        <v>307</v>
      </c>
      <c r="J59" s="22"/>
      <c r="K59" s="24">
        <v>1</v>
      </c>
      <c r="L59" s="24">
        <v>24</v>
      </c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</row>
    <row r="60" spans="1:26" ht="16.149999999999999" customHeight="1" x14ac:dyDescent="0.25">
      <c r="A60" s="4">
        <v>58</v>
      </c>
      <c r="B60" s="4" t="str">
        <f t="shared" si="0"/>
        <v>DIO58</v>
      </c>
      <c r="C60" s="4" t="s">
        <v>54</v>
      </c>
      <c r="D60" s="24">
        <v>11</v>
      </c>
      <c r="E60" s="19" t="str">
        <f t="shared" si="1"/>
        <v>#if (defined(DOUT11_PORT) &amp;&amp; defined(DOUT11_BIT))
#define DOUT11 58
#define DOUT11_MBED_PIN __mbedpin__(DOUT11_PORT, DOUT11_BIT)
#define DOUT11_GPIOREG __gpioreg__(DOUT11_PORT)
#if (DOUT11_BIT &lt; 16)
#define DOUT11_PINHALF L
#else
#define DOUT11_PINHALF H
#endif
#define DOUT11_PINCON __pincon__(DOUT11_PORT, DOUT11_PINHALF)
#define DIO58 58
#define DIO58_MBED_PIN DOUT11_MBED_PIN
#define DIO58_PORT DOUT11_PORT
#define DIO58_BIT DOUT11_BIT
#define DIO58_GPIOREG DOUT11_GPIOREG
#define DIO58_PINHALF DOUT11_PINHALF
#define DIO58_PINCON DOUT11_PINCON
#endif</v>
      </c>
      <c r="F60" s="22"/>
      <c r="G60" s="19"/>
      <c r="H60" s="19"/>
      <c r="I60" s="19" t="s">
        <v>308</v>
      </c>
      <c r="J60" s="22"/>
      <c r="K60" s="24">
        <v>1</v>
      </c>
      <c r="L60" s="24">
        <v>25</v>
      </c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</row>
    <row r="61" spans="1:26" ht="16.149999999999999" customHeight="1" x14ac:dyDescent="0.25">
      <c r="A61" s="4">
        <v>59</v>
      </c>
      <c r="B61" s="4" t="str">
        <f t="shared" si="0"/>
        <v>DIO59</v>
      </c>
      <c r="C61" s="4" t="s">
        <v>55</v>
      </c>
      <c r="D61" s="24">
        <v>12</v>
      </c>
      <c r="E61" s="19" t="str">
        <f t="shared" si="1"/>
        <v>#if (defined(DOUT12_PORT) &amp;&amp; defined(DOUT12_BIT))
#define DOUT12 59
#define DOUT12_MBED_PIN __mbedpin__(DOUT12_PORT, DOUT12_BIT)
#define DOUT12_GPIOREG __gpioreg__(DOUT12_PORT)
#if (DOUT12_BIT &lt; 16)
#define DOUT12_PINHALF L
#else
#define DOUT12_PINHALF H
#endif
#define DOUT12_PINCON __pincon__(DOUT12_PORT, DOUT12_PINHALF)
#define DIO59 59
#define DIO59_MBED_PIN DOUT12_MBED_PIN
#define DIO59_PORT DOUT12_PORT
#define DIO59_BIT DOUT12_BIT
#define DIO59_GPIOREG DOUT12_GPIOREG
#define DIO59_PINHALF DOUT12_PINHALF
#define DIO59_PINCON DOUT12_PINCON
#endif</v>
      </c>
      <c r="F61" s="22"/>
      <c r="G61" s="19"/>
      <c r="H61" s="19"/>
      <c r="I61" s="19" t="s">
        <v>309</v>
      </c>
      <c r="J61" s="22"/>
      <c r="K61" s="24">
        <v>1</v>
      </c>
      <c r="L61" s="24">
        <v>26</v>
      </c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</row>
    <row r="62" spans="1:26" ht="16.149999999999999" customHeight="1" x14ac:dyDescent="0.25">
      <c r="A62" s="4">
        <v>60</v>
      </c>
      <c r="B62" s="4" t="str">
        <f t="shared" si="0"/>
        <v>DIO60</v>
      </c>
      <c r="C62" s="4" t="s">
        <v>56</v>
      </c>
      <c r="D62" s="24">
        <v>13</v>
      </c>
      <c r="E62" s="19" t="str">
        <f t="shared" si="1"/>
        <v>#if (defined(DOUT13_PORT) &amp;&amp; defined(DOUT13_BIT))
#define DOUT13 60
#define DOUT13_MBED_PIN __mbedpin__(DOUT13_PORT, DOUT13_BIT)
#define DOUT13_GPIOREG __gpioreg__(DOUT13_PORT)
#if (DOUT13_BIT &lt; 16)
#define DOUT13_PINHALF L
#else
#define DOUT13_PINHALF H
#endif
#define DOUT13_PINCON __pincon__(DOUT13_PORT, DOUT13_PINHALF)
#define DIO60 60
#define DIO60_MBED_PIN DOUT13_MBED_PIN
#define DIO60_PORT DOUT13_PORT
#define DIO60_BIT DOUT13_BIT
#define DIO60_GPIOREG DOUT13_GPIOREG
#define DIO60_PINHALF DOUT13_PINHALF
#define DIO60_PINCON DOUT13_PINCON
#endif</v>
      </c>
      <c r="F62" s="22"/>
      <c r="G62" s="19"/>
      <c r="H62" s="19"/>
      <c r="I62" s="19" t="s">
        <v>310</v>
      </c>
      <c r="J62" s="22"/>
      <c r="K62" s="24">
        <v>1</v>
      </c>
      <c r="L62" s="24">
        <v>27</v>
      </c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</row>
    <row r="63" spans="1:26" ht="16.149999999999999" customHeight="1" x14ac:dyDescent="0.25">
      <c r="A63" s="4">
        <v>61</v>
      </c>
      <c r="B63" s="4" t="str">
        <f t="shared" si="0"/>
        <v>DIO61</v>
      </c>
      <c r="C63" s="4" t="s">
        <v>57</v>
      </c>
      <c r="D63" s="24">
        <v>14</v>
      </c>
      <c r="E63" s="19" t="str">
        <f t="shared" si="1"/>
        <v>#if (defined(DOUT14_PORT) &amp;&amp; defined(DOUT14_BIT))
#define DOUT14 61
#define DOUT14_MBED_PIN __mbedpin__(DOUT14_PORT, DOUT14_BIT)
#define DOUT14_GPIOREG __gpioreg__(DOUT14_PORT)
#if (DOUT14_BIT &lt; 16)
#define DOUT14_PINHALF L
#else
#define DOUT14_PINHALF H
#endif
#define DOUT14_PINCON __pincon__(DOUT14_PORT, DOUT14_PINHALF)
#define DIO61 61
#define DIO61_MBED_PIN DOUT14_MBED_PIN
#define DIO61_PORT DOUT14_PORT
#define DIO61_BIT DOUT14_BIT
#define DIO61_GPIOREG DOUT14_GPIOREG
#define DIO61_PINHALF DOUT14_PINHALF
#define DIO61_PINCON DOUT14_PINCON
#endif</v>
      </c>
      <c r="F63" s="22"/>
      <c r="G63" s="19"/>
      <c r="H63" s="19"/>
      <c r="I63" s="19" t="s">
        <v>311</v>
      </c>
      <c r="J63" s="22"/>
      <c r="K63" s="24">
        <v>1</v>
      </c>
      <c r="L63" s="24">
        <v>28</v>
      </c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</row>
    <row r="64" spans="1:26" ht="16.149999999999999" customHeight="1" x14ac:dyDescent="0.25">
      <c r="A64" s="4">
        <v>62</v>
      </c>
      <c r="B64" s="4" t="str">
        <f t="shared" si="0"/>
        <v>DIO62</v>
      </c>
      <c r="C64" s="4" t="s">
        <v>58</v>
      </c>
      <c r="D64" s="24">
        <v>15</v>
      </c>
      <c r="E64" s="19" t="str">
        <f t="shared" si="1"/>
        <v>#if (defined(DOUT15_PORT) &amp;&amp; defined(DOUT15_BIT))
#define DOUT15 62
#define DOUT15_MBED_PIN __mbedpin__(DOUT15_PORT, DOUT15_BIT)
#define DOUT15_GPIOREG __gpioreg__(DOUT15_PORT)
#if (DOUT15_BIT &lt; 16)
#define DOUT15_PINHALF L
#else
#define DOUT15_PINHALF H
#endif
#define DOUT15_PINCON __pincon__(DOUT15_PORT, DOUT15_PINHALF)
#define DIO62 62
#define DIO62_MBED_PIN DOUT15_MBED_PIN
#define DIO62_PORT DOUT15_PORT
#define DIO62_BIT DOUT15_BIT
#define DIO62_GPIOREG DOUT15_GPIOREG
#define DIO62_PINHALF DOUT15_PINHALF
#define DIO62_PINCON DOUT15_PINCON
#endif</v>
      </c>
      <c r="F64" s="19"/>
      <c r="G64" s="19"/>
      <c r="H64" s="19"/>
      <c r="I64" s="19" t="s">
        <v>312</v>
      </c>
      <c r="J64" s="22"/>
      <c r="K64" s="24">
        <v>1</v>
      </c>
      <c r="L64" s="24">
        <v>29</v>
      </c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</row>
    <row r="65" spans="1:26" ht="16.149999999999999" customHeight="1" x14ac:dyDescent="0.25">
      <c r="A65" s="4">
        <v>63</v>
      </c>
      <c r="B65" s="4" t="str">
        <f t="shared" si="0"/>
        <v>DIO63</v>
      </c>
      <c r="C65" s="4" t="s">
        <v>191</v>
      </c>
      <c r="D65" s="24">
        <v>16</v>
      </c>
      <c r="E65" s="19" t="str">
        <f t="shared" si="1"/>
        <v>#if (defined(DOUT16_PORT) &amp;&amp; defined(DOUT16_BIT))
#define DOUT16 63
#define DOUT16_MBED_PIN __mbedpin__(DOUT16_PORT, DOUT16_BIT)
#define DOUT16_GPIOREG __gpioreg__(DOUT16_PORT)
#if (DOUT16_BIT &lt; 16)
#define DOUT16_PINHALF L
#else
#define DOUT16_PINHALF H
#endif
#define DOUT16_PINCON __pincon__(DOUT16_PORT, DOUT16_PINHALF)
#define DIO63 63
#define DIO63_MBED_PIN DOUT16_MBED_PIN
#define DIO63_PORT DOUT16_PORT
#define DIO63_BIT DOUT16_BIT
#define DIO63_GPIOREG DOUT16_GPIOREG
#define DIO63_PINHALF DOUT16_PINHALF
#define DIO63_PINCON DOUT16_PINCON
#endif</v>
      </c>
      <c r="F65" s="19"/>
      <c r="G65" s="19"/>
      <c r="H65" s="19"/>
      <c r="I65" s="19" t="s">
        <v>313</v>
      </c>
      <c r="J65" s="22"/>
      <c r="K65" s="24">
        <v>1</v>
      </c>
      <c r="L65" s="24">
        <v>30</v>
      </c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</row>
    <row r="66" spans="1:26" ht="16.149999999999999" customHeight="1" x14ac:dyDescent="0.25">
      <c r="A66" s="4">
        <v>64</v>
      </c>
      <c r="B66" s="4" t="str">
        <f t="shared" si="0"/>
        <v>DIO64</v>
      </c>
      <c r="C66" s="4" t="s">
        <v>192</v>
      </c>
      <c r="D66" s="24">
        <v>17</v>
      </c>
      <c r="E66" s="19" t="str">
        <f t="shared" si="1"/>
        <v>#if (defined(DOUT17_PORT) &amp;&amp; defined(DOUT17_BIT))
#define DOUT17 64
#define DOUT17_MBED_PIN __mbedpin__(DOUT17_PORT, DOUT17_BIT)
#define DOUT17_GPIOREG __gpioreg__(DOUT17_PORT)
#if (DOUT17_BIT &lt; 16)
#define DOUT17_PINHALF L
#else
#define DOUT17_PINHALF H
#endif
#define DOUT17_PINCON __pincon__(DOUT17_PORT, DOUT17_PINHALF)
#define DIO64 64
#define DIO64_MBED_PIN DOUT17_MBED_PIN
#define DIO64_PORT DOUT17_PORT
#define DIO64_BIT DOUT17_BIT
#define DIO64_GPIOREG DOUT17_GPIOREG
#define DIO64_PINHALF DOUT17_PINHALF
#define DIO64_PINCON DOUT17_PINCON
#endif</v>
      </c>
      <c r="F66" s="19"/>
      <c r="G66" s="19"/>
      <c r="H66" s="19"/>
      <c r="I66" s="19" t="s">
        <v>314</v>
      </c>
      <c r="J66" s="22"/>
      <c r="K66" s="24">
        <v>1</v>
      </c>
      <c r="L66" s="24">
        <v>31</v>
      </c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</row>
    <row r="67" spans="1:26" ht="16.149999999999999" customHeight="1" x14ac:dyDescent="0.25">
      <c r="A67" s="4">
        <v>65</v>
      </c>
      <c r="B67" s="4" t="str">
        <f t="shared" si="0"/>
        <v>DIO65</v>
      </c>
      <c r="C67" s="4" t="s">
        <v>193</v>
      </c>
      <c r="D67" s="24">
        <v>18</v>
      </c>
      <c r="E67" s="19" t="str">
        <f t="shared" si="1"/>
        <v>#if (defined(DOUT18_PORT) &amp;&amp; defined(DOUT18_BIT))
#define DOUT18 65
#define DOUT18_MBED_PIN __mbedpin__(DOUT18_PORT, DOUT18_BIT)
#define DOUT18_GPIOREG __gpioreg__(DOUT18_PORT)
#if (DOUT18_BIT &lt; 16)
#define DOUT18_PINHALF L
#else
#define DOUT18_PINHALF H
#endif
#define DOUT18_PINCON __pincon__(DOUT18_PORT, DOUT18_PINHALF)
#define DIO65 65
#define DIO65_MBED_PIN DOUT18_MBED_PIN
#define DIO65_PORT DOUT18_PORT
#define DIO65_BIT DOUT18_BIT
#define DIO65_GPIOREG DOUT18_GPIOREG
#define DIO65_PINHALF DOUT18_PINHALF
#define DIO65_PINCON DOUT18_PINCON
#endif</v>
      </c>
      <c r="F67" s="19"/>
      <c r="G67" s="19"/>
      <c r="H67" s="19"/>
      <c r="I67" s="19" t="s">
        <v>315</v>
      </c>
      <c r="J67" s="22"/>
      <c r="K67" s="24">
        <v>2</v>
      </c>
      <c r="L67" s="24">
        <v>0</v>
      </c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</row>
    <row r="68" spans="1:26" ht="16.149999999999999" customHeight="1" x14ac:dyDescent="0.25">
      <c r="A68" s="4">
        <v>66</v>
      </c>
      <c r="B68" s="4" t="str">
        <f t="shared" si="0"/>
        <v>DIO66</v>
      </c>
      <c r="C68" s="4" t="s">
        <v>194</v>
      </c>
      <c r="D68" s="24">
        <v>19</v>
      </c>
      <c r="E68" s="19" t="str">
        <f t="shared" ref="E68:E80" si="3">"#if (defined("&amp;C68&amp;"_PORT) &amp;&amp; defined("&amp;C68&amp;"_BIT))
#define "&amp;C68&amp;" "&amp;A68&amp;"
#define "&amp;C68&amp;"_MBED_PIN __mbedpin__("&amp;C68&amp;"_PORT, "&amp;C68&amp;"_BIT)
#define "&amp;C68&amp;"_GPIOREG __gpioreg__("&amp;C68&amp;"_PORT)
#if ("&amp;C68&amp;"_BIT &lt; 16)
#define "&amp;C68&amp;"_PINHALF L
#else
#define "&amp;C68&amp;"_PINHALF H
#endif
#define "&amp;C68&amp;"_PINCON __pincon__("&amp;C68&amp;"_PORT, "&amp;C68&amp;"_PINHALF)
#define "&amp;B68&amp;" "&amp;A68&amp;"
#define "&amp;B68&amp;"_MBED_PIN "&amp;C68&amp;"_MBED_PIN
#define "&amp;B68&amp;"_PORT "&amp;C68&amp;"_PORT
#define "&amp;B68&amp;"_BIT "&amp;C68&amp;"_BIT
#define "&amp;B68&amp;"_GPIOREG "&amp;C68&amp;"_GPIOREG
#define "&amp;B68&amp;"_PINHALF "&amp;C68&amp;"_PINHALF
#define "&amp;B68&amp;"_PINCON "&amp;C68&amp;"_PINCON
#endif"</f>
        <v>#if (defined(DOUT19_PORT) &amp;&amp; defined(DOUT19_BIT))
#define DOUT19 66
#define DOUT19_MBED_PIN __mbedpin__(DOUT19_PORT, DOUT19_BIT)
#define DOUT19_GPIOREG __gpioreg__(DOUT19_PORT)
#if (DOUT19_BIT &lt; 16)
#define DOUT19_PINHALF L
#else
#define DOUT19_PINHALF H
#endif
#define DOUT19_PINCON __pincon__(DOUT19_PORT, DOUT19_PINHALF)
#define DIO66 66
#define DIO66_MBED_PIN DOUT19_MBED_PIN
#define DIO66_PORT DOUT19_PORT
#define DIO66_BIT DOUT19_BIT
#define DIO66_GPIOREG DOUT19_GPIOREG
#define DIO66_PINHALF DOUT19_PINHALF
#define DIO66_PINCON DOUT19_PINCON
#endif</v>
      </c>
      <c r="F68" s="19"/>
      <c r="G68" s="19"/>
      <c r="H68" s="19"/>
      <c r="I68" s="19" t="s">
        <v>316</v>
      </c>
      <c r="J68" s="22"/>
      <c r="K68" s="24">
        <v>2</v>
      </c>
      <c r="L68" s="24">
        <v>1</v>
      </c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</row>
    <row r="69" spans="1:26" ht="16.149999999999999" customHeight="1" x14ac:dyDescent="0.25">
      <c r="A69" s="4">
        <v>67</v>
      </c>
      <c r="B69" s="4" t="str">
        <f t="shared" si="0"/>
        <v>DIO67</v>
      </c>
      <c r="C69" s="4" t="s">
        <v>195</v>
      </c>
      <c r="D69" s="24">
        <v>20</v>
      </c>
      <c r="E69" s="19" t="str">
        <f t="shared" si="3"/>
        <v>#if (defined(DOUT20_PORT) &amp;&amp; defined(DOUT20_BIT))
#define DOUT20 67
#define DOUT20_MBED_PIN __mbedpin__(DOUT20_PORT, DOUT20_BIT)
#define DOUT20_GPIOREG __gpioreg__(DOUT20_PORT)
#if (DOUT20_BIT &lt; 16)
#define DOUT20_PINHALF L
#else
#define DOUT20_PINHALF H
#endif
#define DOUT20_PINCON __pincon__(DOUT20_PORT, DOUT20_PINHALF)
#define DIO67 67
#define DIO67_MBED_PIN DOUT20_MBED_PIN
#define DIO67_PORT DOUT20_PORT
#define DIO67_BIT DOUT20_BIT
#define DIO67_GPIOREG DOUT20_GPIOREG
#define DIO67_PINHALF DOUT20_PINHALF
#define DIO67_PINCON DOUT20_PINCON
#endif</v>
      </c>
      <c r="F69" s="19"/>
      <c r="G69" s="19"/>
      <c r="H69" s="19"/>
      <c r="I69" s="19" t="s">
        <v>317</v>
      </c>
      <c r="J69" s="22"/>
      <c r="K69" s="24">
        <v>2</v>
      </c>
      <c r="L69" s="24">
        <v>2</v>
      </c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</row>
    <row r="70" spans="1:26" ht="16.149999999999999" customHeight="1" x14ac:dyDescent="0.25">
      <c r="A70" s="4">
        <v>68</v>
      </c>
      <c r="B70" s="4" t="str">
        <f t="shared" si="0"/>
        <v>DIO68</v>
      </c>
      <c r="C70" s="4" t="s">
        <v>196</v>
      </c>
      <c r="D70" s="24">
        <v>21</v>
      </c>
      <c r="E70" s="19" t="str">
        <f t="shared" si="3"/>
        <v>#if (defined(DOUT21_PORT) &amp;&amp; defined(DOUT21_BIT))
#define DOUT21 68
#define DOUT21_MBED_PIN __mbedpin__(DOUT21_PORT, DOUT21_BIT)
#define DOUT21_GPIOREG __gpioreg__(DOUT21_PORT)
#if (DOUT21_BIT &lt; 16)
#define DOUT21_PINHALF L
#else
#define DOUT21_PINHALF H
#endif
#define DOUT21_PINCON __pincon__(DOUT21_PORT, DOUT21_PINHALF)
#define DIO68 68
#define DIO68_MBED_PIN DOUT21_MBED_PIN
#define DIO68_PORT DOUT21_PORT
#define DIO68_BIT DOUT21_BIT
#define DIO68_GPIOREG DOUT21_GPIOREG
#define DIO68_PINHALF DOUT21_PINHALF
#define DIO68_PINCON DOUT21_PINCON
#endif</v>
      </c>
      <c r="F70" s="19"/>
      <c r="G70" s="19"/>
      <c r="H70" s="19"/>
      <c r="I70" s="19" t="s">
        <v>318</v>
      </c>
      <c r="J70" s="22"/>
      <c r="K70" s="24">
        <v>2</v>
      </c>
      <c r="L70" s="24">
        <v>3</v>
      </c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</row>
    <row r="71" spans="1:26" ht="16.149999999999999" customHeight="1" x14ac:dyDescent="0.25">
      <c r="A71" s="4">
        <v>69</v>
      </c>
      <c r="B71" s="4" t="str">
        <f t="shared" si="0"/>
        <v>DIO69</v>
      </c>
      <c r="C71" s="4" t="s">
        <v>197</v>
      </c>
      <c r="D71" s="24">
        <v>22</v>
      </c>
      <c r="E71" s="19" t="str">
        <f t="shared" si="3"/>
        <v>#if (defined(DOUT22_PORT) &amp;&amp; defined(DOUT22_BIT))
#define DOUT22 69
#define DOUT22_MBED_PIN __mbedpin__(DOUT22_PORT, DOUT22_BIT)
#define DOUT22_GPIOREG __gpioreg__(DOUT22_PORT)
#if (DOUT22_BIT &lt; 16)
#define DOUT22_PINHALF L
#else
#define DOUT22_PINHALF H
#endif
#define DOUT22_PINCON __pincon__(DOUT22_PORT, DOUT22_PINHALF)
#define DIO69 69
#define DIO69_MBED_PIN DOUT22_MBED_PIN
#define DIO69_PORT DOUT22_PORT
#define DIO69_BIT DOUT22_BIT
#define DIO69_GPIOREG DOUT22_GPIOREG
#define DIO69_PINHALF DOUT22_PINHALF
#define DIO69_PINCON DOUT22_PINCON
#endif</v>
      </c>
      <c r="F71" s="19"/>
      <c r="G71" s="19"/>
      <c r="H71" s="19"/>
      <c r="I71" s="19" t="s">
        <v>319</v>
      </c>
      <c r="J71" s="22"/>
      <c r="K71" s="24">
        <v>2</v>
      </c>
      <c r="L71" s="24">
        <v>4</v>
      </c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</row>
    <row r="72" spans="1:26" ht="16.149999999999999" customHeight="1" x14ac:dyDescent="0.25">
      <c r="A72" s="4">
        <v>70</v>
      </c>
      <c r="B72" s="4" t="str">
        <f t="shared" si="0"/>
        <v>DIO70</v>
      </c>
      <c r="C72" s="4" t="s">
        <v>198</v>
      </c>
      <c r="D72" s="24">
        <v>23</v>
      </c>
      <c r="E72" s="19" t="str">
        <f t="shared" si="3"/>
        <v>#if (defined(DOUT23_PORT) &amp;&amp; defined(DOUT23_BIT))
#define DOUT23 70
#define DOUT23_MBED_PIN __mbedpin__(DOUT23_PORT, DOUT23_BIT)
#define DOUT23_GPIOREG __gpioreg__(DOUT23_PORT)
#if (DOUT23_BIT &lt; 16)
#define DOUT23_PINHALF L
#else
#define DOUT23_PINHALF H
#endif
#define DOUT23_PINCON __pincon__(DOUT23_PORT, DOUT23_PINHALF)
#define DIO70 70
#define DIO70_MBED_PIN DOUT23_MBED_PIN
#define DIO70_PORT DOUT23_PORT
#define DIO70_BIT DOUT23_BIT
#define DIO70_GPIOREG DOUT23_GPIOREG
#define DIO70_PINHALF DOUT23_PINHALF
#define DIO70_PINCON DOUT23_PINCON
#endif</v>
      </c>
      <c r="F72" s="19"/>
      <c r="G72" s="19"/>
      <c r="H72" s="19"/>
      <c r="I72" s="19" t="s">
        <v>320</v>
      </c>
      <c r="J72" s="22"/>
      <c r="K72" s="24">
        <v>2</v>
      </c>
      <c r="L72" s="24">
        <v>5</v>
      </c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</row>
    <row r="73" spans="1:26" ht="16.149999999999999" customHeight="1" x14ac:dyDescent="0.25">
      <c r="A73" s="4">
        <v>71</v>
      </c>
      <c r="B73" s="4" t="str">
        <f t="shared" si="0"/>
        <v>DIO71</v>
      </c>
      <c r="C73" s="4" t="s">
        <v>199</v>
      </c>
      <c r="D73" s="24">
        <v>24</v>
      </c>
      <c r="E73" s="19" t="str">
        <f t="shared" si="3"/>
        <v>#if (defined(DOUT24_PORT) &amp;&amp; defined(DOUT24_BIT))
#define DOUT24 71
#define DOUT24_MBED_PIN __mbedpin__(DOUT24_PORT, DOUT24_BIT)
#define DOUT24_GPIOREG __gpioreg__(DOUT24_PORT)
#if (DOUT24_BIT &lt; 16)
#define DOUT24_PINHALF L
#else
#define DOUT24_PINHALF H
#endif
#define DOUT24_PINCON __pincon__(DOUT24_PORT, DOUT24_PINHALF)
#define DIO71 71
#define DIO71_MBED_PIN DOUT24_MBED_PIN
#define DIO71_PORT DOUT24_PORT
#define DIO71_BIT DOUT24_BIT
#define DIO71_GPIOREG DOUT24_GPIOREG
#define DIO71_PINHALF DOUT24_PINHALF
#define DIO71_PINCON DOUT24_PINCON
#endif</v>
      </c>
      <c r="F73" s="19"/>
      <c r="G73" s="19"/>
      <c r="H73" s="19"/>
      <c r="I73" s="19" t="s">
        <v>321</v>
      </c>
      <c r="J73" s="22"/>
      <c r="K73" s="24">
        <v>2</v>
      </c>
      <c r="L73" s="24">
        <v>6</v>
      </c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</row>
    <row r="74" spans="1:26" ht="16.149999999999999" customHeight="1" x14ac:dyDescent="0.25">
      <c r="A74" s="4">
        <v>72</v>
      </c>
      <c r="B74" s="4" t="str">
        <f t="shared" si="0"/>
        <v>DIO72</v>
      </c>
      <c r="C74" s="4" t="s">
        <v>200</v>
      </c>
      <c r="D74" s="24">
        <v>25</v>
      </c>
      <c r="E74" s="19" t="str">
        <f t="shared" si="3"/>
        <v>#if (defined(DOUT25_PORT) &amp;&amp; defined(DOUT25_BIT))
#define DOUT25 72
#define DOUT25_MBED_PIN __mbedpin__(DOUT25_PORT, DOUT25_BIT)
#define DOUT25_GPIOREG __gpioreg__(DOUT25_PORT)
#if (DOUT25_BIT &lt; 16)
#define DOUT25_PINHALF L
#else
#define DOUT25_PINHALF H
#endif
#define DOUT25_PINCON __pincon__(DOUT25_PORT, DOUT25_PINHALF)
#define DIO72 72
#define DIO72_MBED_PIN DOUT25_MBED_PIN
#define DIO72_PORT DOUT25_PORT
#define DIO72_BIT DOUT25_BIT
#define DIO72_GPIOREG DOUT25_GPIOREG
#define DIO72_PINHALF DOUT25_PINHALF
#define DIO72_PINCON DOUT25_PINCON
#endif</v>
      </c>
      <c r="F74" s="19"/>
      <c r="G74" s="19"/>
      <c r="H74" s="19"/>
      <c r="I74" s="19" t="s">
        <v>322</v>
      </c>
      <c r="J74" s="22"/>
      <c r="K74" s="24">
        <v>2</v>
      </c>
      <c r="L74" s="24">
        <v>7</v>
      </c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</row>
    <row r="75" spans="1:26" ht="16.149999999999999" customHeight="1" x14ac:dyDescent="0.25">
      <c r="A75" s="4">
        <v>73</v>
      </c>
      <c r="B75" s="4" t="str">
        <f t="shared" si="0"/>
        <v>DIO73</v>
      </c>
      <c r="C75" s="4" t="s">
        <v>201</v>
      </c>
      <c r="D75" s="24">
        <v>26</v>
      </c>
      <c r="E75" s="19" t="str">
        <f t="shared" si="3"/>
        <v>#if (defined(DOUT26_PORT) &amp;&amp; defined(DOUT26_BIT))
#define DOUT26 73
#define DOUT26_MBED_PIN __mbedpin__(DOUT26_PORT, DOUT26_BIT)
#define DOUT26_GPIOREG __gpioreg__(DOUT26_PORT)
#if (DOUT26_BIT &lt; 16)
#define DOUT26_PINHALF L
#else
#define DOUT26_PINHALF H
#endif
#define DOUT26_PINCON __pincon__(DOUT26_PORT, DOUT26_PINHALF)
#define DIO73 73
#define DIO73_MBED_PIN DOUT26_MBED_PIN
#define DIO73_PORT DOUT26_PORT
#define DIO73_BIT DOUT26_BIT
#define DIO73_GPIOREG DOUT26_GPIOREG
#define DIO73_PINHALF DOUT26_PINHALF
#define DIO73_PINCON DOUT26_PINCON
#endif</v>
      </c>
      <c r="F75" s="19"/>
      <c r="G75" s="19"/>
      <c r="H75" s="19"/>
      <c r="I75" s="19" t="s">
        <v>323</v>
      </c>
      <c r="J75" s="22"/>
      <c r="K75" s="24">
        <v>2</v>
      </c>
      <c r="L75" s="24">
        <v>8</v>
      </c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</row>
    <row r="76" spans="1:26" ht="16.149999999999999" customHeight="1" x14ac:dyDescent="0.25">
      <c r="A76" s="4">
        <v>74</v>
      </c>
      <c r="B76" s="4" t="str">
        <f t="shared" si="0"/>
        <v>DIO74</v>
      </c>
      <c r="C76" s="4" t="s">
        <v>202</v>
      </c>
      <c r="D76" s="24">
        <v>27</v>
      </c>
      <c r="E76" s="19" t="str">
        <f t="shared" si="3"/>
        <v>#if (defined(DOUT27_PORT) &amp;&amp; defined(DOUT27_BIT))
#define DOUT27 74
#define DOUT27_MBED_PIN __mbedpin__(DOUT27_PORT, DOUT27_BIT)
#define DOUT27_GPIOREG __gpioreg__(DOUT27_PORT)
#if (DOUT27_BIT &lt; 16)
#define DOUT27_PINHALF L
#else
#define DOUT27_PINHALF H
#endif
#define DOUT27_PINCON __pincon__(DOUT27_PORT, DOUT27_PINHALF)
#define DIO74 74
#define DIO74_MBED_PIN DOUT27_MBED_PIN
#define DIO74_PORT DOUT27_PORT
#define DIO74_BIT DOUT27_BIT
#define DIO74_GPIOREG DOUT27_GPIOREG
#define DIO74_PINHALF DOUT27_PINHALF
#define DIO74_PINCON DOUT27_PINCON
#endif</v>
      </c>
      <c r="F76" s="22"/>
      <c r="G76" s="19"/>
      <c r="H76" s="19"/>
      <c r="I76" s="19" t="s">
        <v>324</v>
      </c>
      <c r="J76" s="22"/>
      <c r="K76" s="24">
        <v>2</v>
      </c>
      <c r="L76" s="24">
        <v>9</v>
      </c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</row>
    <row r="77" spans="1:26" ht="16.149999999999999" customHeight="1" x14ac:dyDescent="0.25">
      <c r="A77" s="4">
        <v>75</v>
      </c>
      <c r="B77" s="4" t="str">
        <f t="shared" si="0"/>
        <v>DIO75</v>
      </c>
      <c r="C77" s="4" t="s">
        <v>203</v>
      </c>
      <c r="D77" s="24">
        <v>28</v>
      </c>
      <c r="E77" s="19" t="str">
        <f t="shared" si="3"/>
        <v>#if (defined(DOUT28_PORT) &amp;&amp; defined(DOUT28_BIT))
#define DOUT28 75
#define DOUT28_MBED_PIN __mbedpin__(DOUT28_PORT, DOUT28_BIT)
#define DOUT28_GPIOREG __gpioreg__(DOUT28_PORT)
#if (DOUT28_BIT &lt; 16)
#define DOUT28_PINHALF L
#else
#define DOUT28_PINHALF H
#endif
#define DOUT28_PINCON __pincon__(DOUT28_PORT, DOUT28_PINHALF)
#define DIO75 75
#define DIO75_MBED_PIN DOUT28_MBED_PIN
#define DIO75_PORT DOUT28_PORT
#define DIO75_BIT DOUT28_BIT
#define DIO75_GPIOREG DOUT28_GPIOREG
#define DIO75_PINHALF DOUT28_PINHALF
#define DIO75_PINCON DOUT28_PINCON
#endif</v>
      </c>
      <c r="F77" s="22"/>
      <c r="G77" s="19"/>
      <c r="H77" s="19"/>
      <c r="I77" s="19" t="s">
        <v>325</v>
      </c>
      <c r="J77" s="22"/>
      <c r="K77" s="24">
        <v>2</v>
      </c>
      <c r="L77" s="24">
        <v>10</v>
      </c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</row>
    <row r="78" spans="1:26" ht="16.149999999999999" customHeight="1" x14ac:dyDescent="0.25">
      <c r="A78" s="4">
        <v>76</v>
      </c>
      <c r="B78" s="4" t="str">
        <f t="shared" si="0"/>
        <v>DIO76</v>
      </c>
      <c r="C78" s="4" t="s">
        <v>204</v>
      </c>
      <c r="D78" s="24">
        <v>29</v>
      </c>
      <c r="E78" s="19" t="str">
        <f t="shared" si="3"/>
        <v>#if (defined(DOUT29_PORT) &amp;&amp; defined(DOUT29_BIT))
#define DOUT29 76
#define DOUT29_MBED_PIN __mbedpin__(DOUT29_PORT, DOUT29_BIT)
#define DOUT29_GPIOREG __gpioreg__(DOUT29_PORT)
#if (DOUT29_BIT &lt; 16)
#define DOUT29_PINHALF L
#else
#define DOUT29_PINHALF H
#endif
#define DOUT29_PINCON __pincon__(DOUT29_PORT, DOUT29_PINHALF)
#define DIO76 76
#define DIO76_MBED_PIN DOUT29_MBED_PIN
#define DIO76_PORT DOUT29_PORT
#define DIO76_BIT DOUT29_BIT
#define DIO76_GPIOREG DOUT29_GPIOREG
#define DIO76_PINHALF DOUT29_PINHALF
#define DIO76_PINCON DOUT29_PINCON
#endif</v>
      </c>
      <c r="F78" s="22"/>
      <c r="G78" s="19"/>
      <c r="H78" s="19"/>
      <c r="I78" s="19" t="s">
        <v>326</v>
      </c>
      <c r="J78" s="22"/>
      <c r="K78" s="24">
        <v>2</v>
      </c>
      <c r="L78" s="24">
        <v>11</v>
      </c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</row>
    <row r="79" spans="1:26" ht="16.149999999999999" customHeight="1" x14ac:dyDescent="0.25">
      <c r="A79" s="4">
        <v>77</v>
      </c>
      <c r="B79" s="4" t="str">
        <f t="shared" si="0"/>
        <v>DIO77</v>
      </c>
      <c r="C79" s="4" t="s">
        <v>205</v>
      </c>
      <c r="D79" s="24">
        <v>30</v>
      </c>
      <c r="E79" s="19" t="str">
        <f t="shared" si="3"/>
        <v>#if (defined(DOUT30_PORT) &amp;&amp; defined(DOUT30_BIT))
#define DOUT30 77
#define DOUT30_MBED_PIN __mbedpin__(DOUT30_PORT, DOUT30_BIT)
#define DOUT30_GPIOREG __gpioreg__(DOUT30_PORT)
#if (DOUT30_BIT &lt; 16)
#define DOUT30_PINHALF L
#else
#define DOUT30_PINHALF H
#endif
#define DOUT30_PINCON __pincon__(DOUT30_PORT, DOUT30_PINHALF)
#define DIO77 77
#define DIO77_MBED_PIN DOUT30_MBED_PIN
#define DIO77_PORT DOUT30_PORT
#define DIO77_BIT DOUT30_BIT
#define DIO77_GPIOREG DOUT30_GPIOREG
#define DIO77_PINHALF DOUT30_PINHALF
#define DIO77_PINCON DOUT30_PINCON
#endif</v>
      </c>
      <c r="F79" s="22"/>
      <c r="G79" s="19"/>
      <c r="H79" s="19"/>
      <c r="I79" s="19" t="s">
        <v>327</v>
      </c>
      <c r="J79" s="22"/>
      <c r="K79" s="24">
        <v>2</v>
      </c>
      <c r="L79" s="24">
        <v>12</v>
      </c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</row>
    <row r="80" spans="1:26" ht="16.149999999999999" customHeight="1" x14ac:dyDescent="0.25">
      <c r="A80" s="4">
        <v>78</v>
      </c>
      <c r="B80" s="4" t="str">
        <f t="shared" si="0"/>
        <v>DIO78</v>
      </c>
      <c r="C80" s="4" t="s">
        <v>206</v>
      </c>
      <c r="D80" s="24">
        <v>31</v>
      </c>
      <c r="E80" s="19" t="str">
        <f t="shared" si="3"/>
        <v>#if (defined(DOUT31_PORT) &amp;&amp; defined(DOUT31_BIT))
#define DOUT31 78
#define DOUT31_MBED_PIN __mbedpin__(DOUT31_PORT, DOUT31_BIT)
#define DOUT31_GPIOREG __gpioreg__(DOUT31_PORT)
#if (DOUT31_BIT &lt; 16)
#define DOUT31_PINHALF L
#else
#define DOUT31_PINHALF H
#endif
#define DOUT31_PINCON __pincon__(DOUT31_PORT, DOUT31_PINHALF)
#define DIO78 78
#define DIO78_MBED_PIN DOUT31_MBED_PIN
#define DIO78_PORT DOUT31_PORT
#define DIO78_BIT DOUT31_BIT
#define DIO78_GPIOREG DOUT31_GPIOREG
#define DIO78_PINHALF DOUT31_PINHALF
#define DIO78_PINCON DOUT31_PINCON
#endif</v>
      </c>
      <c r="F80" s="25" t="s">
        <v>328</v>
      </c>
      <c r="G80" s="25" t="s">
        <v>123</v>
      </c>
      <c r="H80" s="19"/>
      <c r="I80" s="19" t="s">
        <v>329</v>
      </c>
      <c r="J80" s="22"/>
      <c r="K80" s="24">
        <v>2</v>
      </c>
      <c r="L80" s="24">
        <v>13</v>
      </c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</row>
    <row r="81" spans="1:26" ht="16.149999999999999" customHeight="1" x14ac:dyDescent="0.25">
      <c r="A81" s="4">
        <v>79</v>
      </c>
      <c r="B81" s="4" t="str">
        <f t="shared" ref="B81:B98" si="4">"DIO"&amp;A81</f>
        <v>DIO79</v>
      </c>
      <c r="C81" s="4" t="s">
        <v>527</v>
      </c>
      <c r="D81" s="24">
        <v>32</v>
      </c>
      <c r="E81" s="19" t="str">
        <f t="shared" ref="E81:E98" si="5">"#if (defined("&amp;C81&amp;"_PORT) &amp;&amp; defined("&amp;C81&amp;"_BIT))
#define "&amp;C81&amp;" "&amp;A81&amp;"
#define "&amp;C81&amp;"_MBED_PIN __mbedpin__("&amp;C81&amp;"_PORT, "&amp;C81&amp;"_BIT)
#define "&amp;C81&amp;"_GPIOREG __gpioreg__("&amp;C81&amp;"_PORT)
#if ("&amp;C81&amp;"_BIT &lt; 16)
#define "&amp;C81&amp;"_PINHALF L
#else
#define "&amp;C81&amp;"_PINHALF H
#endif
#define "&amp;C81&amp;"_PINCON __pincon__("&amp;C81&amp;"_PORT, "&amp;C81&amp;"_PINHALF)
#define "&amp;B81&amp;" "&amp;A81&amp;"
#define "&amp;B81&amp;"_MBED_PIN "&amp;C81&amp;"_MBED_PIN
#define "&amp;B81&amp;"_PORT "&amp;C81&amp;"_PORT
#define "&amp;B81&amp;"_BIT "&amp;C81&amp;"_BIT
#define "&amp;B81&amp;"_GPIOREG "&amp;C81&amp;"_GPIOREG
#define "&amp;B81&amp;"_PINHALF "&amp;C81&amp;"_PINHALF
#define "&amp;B81&amp;"_PINCON "&amp;C81&amp;"_PINCON
#endif"</f>
        <v>#if (defined(DOUT32_PORT) &amp;&amp; defined(DOUT32_BIT))
#define DOUT32 79
#define DOUT32_MBED_PIN __mbedpin__(DOUT32_PORT, DOUT32_BIT)
#define DOUT32_GPIOREG __gpioreg__(DOUT32_PORT)
#if (DOUT32_BIT &lt; 16)
#define DOUT32_PINHALF L
#else
#define DOUT32_PINHALF H
#endif
#define DOUT32_PINCON __pincon__(DOUT32_PORT, DOUT32_PINHALF)
#define DIO79 79
#define DIO79_MBED_PIN DOUT32_MBED_PIN
#define DIO79_PORT DOUT32_PORT
#define DIO79_BIT DOUT32_BIT
#define DIO79_GPIOREG DOUT32_GPIOREG
#define DIO79_PINHALF DOUT32_PINHALF
#define DIO79_PINCON DOUT32_PINCON
#endif</v>
      </c>
      <c r="F81" s="34"/>
      <c r="G81" s="25"/>
      <c r="H81" s="19"/>
      <c r="I81" s="19"/>
      <c r="J81" s="22"/>
      <c r="K81" s="24"/>
      <c r="L81" s="24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</row>
    <row r="82" spans="1:26" ht="16.149999999999999" customHeight="1" x14ac:dyDescent="0.25">
      <c r="A82" s="4">
        <v>80</v>
      </c>
      <c r="B82" s="4" t="str">
        <f t="shared" si="4"/>
        <v>DIO80</v>
      </c>
      <c r="C82" s="4" t="s">
        <v>528</v>
      </c>
      <c r="D82" s="24">
        <v>33</v>
      </c>
      <c r="E82" s="19" t="str">
        <f t="shared" si="5"/>
        <v>#if (defined(DOUT33_PORT) &amp;&amp; defined(DOUT33_BIT))
#define DOUT33 80
#define DOUT33_MBED_PIN __mbedpin__(DOUT33_PORT, DOUT33_BIT)
#define DOUT33_GPIOREG __gpioreg__(DOUT33_PORT)
#if (DOUT33_BIT &lt; 16)
#define DOUT33_PINHALF L
#else
#define DOUT33_PINHALF H
#endif
#define DOUT33_PINCON __pincon__(DOUT33_PORT, DOUT33_PINHALF)
#define DIO80 80
#define DIO80_MBED_PIN DOUT33_MBED_PIN
#define DIO80_PORT DOUT33_PORT
#define DIO80_BIT DOUT33_BIT
#define DIO80_GPIOREG DOUT33_GPIOREG
#define DIO80_PINHALF DOUT33_PINHALF
#define DIO80_PINCON DOUT33_PINCON
#endif</v>
      </c>
      <c r="F82" s="34"/>
      <c r="G82" s="25"/>
      <c r="H82" s="19"/>
      <c r="I82" s="19"/>
      <c r="J82" s="22"/>
      <c r="K82" s="24"/>
      <c r="L82" s="24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</row>
    <row r="83" spans="1:26" ht="16.149999999999999" customHeight="1" x14ac:dyDescent="0.25">
      <c r="A83" s="4">
        <v>81</v>
      </c>
      <c r="B83" s="4" t="str">
        <f t="shared" si="4"/>
        <v>DIO81</v>
      </c>
      <c r="C83" s="4" t="s">
        <v>529</v>
      </c>
      <c r="D83" s="24">
        <v>34</v>
      </c>
      <c r="E83" s="19" t="str">
        <f t="shared" si="5"/>
        <v>#if (defined(DOUT34_PORT) &amp;&amp; defined(DOUT34_BIT))
#define DOUT34 81
#define DOUT34_MBED_PIN __mbedpin__(DOUT34_PORT, DOUT34_BIT)
#define DOUT34_GPIOREG __gpioreg__(DOUT34_PORT)
#if (DOUT34_BIT &lt; 16)
#define DOUT34_PINHALF L
#else
#define DOUT34_PINHALF H
#endif
#define DOUT34_PINCON __pincon__(DOUT34_PORT, DOUT34_PINHALF)
#define DIO81 81
#define DIO81_MBED_PIN DOUT34_MBED_PIN
#define DIO81_PORT DOUT34_PORT
#define DIO81_BIT DOUT34_BIT
#define DIO81_GPIOREG DOUT34_GPIOREG
#define DIO81_PINHALF DOUT34_PINHALF
#define DIO81_PINCON DOUT34_PINCON
#endif</v>
      </c>
      <c r="F83" s="34"/>
      <c r="G83" s="25"/>
      <c r="H83" s="19"/>
      <c r="I83" s="19"/>
      <c r="J83" s="22"/>
      <c r="K83" s="24"/>
      <c r="L83" s="24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</row>
    <row r="84" spans="1:26" ht="16.149999999999999" customHeight="1" x14ac:dyDescent="0.25">
      <c r="A84" s="4">
        <v>82</v>
      </c>
      <c r="B84" s="4" t="str">
        <f t="shared" si="4"/>
        <v>DIO82</v>
      </c>
      <c r="C84" s="4" t="s">
        <v>530</v>
      </c>
      <c r="D84" s="24">
        <v>35</v>
      </c>
      <c r="E84" s="19" t="str">
        <f t="shared" si="5"/>
        <v>#if (defined(DOUT35_PORT) &amp;&amp; defined(DOUT35_BIT))
#define DOUT35 82
#define DOUT35_MBED_PIN __mbedpin__(DOUT35_PORT, DOUT35_BIT)
#define DOUT35_GPIOREG __gpioreg__(DOUT35_PORT)
#if (DOUT35_BIT &lt; 16)
#define DOUT35_PINHALF L
#else
#define DOUT35_PINHALF H
#endif
#define DOUT35_PINCON __pincon__(DOUT35_PORT, DOUT35_PINHALF)
#define DIO82 82
#define DIO82_MBED_PIN DOUT35_MBED_PIN
#define DIO82_PORT DOUT35_PORT
#define DIO82_BIT DOUT35_BIT
#define DIO82_GPIOREG DOUT35_GPIOREG
#define DIO82_PINHALF DOUT35_PINHALF
#define DIO82_PINCON DOUT35_PINCON
#endif</v>
      </c>
      <c r="F84" s="34"/>
      <c r="G84" s="25"/>
      <c r="H84" s="19"/>
      <c r="I84" s="19"/>
      <c r="J84" s="22"/>
      <c r="K84" s="24"/>
      <c r="L84" s="24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</row>
    <row r="85" spans="1:26" ht="16.149999999999999" customHeight="1" x14ac:dyDescent="0.25">
      <c r="A85" s="4">
        <v>83</v>
      </c>
      <c r="B85" s="4" t="str">
        <f t="shared" si="4"/>
        <v>DIO83</v>
      </c>
      <c r="C85" s="4" t="s">
        <v>531</v>
      </c>
      <c r="D85" s="24">
        <v>36</v>
      </c>
      <c r="E85" s="19" t="str">
        <f t="shared" si="5"/>
        <v>#if (defined(DOUT36_PORT) &amp;&amp; defined(DOUT36_BIT))
#define DOUT36 83
#define DOUT36_MBED_PIN __mbedpin__(DOUT36_PORT, DOUT36_BIT)
#define DOUT36_GPIOREG __gpioreg__(DOUT36_PORT)
#if (DOUT36_BIT &lt; 16)
#define DOUT36_PINHALF L
#else
#define DOUT36_PINHALF H
#endif
#define DOUT36_PINCON __pincon__(DOUT36_PORT, DOUT36_PINHALF)
#define DIO83 83
#define DIO83_MBED_PIN DOUT36_MBED_PIN
#define DIO83_PORT DOUT36_PORT
#define DIO83_BIT DOUT36_BIT
#define DIO83_GPIOREG DOUT36_GPIOREG
#define DIO83_PINHALF DOUT36_PINHALF
#define DIO83_PINCON DOUT36_PINCON
#endif</v>
      </c>
      <c r="F85" s="34"/>
      <c r="G85" s="25"/>
      <c r="H85" s="19"/>
      <c r="I85" s="19"/>
      <c r="J85" s="22"/>
      <c r="K85" s="24"/>
      <c r="L85" s="24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</row>
    <row r="86" spans="1:26" ht="16.149999999999999" customHeight="1" x14ac:dyDescent="0.25">
      <c r="A86" s="4">
        <v>84</v>
      </c>
      <c r="B86" s="4" t="str">
        <f t="shared" si="4"/>
        <v>DIO84</v>
      </c>
      <c r="C86" s="4" t="s">
        <v>532</v>
      </c>
      <c r="D86" s="24">
        <v>37</v>
      </c>
      <c r="E86" s="19" t="str">
        <f t="shared" si="5"/>
        <v>#if (defined(DOUT37_PORT) &amp;&amp; defined(DOUT37_BIT))
#define DOUT37 84
#define DOUT37_MBED_PIN __mbedpin__(DOUT37_PORT, DOUT37_BIT)
#define DOUT37_GPIOREG __gpioreg__(DOUT37_PORT)
#if (DOUT37_BIT &lt; 16)
#define DOUT37_PINHALF L
#else
#define DOUT37_PINHALF H
#endif
#define DOUT37_PINCON __pincon__(DOUT37_PORT, DOUT37_PINHALF)
#define DIO84 84
#define DIO84_MBED_PIN DOUT37_MBED_PIN
#define DIO84_PORT DOUT37_PORT
#define DIO84_BIT DOUT37_BIT
#define DIO84_GPIOREG DOUT37_GPIOREG
#define DIO84_PINHALF DOUT37_PINHALF
#define DIO84_PINCON DOUT37_PINCON
#endif</v>
      </c>
      <c r="F86" s="34"/>
      <c r="G86" s="25"/>
      <c r="H86" s="19"/>
      <c r="I86" s="19"/>
      <c r="J86" s="22"/>
      <c r="K86" s="24"/>
      <c r="L86" s="24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</row>
    <row r="87" spans="1:26" ht="16.149999999999999" customHeight="1" x14ac:dyDescent="0.25">
      <c r="A87" s="4">
        <v>85</v>
      </c>
      <c r="B87" s="4" t="str">
        <f t="shared" si="4"/>
        <v>DIO85</v>
      </c>
      <c r="C87" s="4" t="s">
        <v>533</v>
      </c>
      <c r="D87" s="24">
        <v>38</v>
      </c>
      <c r="E87" s="19" t="str">
        <f t="shared" si="5"/>
        <v>#if (defined(DOUT38_PORT) &amp;&amp; defined(DOUT38_BIT))
#define DOUT38 85
#define DOUT38_MBED_PIN __mbedpin__(DOUT38_PORT, DOUT38_BIT)
#define DOUT38_GPIOREG __gpioreg__(DOUT38_PORT)
#if (DOUT38_BIT &lt; 16)
#define DOUT38_PINHALF L
#else
#define DOUT38_PINHALF H
#endif
#define DOUT38_PINCON __pincon__(DOUT38_PORT, DOUT38_PINHALF)
#define DIO85 85
#define DIO85_MBED_PIN DOUT38_MBED_PIN
#define DIO85_PORT DOUT38_PORT
#define DIO85_BIT DOUT38_BIT
#define DIO85_GPIOREG DOUT38_GPIOREG
#define DIO85_PINHALF DOUT38_PINHALF
#define DIO85_PINCON DOUT38_PINCON
#endif</v>
      </c>
      <c r="F87" s="34"/>
      <c r="G87" s="25"/>
      <c r="H87" s="19"/>
      <c r="I87" s="19"/>
      <c r="J87" s="22"/>
      <c r="K87" s="24"/>
      <c r="L87" s="24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</row>
    <row r="88" spans="1:26" ht="16.149999999999999" customHeight="1" x14ac:dyDescent="0.25">
      <c r="A88" s="4">
        <v>86</v>
      </c>
      <c r="B88" s="4" t="str">
        <f t="shared" si="4"/>
        <v>DIO86</v>
      </c>
      <c r="C88" s="4" t="s">
        <v>534</v>
      </c>
      <c r="D88" s="24">
        <v>39</v>
      </c>
      <c r="E88" s="19" t="str">
        <f t="shared" si="5"/>
        <v>#if (defined(DOUT39_PORT) &amp;&amp; defined(DOUT39_BIT))
#define DOUT39 86
#define DOUT39_MBED_PIN __mbedpin__(DOUT39_PORT, DOUT39_BIT)
#define DOUT39_GPIOREG __gpioreg__(DOUT39_PORT)
#if (DOUT39_BIT &lt; 16)
#define DOUT39_PINHALF L
#else
#define DOUT39_PINHALF H
#endif
#define DOUT39_PINCON __pincon__(DOUT39_PORT, DOUT39_PINHALF)
#define DIO86 86
#define DIO86_MBED_PIN DOUT39_MBED_PIN
#define DIO86_PORT DOUT39_PORT
#define DIO86_BIT DOUT39_BIT
#define DIO86_GPIOREG DOUT39_GPIOREG
#define DIO86_PINHALF DOUT39_PINHALF
#define DIO86_PINCON DOUT39_PINCON
#endif</v>
      </c>
      <c r="F88" s="34"/>
      <c r="G88" s="25"/>
      <c r="H88" s="19"/>
      <c r="I88" s="19"/>
      <c r="J88" s="22"/>
      <c r="K88" s="24"/>
      <c r="L88" s="24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</row>
    <row r="89" spans="1:26" ht="16.149999999999999" customHeight="1" x14ac:dyDescent="0.25">
      <c r="A89" s="4">
        <v>87</v>
      </c>
      <c r="B89" s="4" t="str">
        <f t="shared" si="4"/>
        <v>DIO87</v>
      </c>
      <c r="C89" s="4" t="s">
        <v>535</v>
      </c>
      <c r="D89" s="24">
        <v>40</v>
      </c>
      <c r="E89" s="19" t="str">
        <f t="shared" si="5"/>
        <v>#if (defined(DOUT40_PORT) &amp;&amp; defined(DOUT40_BIT))
#define DOUT40 87
#define DOUT40_MBED_PIN __mbedpin__(DOUT40_PORT, DOUT40_BIT)
#define DOUT40_GPIOREG __gpioreg__(DOUT40_PORT)
#if (DOUT40_BIT &lt; 16)
#define DOUT40_PINHALF L
#else
#define DOUT40_PINHALF H
#endif
#define DOUT40_PINCON __pincon__(DOUT40_PORT, DOUT40_PINHALF)
#define DIO87 87
#define DIO87_MBED_PIN DOUT40_MBED_PIN
#define DIO87_PORT DOUT40_PORT
#define DIO87_BIT DOUT40_BIT
#define DIO87_GPIOREG DOUT40_GPIOREG
#define DIO87_PINHALF DOUT40_PINHALF
#define DIO87_PINCON DOUT40_PINCON
#endif</v>
      </c>
      <c r="F89" s="34"/>
      <c r="G89" s="25"/>
      <c r="H89" s="19"/>
      <c r="I89" s="19"/>
      <c r="J89" s="22"/>
      <c r="K89" s="24"/>
      <c r="L89" s="24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</row>
    <row r="90" spans="1:26" ht="16.149999999999999" customHeight="1" x14ac:dyDescent="0.25">
      <c r="A90" s="4">
        <v>88</v>
      </c>
      <c r="B90" s="4" t="str">
        <f t="shared" si="4"/>
        <v>DIO88</v>
      </c>
      <c r="C90" s="4" t="s">
        <v>536</v>
      </c>
      <c r="D90" s="24">
        <v>41</v>
      </c>
      <c r="E90" s="19" t="str">
        <f t="shared" si="5"/>
        <v>#if (defined(DOUT41_PORT) &amp;&amp; defined(DOUT41_BIT))
#define DOUT41 88
#define DOUT41_MBED_PIN __mbedpin__(DOUT41_PORT, DOUT41_BIT)
#define DOUT41_GPIOREG __gpioreg__(DOUT41_PORT)
#if (DOUT41_BIT &lt; 16)
#define DOUT41_PINHALF L
#else
#define DOUT41_PINHALF H
#endif
#define DOUT41_PINCON __pincon__(DOUT41_PORT, DOUT41_PINHALF)
#define DIO88 88
#define DIO88_MBED_PIN DOUT41_MBED_PIN
#define DIO88_PORT DOUT41_PORT
#define DIO88_BIT DOUT41_BIT
#define DIO88_GPIOREG DOUT41_GPIOREG
#define DIO88_PINHALF DOUT41_PINHALF
#define DIO88_PINCON DOUT41_PINCON
#endif</v>
      </c>
      <c r="F90" s="34"/>
      <c r="G90" s="25"/>
      <c r="H90" s="19"/>
      <c r="I90" s="19"/>
      <c r="J90" s="22"/>
      <c r="K90" s="24"/>
      <c r="L90" s="24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</row>
    <row r="91" spans="1:26" ht="16.149999999999999" customHeight="1" x14ac:dyDescent="0.25">
      <c r="A91" s="4">
        <v>89</v>
      </c>
      <c r="B91" s="4" t="str">
        <f t="shared" si="4"/>
        <v>DIO89</v>
      </c>
      <c r="C91" s="4" t="s">
        <v>537</v>
      </c>
      <c r="D91" s="24">
        <v>42</v>
      </c>
      <c r="E91" s="19" t="str">
        <f t="shared" si="5"/>
        <v>#if (defined(DOUT42_PORT) &amp;&amp; defined(DOUT42_BIT))
#define DOUT42 89
#define DOUT42_MBED_PIN __mbedpin__(DOUT42_PORT, DOUT42_BIT)
#define DOUT42_GPIOREG __gpioreg__(DOUT42_PORT)
#if (DOUT42_BIT &lt; 16)
#define DOUT42_PINHALF L
#else
#define DOUT42_PINHALF H
#endif
#define DOUT42_PINCON __pincon__(DOUT42_PORT, DOUT42_PINHALF)
#define DIO89 89
#define DIO89_MBED_PIN DOUT42_MBED_PIN
#define DIO89_PORT DOUT42_PORT
#define DIO89_BIT DOUT42_BIT
#define DIO89_GPIOREG DOUT42_GPIOREG
#define DIO89_PINHALF DOUT42_PINHALF
#define DIO89_PINCON DOUT42_PINCON
#endif</v>
      </c>
      <c r="F91" s="34"/>
      <c r="G91" s="25"/>
      <c r="H91" s="19"/>
      <c r="I91" s="19"/>
      <c r="J91" s="22"/>
      <c r="K91" s="24"/>
      <c r="L91" s="24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</row>
    <row r="92" spans="1:26" ht="16.149999999999999" customHeight="1" x14ac:dyDescent="0.25">
      <c r="A92" s="4">
        <v>90</v>
      </c>
      <c r="B92" s="4" t="str">
        <f t="shared" si="4"/>
        <v>DIO90</v>
      </c>
      <c r="C92" s="4" t="s">
        <v>538</v>
      </c>
      <c r="D92" s="24">
        <v>43</v>
      </c>
      <c r="E92" s="19" t="str">
        <f t="shared" si="5"/>
        <v>#if (defined(DOUT43_PORT) &amp;&amp; defined(DOUT43_BIT))
#define DOUT43 90
#define DOUT43_MBED_PIN __mbedpin__(DOUT43_PORT, DOUT43_BIT)
#define DOUT43_GPIOREG __gpioreg__(DOUT43_PORT)
#if (DOUT43_BIT &lt; 16)
#define DOUT43_PINHALF L
#else
#define DOUT43_PINHALF H
#endif
#define DOUT43_PINCON __pincon__(DOUT43_PORT, DOUT43_PINHALF)
#define DIO90 90
#define DIO90_MBED_PIN DOUT43_MBED_PIN
#define DIO90_PORT DOUT43_PORT
#define DIO90_BIT DOUT43_BIT
#define DIO90_GPIOREG DOUT43_GPIOREG
#define DIO90_PINHALF DOUT43_PINHALF
#define DIO90_PINCON DOUT43_PINCON
#endif</v>
      </c>
      <c r="F92" s="34"/>
      <c r="G92" s="25"/>
      <c r="H92" s="19"/>
      <c r="I92" s="19"/>
      <c r="J92" s="22"/>
      <c r="K92" s="24"/>
      <c r="L92" s="24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</row>
    <row r="93" spans="1:26" ht="16.149999999999999" customHeight="1" x14ac:dyDescent="0.25">
      <c r="A93" s="4">
        <v>91</v>
      </c>
      <c r="B93" s="4" t="str">
        <f t="shared" si="4"/>
        <v>DIO91</v>
      </c>
      <c r="C93" s="4" t="s">
        <v>539</v>
      </c>
      <c r="D93" s="24">
        <v>44</v>
      </c>
      <c r="E93" s="19" t="str">
        <f t="shared" si="5"/>
        <v>#if (defined(DOUT44_PORT) &amp;&amp; defined(DOUT44_BIT))
#define DOUT44 91
#define DOUT44_MBED_PIN __mbedpin__(DOUT44_PORT, DOUT44_BIT)
#define DOUT44_GPIOREG __gpioreg__(DOUT44_PORT)
#if (DOUT44_BIT &lt; 16)
#define DOUT44_PINHALF L
#else
#define DOUT44_PINHALF H
#endif
#define DOUT44_PINCON __pincon__(DOUT44_PORT, DOUT44_PINHALF)
#define DIO91 91
#define DIO91_MBED_PIN DOUT44_MBED_PIN
#define DIO91_PORT DOUT44_PORT
#define DIO91_BIT DOUT44_BIT
#define DIO91_GPIOREG DOUT44_GPIOREG
#define DIO91_PINHALF DOUT44_PINHALF
#define DIO91_PINCON DOUT44_PINCON
#endif</v>
      </c>
      <c r="F93" s="34"/>
      <c r="G93" s="25"/>
      <c r="H93" s="19"/>
      <c r="I93" s="19"/>
      <c r="J93" s="22"/>
      <c r="K93" s="24"/>
      <c r="L93" s="24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</row>
    <row r="94" spans="1:26" ht="16.149999999999999" customHeight="1" x14ac:dyDescent="0.25">
      <c r="A94" s="4">
        <v>92</v>
      </c>
      <c r="B94" s="4" t="str">
        <f t="shared" si="4"/>
        <v>DIO92</v>
      </c>
      <c r="C94" s="4" t="s">
        <v>540</v>
      </c>
      <c r="D94" s="24">
        <v>45</v>
      </c>
      <c r="E94" s="19" t="str">
        <f t="shared" si="5"/>
        <v>#if (defined(DOUT45_PORT) &amp;&amp; defined(DOUT45_BIT))
#define DOUT45 92
#define DOUT45_MBED_PIN __mbedpin__(DOUT45_PORT, DOUT45_BIT)
#define DOUT45_GPIOREG __gpioreg__(DOUT45_PORT)
#if (DOUT45_BIT &lt; 16)
#define DOUT45_PINHALF L
#else
#define DOUT45_PINHALF H
#endif
#define DOUT45_PINCON __pincon__(DOUT45_PORT, DOUT45_PINHALF)
#define DIO92 92
#define DIO92_MBED_PIN DOUT45_MBED_PIN
#define DIO92_PORT DOUT45_PORT
#define DIO92_BIT DOUT45_BIT
#define DIO92_GPIOREG DOUT45_GPIOREG
#define DIO92_PINHALF DOUT45_PINHALF
#define DIO92_PINCON DOUT45_PINCON
#endif</v>
      </c>
      <c r="F94" s="34"/>
      <c r="G94" s="25"/>
      <c r="H94" s="19"/>
      <c r="I94" s="19"/>
      <c r="J94" s="22"/>
      <c r="K94" s="24"/>
      <c r="L94" s="24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</row>
    <row r="95" spans="1:26" ht="16.149999999999999" customHeight="1" x14ac:dyDescent="0.25">
      <c r="A95" s="4">
        <v>93</v>
      </c>
      <c r="B95" s="4" t="str">
        <f t="shared" si="4"/>
        <v>DIO93</v>
      </c>
      <c r="C95" s="4" t="s">
        <v>541</v>
      </c>
      <c r="D95" s="24">
        <v>46</v>
      </c>
      <c r="E95" s="19" t="str">
        <f t="shared" si="5"/>
        <v>#if (defined(DOUT46_PORT) &amp;&amp; defined(DOUT46_BIT))
#define DOUT46 93
#define DOUT46_MBED_PIN __mbedpin__(DOUT46_PORT, DOUT46_BIT)
#define DOUT46_GPIOREG __gpioreg__(DOUT46_PORT)
#if (DOUT46_BIT &lt; 16)
#define DOUT46_PINHALF L
#else
#define DOUT46_PINHALF H
#endif
#define DOUT46_PINCON __pincon__(DOUT46_PORT, DOUT46_PINHALF)
#define DIO93 93
#define DIO93_MBED_PIN DOUT46_MBED_PIN
#define DIO93_PORT DOUT46_PORT
#define DIO93_BIT DOUT46_BIT
#define DIO93_GPIOREG DOUT46_GPIOREG
#define DIO93_PINHALF DOUT46_PINHALF
#define DIO93_PINCON DOUT46_PINCON
#endif</v>
      </c>
      <c r="F95" s="34"/>
      <c r="G95" s="25"/>
      <c r="H95" s="19"/>
      <c r="I95" s="19"/>
      <c r="J95" s="22"/>
      <c r="K95" s="24"/>
      <c r="L95" s="24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</row>
    <row r="96" spans="1:26" ht="16.149999999999999" customHeight="1" x14ac:dyDescent="0.25">
      <c r="A96" s="4">
        <v>94</v>
      </c>
      <c r="B96" s="4" t="str">
        <f t="shared" si="4"/>
        <v>DIO94</v>
      </c>
      <c r="C96" s="4" t="s">
        <v>542</v>
      </c>
      <c r="D96" s="24">
        <v>47</v>
      </c>
      <c r="E96" s="19" t="str">
        <f t="shared" si="5"/>
        <v>#if (defined(DOUT47_PORT) &amp;&amp; defined(DOUT47_BIT))
#define DOUT47 94
#define DOUT47_MBED_PIN __mbedpin__(DOUT47_PORT, DOUT47_BIT)
#define DOUT47_GPIOREG __gpioreg__(DOUT47_PORT)
#if (DOUT47_BIT &lt; 16)
#define DOUT47_PINHALF L
#else
#define DOUT47_PINHALF H
#endif
#define DOUT47_PINCON __pincon__(DOUT47_PORT, DOUT47_PINHALF)
#define DIO94 94
#define DIO94_MBED_PIN DOUT47_MBED_PIN
#define DIO94_PORT DOUT47_PORT
#define DIO94_BIT DOUT47_BIT
#define DIO94_GPIOREG DOUT47_GPIOREG
#define DIO94_PINHALF DOUT47_PINHALF
#define DIO94_PINCON DOUT47_PINCON
#endif</v>
      </c>
      <c r="F96" s="34"/>
      <c r="G96" s="25"/>
      <c r="H96" s="19"/>
      <c r="I96" s="19"/>
      <c r="J96" s="22"/>
      <c r="K96" s="24"/>
      <c r="L96" s="24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</row>
    <row r="97" spans="1:26" ht="16.149999999999999" customHeight="1" x14ac:dyDescent="0.25">
      <c r="A97" s="4">
        <v>95</v>
      </c>
      <c r="B97" s="4" t="str">
        <f t="shared" si="4"/>
        <v>DIO95</v>
      </c>
      <c r="C97" s="4" t="s">
        <v>543</v>
      </c>
      <c r="D97" s="24">
        <v>48</v>
      </c>
      <c r="E97" s="19" t="str">
        <f t="shared" si="5"/>
        <v>#if (defined(DOUT48_PORT) &amp;&amp; defined(DOUT48_BIT))
#define DOUT48 95
#define DOUT48_MBED_PIN __mbedpin__(DOUT48_PORT, DOUT48_BIT)
#define DOUT48_GPIOREG __gpioreg__(DOUT48_PORT)
#if (DOUT48_BIT &lt; 16)
#define DOUT48_PINHALF L
#else
#define DOUT48_PINHALF H
#endif
#define DOUT48_PINCON __pincon__(DOUT48_PORT, DOUT48_PINHALF)
#define DIO95 95
#define DIO95_MBED_PIN DOUT48_MBED_PIN
#define DIO95_PORT DOUT48_PORT
#define DIO95_BIT DOUT48_BIT
#define DIO95_GPIOREG DOUT48_GPIOREG
#define DIO95_PINHALF DOUT48_PINHALF
#define DIO95_PINCON DOUT48_PINCON
#endif</v>
      </c>
      <c r="F97" s="34"/>
      <c r="G97" s="25"/>
      <c r="H97" s="19"/>
      <c r="I97" s="19"/>
      <c r="J97" s="22"/>
      <c r="K97" s="24"/>
      <c r="L97" s="24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</row>
    <row r="98" spans="1:26" ht="16.149999999999999" customHeight="1" x14ac:dyDescent="0.25">
      <c r="A98" s="4">
        <v>96</v>
      </c>
      <c r="B98" s="4" t="str">
        <f t="shared" si="4"/>
        <v>DIO96</v>
      </c>
      <c r="C98" s="4" t="s">
        <v>544</v>
      </c>
      <c r="D98" s="24">
        <v>49</v>
      </c>
      <c r="E98" s="19" t="str">
        <f t="shared" si="5"/>
        <v>#if (defined(DOUT49_PORT) &amp;&amp; defined(DOUT49_BIT))
#define DOUT49 96
#define DOUT49_MBED_PIN __mbedpin__(DOUT49_PORT, DOUT49_BIT)
#define DOUT49_GPIOREG __gpioreg__(DOUT49_PORT)
#if (DOUT49_BIT &lt; 16)
#define DOUT49_PINHALF L
#else
#define DOUT49_PINHALF H
#endif
#define DOUT49_PINCON __pincon__(DOUT49_PORT, DOUT49_PINHALF)
#define DIO96 96
#define DIO96_MBED_PIN DOUT49_MBED_PIN
#define DIO96_PORT DOUT49_PORT
#define DIO96_BIT DOUT49_BIT
#define DIO96_GPIOREG DOUT49_GPIOREG
#define DIO96_PINHALF DOUT49_PINHALF
#define DIO96_PINCON DOUT49_PINCON
#endif</v>
      </c>
      <c r="F98" s="34"/>
      <c r="G98" s="25"/>
      <c r="H98" s="19"/>
      <c r="I98" s="19"/>
      <c r="J98" s="22"/>
      <c r="K98" s="24"/>
      <c r="L98" s="24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</row>
    <row r="99" spans="1:26" ht="16.149999999999999" customHeight="1" x14ac:dyDescent="0.25">
      <c r="A99" s="4">
        <v>100</v>
      </c>
      <c r="B99" s="4" t="str">
        <f t="shared" si="0"/>
        <v>DIO100</v>
      </c>
      <c r="C99" s="4" t="s">
        <v>59</v>
      </c>
      <c r="D99" s="24">
        <v>0</v>
      </c>
      <c r="E99" s="19" t="str">
        <f>"#if (defined("&amp;C99&amp;"_PORT) &amp;&amp; defined("&amp;C99&amp;"_BIT))
#define "&amp;C99&amp;" "&amp;A99&amp;"
#define "&amp;C99&amp;"_MBED_PIN __mbedpin__("&amp;C99&amp;"_PORT, "&amp;C99&amp;"_BIT)
#define "&amp;C99&amp;"_GPIOREG __gpioreg__("&amp;C99&amp;"_PORT)
#if ("&amp;C99&amp;"_BIT &lt; 16)
#define "&amp;C99&amp;"_PINHALF L
#else
#define "&amp;C99&amp;"_PINHALF H
#endif
#define "&amp;C99&amp;"_PINCON __pincon__("&amp;C99&amp;"_PORT, "&amp;C99&amp;"_PINHALF)
#define "&amp;B99&amp;" "&amp;A99&amp;"
#define "&amp;B99&amp;"_MBED_PIN "&amp;C99&amp;"_MBED_PIN
#define "&amp;B99&amp;"_PORT "&amp;C99&amp;"_PORT
#define "&amp;B99&amp;"_BIT "&amp;C99&amp;"_BIT
#define "&amp;B99&amp;"_GPIOREG "&amp;C99&amp;"_GPIOREG
#define "&amp;B99&amp;"_PINHALF "&amp;C99&amp;"_PINHALF
#define "&amp;B99&amp;"_PINCON "&amp;C99&amp;"_PINCON
#endif"</f>
        <v>#if (defined(LIMIT_X_PORT) &amp;&amp; defined(LIMIT_X_BIT))
#define LIMIT_X 100
#define LIMIT_X_MBED_PIN __mbedpin__(LIMIT_X_PORT, LIMIT_X_BIT)
#define LIMIT_X_GPIOREG __gpioreg__(LIMIT_X_PORT)
#if (LIMIT_X_BIT &lt; 16)
#define LIMIT_X_PINHALF L
#else
#define LIMIT_X_PINHALF H
#endif
#define LIMIT_X_PINCON __pincon__(LIMIT_X_PORT, LIMIT_X_PINHALF)
#define DIO100 100
#define DIO100_MBED_PIN LIMIT_X_MBED_PIN
#define DIO100_PORT LIMIT_X_PORT
#define DIO100_BIT LIMIT_X_BIT
#define DIO100_GPIOREG LIMIT_X_GPIOREG
#define DIO100_PINHALF LIMIT_X_PINHALF
#define DIO100_PINCON LIMIT_X_PINCON
#endif</v>
      </c>
      <c r="F99" s="4" t="s">
        <v>330</v>
      </c>
      <c r="G99" s="19" t="s">
        <v>331</v>
      </c>
      <c r="H99" s="19"/>
      <c r="I99" s="19" t="s">
        <v>332</v>
      </c>
      <c r="J99" s="22"/>
      <c r="K99" s="24">
        <v>2</v>
      </c>
      <c r="L99" s="24">
        <v>14</v>
      </c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</row>
    <row r="100" spans="1:26" ht="16.149999999999999" customHeight="1" x14ac:dyDescent="0.25">
      <c r="A100" s="4">
        <v>101</v>
      </c>
      <c r="B100" s="4" t="str">
        <f t="shared" si="0"/>
        <v>DIO101</v>
      </c>
      <c r="C100" s="4" t="s">
        <v>60</v>
      </c>
      <c r="D100" s="24">
        <v>1</v>
      </c>
      <c r="E100" s="19" t="str">
        <f t="shared" ref="E100:E181" si="6">"#if (defined("&amp;C100&amp;"_PORT) &amp;&amp; defined("&amp;C100&amp;"_BIT))
#define "&amp;C100&amp;" "&amp;A100&amp;"
#define "&amp;C100&amp;"_MBED_PIN __mbedpin__("&amp;C100&amp;"_PORT, "&amp;C100&amp;"_BIT)
#define "&amp;C100&amp;"_GPIOREG __gpioreg__("&amp;C100&amp;"_PORT)
#if ("&amp;C100&amp;"_BIT &lt; 16)
#define "&amp;C100&amp;"_PINHALF L
#else
#define "&amp;C100&amp;"_PINHALF H
#endif
#define "&amp;C100&amp;"_PINCON __pincon__("&amp;C100&amp;"_PORT, "&amp;C100&amp;"_PINHALF)
#define "&amp;B100&amp;" "&amp;A100&amp;"
#define "&amp;B100&amp;"_MBED_PIN "&amp;C100&amp;"_MBED_PIN
#define "&amp;B100&amp;"_PORT "&amp;C100&amp;"_PORT
#define "&amp;B100&amp;"_BIT "&amp;C100&amp;"_BIT
#define "&amp;B100&amp;"_GPIOREG "&amp;C100&amp;"_GPIOREG
#define "&amp;B100&amp;"_PINHALF "&amp;C100&amp;"_PINHALF
#define "&amp;B100&amp;"_PINCON "&amp;C100&amp;"_PINCON
#endif"</f>
        <v>#if (defined(LIMIT_Y_PORT) &amp;&amp; defined(LIMIT_Y_BIT))
#define LIMIT_Y 101
#define LIMIT_Y_MBED_PIN __mbedpin__(LIMIT_Y_PORT, LIMIT_Y_BIT)
#define LIMIT_Y_GPIOREG __gpioreg__(LIMIT_Y_PORT)
#if (LIMIT_Y_BIT &lt; 16)
#define LIMIT_Y_PINHALF L
#else
#define LIMIT_Y_PINHALF H
#endif
#define LIMIT_Y_PINCON __pincon__(LIMIT_Y_PORT, LIMIT_Y_PINHALF)
#define DIO101 101
#define DIO101_MBED_PIN LIMIT_Y_MBED_PIN
#define DIO101_PORT LIMIT_Y_PORT
#define DIO101_BIT LIMIT_Y_BIT
#define DIO101_GPIOREG LIMIT_Y_GPIOREG
#define DIO101_PINHALF LIMIT_Y_PINHALF
#define DIO101_PINCON LIMIT_Y_PINCON
#endif</v>
      </c>
      <c r="F100" s="4" t="s">
        <v>333</v>
      </c>
      <c r="G100" s="19" t="s">
        <v>334</v>
      </c>
      <c r="H100" s="19"/>
      <c r="I100" s="19" t="s">
        <v>335</v>
      </c>
      <c r="J100" s="22"/>
      <c r="K100" s="24">
        <v>2</v>
      </c>
      <c r="L100" s="24">
        <v>15</v>
      </c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</row>
    <row r="101" spans="1:26" ht="16.149999999999999" customHeight="1" x14ac:dyDescent="0.25">
      <c r="A101" s="4">
        <v>102</v>
      </c>
      <c r="B101" s="4" t="str">
        <f t="shared" si="0"/>
        <v>DIO102</v>
      </c>
      <c r="C101" s="4" t="s">
        <v>61</v>
      </c>
      <c r="D101" s="24">
        <v>2</v>
      </c>
      <c r="E101" s="19" t="str">
        <f t="shared" si="6"/>
        <v>#if (defined(LIMIT_Z_PORT) &amp;&amp; defined(LIMIT_Z_BIT))
#define LIMIT_Z 102
#define LIMIT_Z_MBED_PIN __mbedpin__(LIMIT_Z_PORT, LIMIT_Z_BIT)
#define LIMIT_Z_GPIOREG __gpioreg__(LIMIT_Z_PORT)
#if (LIMIT_Z_BIT &lt; 16)
#define LIMIT_Z_PINHALF L
#else
#define LIMIT_Z_PINHALF H
#endif
#define LIMIT_Z_PINCON __pincon__(LIMIT_Z_PORT, LIMIT_Z_PINHALF)
#define DIO102 102
#define DIO102_MBED_PIN LIMIT_Z_MBED_PIN
#define DIO102_PORT LIMIT_Z_PORT
#define DIO102_BIT LIMIT_Z_BIT
#define DIO102_GPIOREG LIMIT_Z_GPIOREG
#define DIO102_PINHALF LIMIT_Z_PINHALF
#define DIO102_PINCON LIMIT_Z_PINCON
#endif</v>
      </c>
      <c r="F101" s="4" t="s">
        <v>336</v>
      </c>
      <c r="G101" s="19" t="s">
        <v>337</v>
      </c>
      <c r="H101" s="19"/>
      <c r="I101" s="19" t="s">
        <v>338</v>
      </c>
      <c r="J101" s="22"/>
      <c r="K101" s="24">
        <v>2</v>
      </c>
      <c r="L101" s="24">
        <v>16</v>
      </c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</row>
    <row r="102" spans="1:26" ht="16.149999999999999" customHeight="1" x14ac:dyDescent="0.25">
      <c r="A102" s="4">
        <v>103</v>
      </c>
      <c r="B102" s="4" t="str">
        <f t="shared" si="0"/>
        <v>DIO103</v>
      </c>
      <c r="C102" s="4" t="s">
        <v>62</v>
      </c>
      <c r="D102" s="24">
        <v>3</v>
      </c>
      <c r="E102" s="19" t="str">
        <f t="shared" si="6"/>
        <v>#if (defined(LIMIT_X2_PORT) &amp;&amp; defined(LIMIT_X2_BIT))
#define LIMIT_X2 103
#define LIMIT_X2_MBED_PIN __mbedpin__(LIMIT_X2_PORT, LIMIT_X2_BIT)
#define LIMIT_X2_GPIOREG __gpioreg__(LIMIT_X2_PORT)
#if (LIMIT_X2_BIT &lt; 16)
#define LIMIT_X2_PINHALF L
#else
#define LIMIT_X2_PINHALF H
#endif
#define LIMIT_X2_PINCON __pincon__(LIMIT_X2_PORT, LIMIT_X2_PINHALF)
#define DIO103 103
#define DIO103_MBED_PIN LIMIT_X2_MBED_PIN
#define DIO103_PORT LIMIT_X2_PORT
#define DIO103_BIT LIMIT_X2_BIT
#define DIO103_GPIOREG LIMIT_X2_GPIOREG
#define DIO103_PINHALF LIMIT_X2_PINHALF
#define DIO103_PINCON LIMIT_X2_PINCON
#endif</v>
      </c>
      <c r="F102" s="4" t="s">
        <v>339</v>
      </c>
      <c r="G102" s="19" t="s">
        <v>340</v>
      </c>
      <c r="H102" s="19"/>
      <c r="I102" s="19" t="s">
        <v>341</v>
      </c>
      <c r="J102" s="22"/>
      <c r="K102" s="24">
        <v>2</v>
      </c>
      <c r="L102" s="24">
        <v>17</v>
      </c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</row>
    <row r="103" spans="1:26" ht="16.149999999999999" customHeight="1" x14ac:dyDescent="0.25">
      <c r="A103" s="4">
        <v>104</v>
      </c>
      <c r="B103" s="4" t="str">
        <f t="shared" si="0"/>
        <v>DIO104</v>
      </c>
      <c r="C103" s="4" t="s">
        <v>63</v>
      </c>
      <c r="D103" s="24">
        <v>4</v>
      </c>
      <c r="E103" s="19" t="str">
        <f t="shared" si="6"/>
        <v>#if (defined(LIMIT_Y2_PORT) &amp;&amp; defined(LIMIT_Y2_BIT))
#define LIMIT_Y2 104
#define LIMIT_Y2_MBED_PIN __mbedpin__(LIMIT_Y2_PORT, LIMIT_Y2_BIT)
#define LIMIT_Y2_GPIOREG __gpioreg__(LIMIT_Y2_PORT)
#if (LIMIT_Y2_BIT &lt; 16)
#define LIMIT_Y2_PINHALF L
#else
#define LIMIT_Y2_PINHALF H
#endif
#define LIMIT_Y2_PINCON __pincon__(LIMIT_Y2_PORT, LIMIT_Y2_PINHALF)
#define DIO104 104
#define DIO104_MBED_PIN LIMIT_Y2_MBED_PIN
#define DIO104_PORT LIMIT_Y2_PORT
#define DIO104_BIT LIMIT_Y2_BIT
#define DIO104_GPIOREG LIMIT_Y2_GPIOREG
#define DIO104_PINHALF LIMIT_Y2_PINHALF
#define DIO104_PINCON LIMIT_Y2_PINCON
#endif</v>
      </c>
      <c r="F103" s="4" t="s">
        <v>342</v>
      </c>
      <c r="G103" s="19" t="s">
        <v>343</v>
      </c>
      <c r="H103" s="19"/>
      <c r="I103" s="19" t="s">
        <v>344</v>
      </c>
      <c r="J103" s="22"/>
      <c r="K103" s="24">
        <v>2</v>
      </c>
      <c r="L103" s="24">
        <v>18</v>
      </c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</row>
    <row r="104" spans="1:26" ht="16.149999999999999" customHeight="1" x14ac:dyDescent="0.25">
      <c r="A104" s="4">
        <v>105</v>
      </c>
      <c r="B104" s="4" t="str">
        <f t="shared" si="0"/>
        <v>DIO105</v>
      </c>
      <c r="C104" s="4" t="s">
        <v>64</v>
      </c>
      <c r="D104" s="24">
        <v>5</v>
      </c>
      <c r="E104" s="19" t="str">
        <f t="shared" si="6"/>
        <v>#if (defined(LIMIT_Z2_PORT) &amp;&amp; defined(LIMIT_Z2_BIT))
#define LIMIT_Z2 105
#define LIMIT_Z2_MBED_PIN __mbedpin__(LIMIT_Z2_PORT, LIMIT_Z2_BIT)
#define LIMIT_Z2_GPIOREG __gpioreg__(LIMIT_Z2_PORT)
#if (LIMIT_Z2_BIT &lt; 16)
#define LIMIT_Z2_PINHALF L
#else
#define LIMIT_Z2_PINHALF H
#endif
#define LIMIT_Z2_PINCON __pincon__(LIMIT_Z2_PORT, LIMIT_Z2_PINHALF)
#define DIO105 105
#define DIO105_MBED_PIN LIMIT_Z2_MBED_PIN
#define DIO105_PORT LIMIT_Z2_PORT
#define DIO105_BIT LIMIT_Z2_BIT
#define DIO105_GPIOREG LIMIT_Z2_GPIOREG
#define DIO105_PINHALF LIMIT_Z2_PINHALF
#define DIO105_PINCON LIMIT_Z2_PINCON
#endif</v>
      </c>
      <c r="F104" s="4" t="s">
        <v>345</v>
      </c>
      <c r="G104" s="19" t="s">
        <v>346</v>
      </c>
      <c r="H104" s="19"/>
      <c r="I104" s="19" t="s">
        <v>347</v>
      </c>
      <c r="J104" s="22"/>
      <c r="K104" s="24">
        <v>2</v>
      </c>
      <c r="L104" s="24">
        <v>19</v>
      </c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</row>
    <row r="105" spans="1:26" ht="16.149999999999999" customHeight="1" x14ac:dyDescent="0.25">
      <c r="A105" s="4">
        <v>106</v>
      </c>
      <c r="B105" s="4" t="str">
        <f t="shared" si="0"/>
        <v>DIO106</v>
      </c>
      <c r="C105" s="4" t="s">
        <v>65</v>
      </c>
      <c r="D105" s="24">
        <v>6</v>
      </c>
      <c r="E105" s="19" t="str">
        <f t="shared" si="6"/>
        <v>#if (defined(LIMIT_A_PORT) &amp;&amp; defined(LIMIT_A_BIT))
#define LIMIT_A 106
#define LIMIT_A_MBED_PIN __mbedpin__(LIMIT_A_PORT, LIMIT_A_BIT)
#define LIMIT_A_GPIOREG __gpioreg__(LIMIT_A_PORT)
#if (LIMIT_A_BIT &lt; 16)
#define LIMIT_A_PINHALF L
#else
#define LIMIT_A_PINHALF H
#endif
#define LIMIT_A_PINCON __pincon__(LIMIT_A_PORT, LIMIT_A_PINHALF)
#define DIO106 106
#define DIO106_MBED_PIN LIMIT_A_MBED_PIN
#define DIO106_PORT LIMIT_A_PORT
#define DIO106_BIT LIMIT_A_BIT
#define DIO106_GPIOREG LIMIT_A_GPIOREG
#define DIO106_PINHALF LIMIT_A_PINHALF
#define DIO106_PINCON LIMIT_A_PINCON
#endif</v>
      </c>
      <c r="F105" s="4" t="s">
        <v>348</v>
      </c>
      <c r="G105" s="19" t="s">
        <v>349</v>
      </c>
      <c r="H105" s="19"/>
      <c r="I105" s="19" t="s">
        <v>350</v>
      </c>
      <c r="J105" s="22"/>
      <c r="K105" s="24">
        <v>2</v>
      </c>
      <c r="L105" s="24">
        <v>20</v>
      </c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</row>
    <row r="106" spans="1:26" ht="16.149999999999999" customHeight="1" x14ac:dyDescent="0.25">
      <c r="A106" s="4">
        <v>107</v>
      </c>
      <c r="B106" s="4" t="str">
        <f t="shared" si="0"/>
        <v>DIO107</v>
      </c>
      <c r="C106" s="4" t="s">
        <v>66</v>
      </c>
      <c r="D106" s="24">
        <v>7</v>
      </c>
      <c r="E106" s="19" t="str">
        <f t="shared" si="6"/>
        <v>#if (defined(LIMIT_B_PORT) &amp;&amp; defined(LIMIT_B_BIT))
#define LIMIT_B 107
#define LIMIT_B_MBED_PIN __mbedpin__(LIMIT_B_PORT, LIMIT_B_BIT)
#define LIMIT_B_GPIOREG __gpioreg__(LIMIT_B_PORT)
#if (LIMIT_B_BIT &lt; 16)
#define LIMIT_B_PINHALF L
#else
#define LIMIT_B_PINHALF H
#endif
#define LIMIT_B_PINCON __pincon__(LIMIT_B_PORT, LIMIT_B_PINHALF)
#define DIO107 107
#define DIO107_MBED_PIN LIMIT_B_MBED_PIN
#define DIO107_PORT LIMIT_B_PORT
#define DIO107_BIT LIMIT_B_BIT
#define DIO107_GPIOREG LIMIT_B_GPIOREG
#define DIO107_PINHALF LIMIT_B_PINHALF
#define DIO107_PINCON LIMIT_B_PINCON
#endif</v>
      </c>
      <c r="F106" s="4" t="s">
        <v>351</v>
      </c>
      <c r="G106" s="19" t="s">
        <v>352</v>
      </c>
      <c r="H106" s="19"/>
      <c r="I106" s="19" t="s">
        <v>353</v>
      </c>
      <c r="J106" s="22"/>
      <c r="K106" s="24">
        <v>2</v>
      </c>
      <c r="L106" s="24">
        <v>21</v>
      </c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</row>
    <row r="107" spans="1:26" ht="16.149999999999999" customHeight="1" x14ac:dyDescent="0.25">
      <c r="A107" s="4">
        <v>108</v>
      </c>
      <c r="B107" s="4" t="str">
        <f t="shared" si="0"/>
        <v>DIO108</v>
      </c>
      <c r="C107" s="4" t="s">
        <v>67</v>
      </c>
      <c r="D107" s="24">
        <v>8</v>
      </c>
      <c r="E107" s="19" t="str">
        <f t="shared" si="6"/>
        <v>#if (defined(LIMIT_C_PORT) &amp;&amp; defined(LIMIT_C_BIT))
#define LIMIT_C 108
#define LIMIT_C_MBED_PIN __mbedpin__(LIMIT_C_PORT, LIMIT_C_BIT)
#define LIMIT_C_GPIOREG __gpioreg__(LIMIT_C_PORT)
#if (LIMIT_C_BIT &lt; 16)
#define LIMIT_C_PINHALF L
#else
#define LIMIT_C_PINHALF H
#endif
#define LIMIT_C_PINCON __pincon__(LIMIT_C_PORT, LIMIT_C_PINHALF)
#define DIO108 108
#define DIO108_MBED_PIN LIMIT_C_MBED_PIN
#define DIO108_PORT LIMIT_C_PORT
#define DIO108_BIT LIMIT_C_BIT
#define DIO108_GPIOREG LIMIT_C_GPIOREG
#define DIO108_PINHALF LIMIT_C_PINHALF
#define DIO108_PINCON LIMIT_C_PINCON
#endif</v>
      </c>
      <c r="F107" s="4" t="s">
        <v>354</v>
      </c>
      <c r="G107" s="19" t="s">
        <v>355</v>
      </c>
      <c r="H107" s="19"/>
      <c r="I107" s="19" t="s">
        <v>356</v>
      </c>
      <c r="J107" s="22"/>
      <c r="K107" s="24">
        <v>2</v>
      </c>
      <c r="L107" s="24">
        <v>22</v>
      </c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</row>
    <row r="108" spans="1:26" ht="16.149999999999999" customHeight="1" x14ac:dyDescent="0.25">
      <c r="A108" s="4">
        <v>109</v>
      </c>
      <c r="B108" s="4" t="str">
        <f t="shared" si="0"/>
        <v>DIO109</v>
      </c>
      <c r="C108" s="5" t="s">
        <v>68</v>
      </c>
      <c r="D108" s="24">
        <v>0</v>
      </c>
      <c r="E108" s="19" t="str">
        <f t="shared" si="6"/>
        <v>#if (defined(PROBE_PORT) &amp;&amp; defined(PROBE_BIT))
#define PROBE 109
#define PROBE_MBED_PIN __mbedpin__(PROBE_PORT, PROBE_BIT)
#define PROBE_GPIOREG __gpioreg__(PROBE_PORT)
#if (PROBE_BIT &lt; 16)
#define PROBE_PINHALF L
#else
#define PROBE_PINHALF H
#endif
#define PROBE_PINCON __pincon__(PROBE_PORT, PROBE_PINHALF)
#define DIO109 109
#define DIO109_MBED_PIN PROBE_MBED_PIN
#define DIO109_PORT PROBE_PORT
#define DIO109_BIT PROBE_BIT
#define DIO109_GPIOREG PROBE_GPIOREG
#define DIO109_PINHALF PROBE_PINHALF
#define DIO109_PINCON PROBE_PINCON
#endif</v>
      </c>
      <c r="F108" s="4" t="s">
        <v>357</v>
      </c>
      <c r="G108" s="19" t="s">
        <v>358</v>
      </c>
      <c r="H108" s="19"/>
      <c r="I108" s="19" t="s">
        <v>359</v>
      </c>
      <c r="J108" s="22"/>
      <c r="K108" s="24">
        <v>2</v>
      </c>
      <c r="L108" s="24">
        <v>23</v>
      </c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</row>
    <row r="109" spans="1:26" ht="16.149999999999999" customHeight="1" x14ac:dyDescent="0.25">
      <c r="A109" s="4">
        <v>110</v>
      </c>
      <c r="B109" s="4" t="str">
        <f t="shared" si="0"/>
        <v>DIO110</v>
      </c>
      <c r="C109" s="4" t="s">
        <v>69</v>
      </c>
      <c r="D109" s="24">
        <v>0</v>
      </c>
      <c r="E109" s="19" t="str">
        <f t="shared" si="6"/>
        <v>#if (defined(ESTOP_PORT) &amp;&amp; defined(ESTOP_BIT))
#define ESTOP 110
#define ESTOP_MBED_PIN __mbedpin__(ESTOP_PORT, ESTOP_BIT)
#define ESTOP_GPIOREG __gpioreg__(ESTOP_PORT)
#if (ESTOP_BIT &lt; 16)
#define ESTOP_PINHALF L
#else
#define ESTOP_PINHALF H
#endif
#define ESTOP_PINCON __pincon__(ESTOP_PORT, ESTOP_PINHALF)
#define DIO110 110
#define DIO110_MBED_PIN ESTOP_MBED_PIN
#define DIO110_PORT ESTOP_PORT
#define DIO110_BIT ESTOP_BIT
#define DIO110_GPIOREG ESTOP_GPIOREG
#define DIO110_PINHALF ESTOP_PINHALF
#define DIO110_PINCON ESTOP_PINCON
#endif</v>
      </c>
      <c r="F109" s="4" t="s">
        <v>360</v>
      </c>
      <c r="G109" s="19" t="s">
        <v>361</v>
      </c>
      <c r="H109" s="19"/>
      <c r="I109" s="19" t="s">
        <v>362</v>
      </c>
      <c r="J109" s="22"/>
      <c r="K109" s="24">
        <v>2</v>
      </c>
      <c r="L109" s="24">
        <v>24</v>
      </c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</row>
    <row r="110" spans="1:26" ht="16.149999999999999" customHeight="1" x14ac:dyDescent="0.25">
      <c r="A110" s="4">
        <v>111</v>
      </c>
      <c r="B110" s="4" t="str">
        <f t="shared" si="0"/>
        <v>DIO111</v>
      </c>
      <c r="C110" s="4" t="s">
        <v>70</v>
      </c>
      <c r="D110" s="24">
        <v>1</v>
      </c>
      <c r="E110" s="19" t="str">
        <f t="shared" si="6"/>
        <v>#if (defined(SAFETY_DOOR_PORT) &amp;&amp; defined(SAFETY_DOOR_BIT))
#define SAFETY_DOOR 111
#define SAFETY_DOOR_MBED_PIN __mbedpin__(SAFETY_DOOR_PORT, SAFETY_DOOR_BIT)
#define SAFETY_DOOR_GPIOREG __gpioreg__(SAFETY_DOOR_PORT)
#if (SAFETY_DOOR_BIT &lt; 16)
#define SAFETY_DOOR_PINHALF L
#else
#define SAFETY_DOOR_PINHALF H
#endif
#define SAFETY_DOOR_PINCON __pincon__(SAFETY_DOOR_PORT, SAFETY_DOOR_PINHALF)
#define DIO111 111
#define DIO111_MBED_PIN SAFETY_DOOR_MBED_PIN
#define DIO111_PORT SAFETY_DOOR_PORT
#define DIO111_BIT SAFETY_DOOR_BIT
#define DIO111_GPIOREG SAFETY_DOOR_GPIOREG
#define DIO111_PINHALF SAFETY_DOOR_PINHALF
#define DIO111_PINCON SAFETY_DOOR_PINCON
#endif</v>
      </c>
      <c r="F110" s="4" t="s">
        <v>363</v>
      </c>
      <c r="G110" s="19" t="s">
        <v>364</v>
      </c>
      <c r="H110" s="19"/>
      <c r="I110" s="19" t="s">
        <v>365</v>
      </c>
      <c r="J110" s="22"/>
      <c r="K110" s="24">
        <v>2</v>
      </c>
      <c r="L110" s="24">
        <v>25</v>
      </c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</row>
    <row r="111" spans="1:26" ht="16.149999999999999" customHeight="1" x14ac:dyDescent="0.25">
      <c r="A111" s="4">
        <v>112</v>
      </c>
      <c r="B111" s="4" t="str">
        <f t="shared" si="0"/>
        <v>DIO112</v>
      </c>
      <c r="C111" s="4" t="s">
        <v>71</v>
      </c>
      <c r="D111" s="24">
        <v>2</v>
      </c>
      <c r="E111" s="19" t="str">
        <f t="shared" si="6"/>
        <v>#if (defined(FHOLD_PORT) &amp;&amp; defined(FHOLD_BIT))
#define FHOLD 112
#define FHOLD_MBED_PIN __mbedpin__(FHOLD_PORT, FHOLD_BIT)
#define FHOLD_GPIOREG __gpioreg__(FHOLD_PORT)
#if (FHOLD_BIT &lt; 16)
#define FHOLD_PINHALF L
#else
#define FHOLD_PINHALF H
#endif
#define FHOLD_PINCON __pincon__(FHOLD_PORT, FHOLD_PINHALF)
#define DIO112 112
#define DIO112_MBED_PIN FHOLD_MBED_PIN
#define DIO112_PORT FHOLD_PORT
#define DIO112_BIT FHOLD_BIT
#define DIO112_GPIOREG FHOLD_GPIOREG
#define DIO112_PINHALF FHOLD_PINHALF
#define DIO112_PINCON FHOLD_PINCON
#endif</v>
      </c>
      <c r="F111" s="4" t="s">
        <v>366</v>
      </c>
      <c r="G111" s="19" t="s">
        <v>367</v>
      </c>
      <c r="H111" s="19"/>
      <c r="I111" s="19" t="s">
        <v>368</v>
      </c>
      <c r="J111" s="22"/>
      <c r="K111" s="24">
        <v>2</v>
      </c>
      <c r="L111" s="24">
        <v>26</v>
      </c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</row>
    <row r="112" spans="1:26" ht="16.149999999999999" customHeight="1" x14ac:dyDescent="0.25">
      <c r="A112" s="4">
        <v>113</v>
      </c>
      <c r="B112" s="4" t="str">
        <f t="shared" si="0"/>
        <v>DIO113</v>
      </c>
      <c r="C112" s="4" t="s">
        <v>72</v>
      </c>
      <c r="D112" s="24">
        <v>3</v>
      </c>
      <c r="E112" s="19" t="str">
        <f t="shared" si="6"/>
        <v>#if (defined(CS_RES_PORT) &amp;&amp; defined(CS_RES_BIT))
#define CS_RES 113
#define CS_RES_MBED_PIN __mbedpin__(CS_RES_PORT, CS_RES_BIT)
#define CS_RES_GPIOREG __gpioreg__(CS_RES_PORT)
#if (CS_RES_BIT &lt; 16)
#define CS_RES_PINHALF L
#else
#define CS_RES_PINHALF H
#endif
#define CS_RES_PINCON __pincon__(CS_RES_PORT, CS_RES_PINHALF)
#define DIO113 113
#define DIO113_MBED_PIN CS_RES_MBED_PIN
#define DIO113_PORT CS_RES_PORT
#define DIO113_BIT CS_RES_BIT
#define DIO113_GPIOREG CS_RES_GPIOREG
#define DIO113_PINHALF CS_RES_PINHALF
#define DIO113_PINCON CS_RES_PINCON
#endif</v>
      </c>
      <c r="F112" s="4" t="s">
        <v>369</v>
      </c>
      <c r="G112" s="19" t="s">
        <v>370</v>
      </c>
      <c r="H112" s="25" t="s">
        <v>124</v>
      </c>
      <c r="I112" s="19" t="s">
        <v>371</v>
      </c>
      <c r="J112" s="22"/>
      <c r="K112" s="24">
        <v>2</v>
      </c>
      <c r="L112" s="24">
        <v>27</v>
      </c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</row>
    <row r="113" spans="1:26" ht="16.149999999999999" customHeight="1" x14ac:dyDescent="0.25">
      <c r="A113" s="4">
        <v>114</v>
      </c>
      <c r="B113" s="4" t="str">
        <f t="shared" si="0"/>
        <v>DIO114</v>
      </c>
      <c r="C113" s="4" t="s">
        <v>73</v>
      </c>
      <c r="D113" s="24">
        <v>0</v>
      </c>
      <c r="E113" s="19" t="str">
        <f t="shared" si="6"/>
        <v>#if (defined(ANALOG0_PORT) &amp;&amp; defined(ANALOG0_BIT))
#define ANALOG0 114
#define ANALOG0_MBED_PIN __mbedpin__(ANALOG0_PORT, ANALOG0_BIT)
#define ANALOG0_GPIOREG __gpioreg__(ANALOG0_PORT)
#if (ANALOG0_BIT &lt; 16)
#define ANALOG0_PINHALF L
#else
#define ANALOG0_PINHALF H
#endif
#define ANALOG0_PINCON __pincon__(ANALOG0_PORT, ANALOG0_PINHALF)
#define DIO114 114
#define DIO114_MBED_PIN ANALOG0_MBED_PIN
#define DIO114_PORT ANALOG0_PORT
#define DIO114_BIT ANALOG0_BIT
#define DIO114_GPIOREG ANALOG0_GPIOREG
#define DIO114_PINHALF ANALOG0_PINHALF
#define DIO114_PINCON ANALOG0_PINCON
#endif</v>
      </c>
      <c r="F113" s="19"/>
      <c r="G113" s="19"/>
      <c r="H113" s="4" t="s">
        <v>372</v>
      </c>
      <c r="I113" s="19" t="s">
        <v>373</v>
      </c>
      <c r="J113" s="4"/>
      <c r="K113" s="24">
        <v>2</v>
      </c>
      <c r="L113" s="24">
        <v>28</v>
      </c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</row>
    <row r="114" spans="1:26" ht="16.149999999999999" customHeight="1" x14ac:dyDescent="0.25">
      <c r="A114" s="4">
        <v>115</v>
      </c>
      <c r="B114" s="4" t="str">
        <f t="shared" si="0"/>
        <v>DIO115</v>
      </c>
      <c r="C114" s="4" t="s">
        <v>74</v>
      </c>
      <c r="D114" s="24">
        <v>1</v>
      </c>
      <c r="E114" s="19" t="str">
        <f t="shared" si="6"/>
        <v>#if (defined(ANALOG1_PORT) &amp;&amp; defined(ANALOG1_BIT))
#define ANALOG1 115
#define ANALOG1_MBED_PIN __mbedpin__(ANALOG1_PORT, ANALOG1_BIT)
#define ANALOG1_GPIOREG __gpioreg__(ANALOG1_PORT)
#if (ANALOG1_BIT &lt; 16)
#define ANALOG1_PINHALF L
#else
#define ANALOG1_PINHALF H
#endif
#define ANALOG1_PINCON __pincon__(ANALOG1_PORT, ANALOG1_PINHALF)
#define DIO115 115
#define DIO115_MBED_PIN ANALOG1_MBED_PIN
#define DIO115_PORT ANALOG1_PORT
#define DIO115_BIT ANALOG1_BIT
#define DIO115_GPIOREG ANALOG1_GPIOREG
#define DIO115_PINHALF ANALOG1_PINHALF
#define DIO115_PINCON ANALOG1_PINCON
#endif</v>
      </c>
      <c r="F114" s="19"/>
      <c r="G114" s="19"/>
      <c r="H114" s="4" t="s">
        <v>374</v>
      </c>
      <c r="I114" s="19" t="s">
        <v>375</v>
      </c>
      <c r="J114" s="4"/>
      <c r="K114" s="24">
        <v>2</v>
      </c>
      <c r="L114" s="24">
        <v>29</v>
      </c>
      <c r="M114" s="19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</row>
    <row r="115" spans="1:26" ht="16.149999999999999" customHeight="1" x14ac:dyDescent="0.25">
      <c r="A115" s="4">
        <v>116</v>
      </c>
      <c r="B115" s="4" t="str">
        <f t="shared" si="0"/>
        <v>DIO116</v>
      </c>
      <c r="C115" s="4" t="s">
        <v>75</v>
      </c>
      <c r="D115" s="24">
        <v>2</v>
      </c>
      <c r="E115" s="19" t="str">
        <f t="shared" si="6"/>
        <v>#if (defined(ANALOG2_PORT) &amp;&amp; defined(ANALOG2_BIT))
#define ANALOG2 116
#define ANALOG2_MBED_PIN __mbedpin__(ANALOG2_PORT, ANALOG2_BIT)
#define ANALOG2_GPIOREG __gpioreg__(ANALOG2_PORT)
#if (ANALOG2_BIT &lt; 16)
#define ANALOG2_PINHALF L
#else
#define ANALOG2_PINHALF H
#endif
#define ANALOG2_PINCON __pincon__(ANALOG2_PORT, ANALOG2_PINHALF)
#define DIO116 116
#define DIO116_MBED_PIN ANALOG2_MBED_PIN
#define DIO116_PORT ANALOG2_PORT
#define DIO116_BIT ANALOG2_BIT
#define DIO116_GPIOREG ANALOG2_GPIOREG
#define DIO116_PINHALF ANALOG2_PINHALF
#define DIO116_PINCON ANALOG2_PINCON
#endif</v>
      </c>
      <c r="F115" s="19"/>
      <c r="G115" s="19"/>
      <c r="H115" s="4" t="s">
        <v>376</v>
      </c>
      <c r="I115" s="19" t="s">
        <v>377</v>
      </c>
      <c r="J115" s="4"/>
      <c r="K115" s="24">
        <v>2</v>
      </c>
      <c r="L115" s="24">
        <v>30</v>
      </c>
      <c r="M115" s="1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</row>
    <row r="116" spans="1:26" ht="16.149999999999999" customHeight="1" x14ac:dyDescent="0.25">
      <c r="A116" s="4">
        <v>117</v>
      </c>
      <c r="B116" s="4" t="str">
        <f t="shared" si="0"/>
        <v>DIO117</v>
      </c>
      <c r="C116" s="4" t="s">
        <v>76</v>
      </c>
      <c r="D116" s="24">
        <v>3</v>
      </c>
      <c r="E116" s="19" t="str">
        <f t="shared" si="6"/>
        <v>#if (defined(ANALOG3_PORT) &amp;&amp; defined(ANALOG3_BIT))
#define ANALOG3 117
#define ANALOG3_MBED_PIN __mbedpin__(ANALOG3_PORT, ANALOG3_BIT)
#define ANALOG3_GPIOREG __gpioreg__(ANALOG3_PORT)
#if (ANALOG3_BIT &lt; 16)
#define ANALOG3_PINHALF L
#else
#define ANALOG3_PINHALF H
#endif
#define ANALOG3_PINCON __pincon__(ANALOG3_PORT, ANALOG3_PINHALF)
#define DIO117 117
#define DIO117_MBED_PIN ANALOG3_MBED_PIN
#define DIO117_PORT ANALOG3_PORT
#define DIO117_BIT ANALOG3_BIT
#define DIO117_GPIOREG ANALOG3_GPIOREG
#define DIO117_PINHALF ANALOG3_PINHALF
#define DIO117_PINCON ANALOG3_PINCON
#endif</v>
      </c>
      <c r="F116" s="19"/>
      <c r="G116" s="19"/>
      <c r="H116" s="4" t="s">
        <v>378</v>
      </c>
      <c r="I116" s="19" t="s">
        <v>379</v>
      </c>
      <c r="J116" s="4"/>
      <c r="K116" s="24">
        <v>2</v>
      </c>
      <c r="L116" s="24">
        <v>31</v>
      </c>
      <c r="M116" s="19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</row>
    <row r="117" spans="1:26" ht="16.149999999999999" customHeight="1" x14ac:dyDescent="0.25">
      <c r="A117" s="4">
        <v>118</v>
      </c>
      <c r="B117" s="4" t="str">
        <f t="shared" si="0"/>
        <v>DIO118</v>
      </c>
      <c r="C117" s="4" t="s">
        <v>77</v>
      </c>
      <c r="D117" s="24">
        <v>4</v>
      </c>
      <c r="E117" s="19" t="str">
        <f t="shared" si="6"/>
        <v>#if (defined(ANALOG4_PORT) &amp;&amp; defined(ANALOG4_BIT))
#define ANALOG4 118
#define ANALOG4_MBED_PIN __mbedpin__(ANALOG4_PORT, ANALOG4_BIT)
#define ANALOG4_GPIOREG __gpioreg__(ANALOG4_PORT)
#if (ANALOG4_BIT &lt; 16)
#define ANALOG4_PINHALF L
#else
#define ANALOG4_PINHALF H
#endif
#define ANALOG4_PINCON __pincon__(ANALOG4_PORT, ANALOG4_PINHALF)
#define DIO118 118
#define DIO118_MBED_PIN ANALOG4_MBED_PIN
#define DIO118_PORT ANALOG4_PORT
#define DIO118_BIT ANALOG4_BIT
#define DIO118_GPIOREG ANALOG4_GPIOREG
#define DIO118_PINHALF ANALOG4_PINHALF
#define DIO118_PINCON ANALOG4_PINCON
#endif</v>
      </c>
      <c r="F117" s="19"/>
      <c r="G117" s="19"/>
      <c r="H117" s="4" t="s">
        <v>380</v>
      </c>
      <c r="I117" s="19" t="s">
        <v>381</v>
      </c>
      <c r="J117" s="4"/>
      <c r="K117" s="24">
        <v>3</v>
      </c>
      <c r="L117" s="24">
        <v>0</v>
      </c>
      <c r="M117" s="19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</row>
    <row r="118" spans="1:26" ht="16.149999999999999" customHeight="1" x14ac:dyDescent="0.25">
      <c r="A118" s="4">
        <v>119</v>
      </c>
      <c r="B118" s="4" t="str">
        <f t="shared" si="0"/>
        <v>DIO119</v>
      </c>
      <c r="C118" s="4" t="s">
        <v>78</v>
      </c>
      <c r="D118" s="24">
        <v>5</v>
      </c>
      <c r="E118" s="19" t="str">
        <f t="shared" si="6"/>
        <v>#if (defined(ANALOG5_PORT) &amp;&amp; defined(ANALOG5_BIT))
#define ANALOG5 119
#define ANALOG5_MBED_PIN __mbedpin__(ANALOG5_PORT, ANALOG5_BIT)
#define ANALOG5_GPIOREG __gpioreg__(ANALOG5_PORT)
#if (ANALOG5_BIT &lt; 16)
#define ANALOG5_PINHALF L
#else
#define ANALOG5_PINHALF H
#endif
#define ANALOG5_PINCON __pincon__(ANALOG5_PORT, ANALOG5_PINHALF)
#define DIO119 119
#define DIO119_MBED_PIN ANALOG5_MBED_PIN
#define DIO119_PORT ANALOG5_PORT
#define DIO119_BIT ANALOG5_BIT
#define DIO119_GPIOREG ANALOG5_GPIOREG
#define DIO119_PINHALF ANALOG5_PINHALF
#define DIO119_PINCON ANALOG5_PINCON
#endif</v>
      </c>
      <c r="F118" s="19"/>
      <c r="G118" s="19"/>
      <c r="H118" s="4" t="s">
        <v>382</v>
      </c>
      <c r="I118" s="19" t="s">
        <v>383</v>
      </c>
      <c r="J118" s="4"/>
      <c r="K118" s="24">
        <v>3</v>
      </c>
      <c r="L118" s="24">
        <v>1</v>
      </c>
      <c r="M118" s="19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</row>
    <row r="119" spans="1:26" ht="16.149999999999999" customHeight="1" x14ac:dyDescent="0.25">
      <c r="A119" s="4">
        <v>120</v>
      </c>
      <c r="B119" s="4" t="str">
        <f t="shared" si="0"/>
        <v>DIO120</v>
      </c>
      <c r="C119" s="4" t="s">
        <v>79</v>
      </c>
      <c r="D119" s="24">
        <v>6</v>
      </c>
      <c r="E119" s="19" t="str">
        <f t="shared" si="6"/>
        <v>#if (defined(ANALOG6_PORT) &amp;&amp; defined(ANALOG6_BIT))
#define ANALOG6 120
#define ANALOG6_MBED_PIN __mbedpin__(ANALOG6_PORT, ANALOG6_BIT)
#define ANALOG6_GPIOREG __gpioreg__(ANALOG6_PORT)
#if (ANALOG6_BIT &lt; 16)
#define ANALOG6_PINHALF L
#else
#define ANALOG6_PINHALF H
#endif
#define ANALOG6_PINCON __pincon__(ANALOG6_PORT, ANALOG6_PINHALF)
#define DIO120 120
#define DIO120_MBED_PIN ANALOG6_MBED_PIN
#define DIO120_PORT ANALOG6_PORT
#define DIO120_BIT ANALOG6_BIT
#define DIO120_GPIOREG ANALOG6_GPIOREG
#define DIO120_PINHALF ANALOG6_PINHALF
#define DIO120_PINCON ANALOG6_PINCON
#endif</v>
      </c>
      <c r="F119" s="19"/>
      <c r="G119" s="19"/>
      <c r="H119" s="4" t="s">
        <v>384</v>
      </c>
      <c r="I119" s="19" t="s">
        <v>385</v>
      </c>
      <c r="J119" s="4"/>
      <c r="K119" s="24">
        <v>3</v>
      </c>
      <c r="L119" s="24">
        <v>2</v>
      </c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</row>
    <row r="120" spans="1:26" ht="16.149999999999999" customHeight="1" x14ac:dyDescent="0.25">
      <c r="A120" s="4">
        <v>121</v>
      </c>
      <c r="B120" s="4" t="str">
        <f t="shared" si="0"/>
        <v>DIO121</v>
      </c>
      <c r="C120" s="4" t="s">
        <v>80</v>
      </c>
      <c r="D120" s="24">
        <v>7</v>
      </c>
      <c r="E120" s="19" t="str">
        <f t="shared" si="6"/>
        <v>#if (defined(ANALOG7_PORT) &amp;&amp; defined(ANALOG7_BIT))
#define ANALOG7 121
#define ANALOG7_MBED_PIN __mbedpin__(ANALOG7_PORT, ANALOG7_BIT)
#define ANALOG7_GPIOREG __gpioreg__(ANALOG7_PORT)
#if (ANALOG7_BIT &lt; 16)
#define ANALOG7_PINHALF L
#else
#define ANALOG7_PINHALF H
#endif
#define ANALOG7_PINCON __pincon__(ANALOG7_PORT, ANALOG7_PINHALF)
#define DIO121 121
#define DIO121_MBED_PIN ANALOG7_MBED_PIN
#define DIO121_PORT ANALOG7_PORT
#define DIO121_BIT ANALOG7_BIT
#define DIO121_GPIOREG ANALOG7_GPIOREG
#define DIO121_PINHALF ANALOG7_PINHALF
#define DIO121_PINCON ANALOG7_PINCON
#endif</v>
      </c>
      <c r="F120" s="19"/>
      <c r="G120" s="19"/>
      <c r="H120" s="4" t="s">
        <v>386</v>
      </c>
      <c r="I120" s="19" t="s">
        <v>387</v>
      </c>
      <c r="J120" s="4"/>
      <c r="K120" s="24">
        <v>3</v>
      </c>
      <c r="L120" s="24">
        <v>3</v>
      </c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</row>
    <row r="121" spans="1:26" ht="16.149999999999999" customHeight="1" x14ac:dyDescent="0.25">
      <c r="A121" s="4">
        <v>122</v>
      </c>
      <c r="B121" s="4" t="str">
        <f t="shared" si="0"/>
        <v>DIO122</v>
      </c>
      <c r="C121" s="4" t="s">
        <v>81</v>
      </c>
      <c r="D121" s="24">
        <v>8</v>
      </c>
      <c r="E121" s="19" t="str">
        <f t="shared" si="6"/>
        <v>#if (defined(ANALOG8_PORT) &amp;&amp; defined(ANALOG8_BIT))
#define ANALOG8 122
#define ANALOG8_MBED_PIN __mbedpin__(ANALOG8_PORT, ANALOG8_BIT)
#define ANALOG8_GPIOREG __gpioreg__(ANALOG8_PORT)
#if (ANALOG8_BIT &lt; 16)
#define ANALOG8_PINHALF L
#else
#define ANALOG8_PINHALF H
#endif
#define ANALOG8_PINCON __pincon__(ANALOG8_PORT, ANALOG8_PINHALF)
#define DIO122 122
#define DIO122_MBED_PIN ANALOG8_MBED_PIN
#define DIO122_PORT ANALOG8_PORT
#define DIO122_BIT ANALOG8_BIT
#define DIO122_GPIOREG ANALOG8_GPIOREG
#define DIO122_PINHALF ANALOG8_PINHALF
#define DIO122_PINCON ANALOG8_PINCON
#endif</v>
      </c>
      <c r="F121" s="19"/>
      <c r="G121" s="19"/>
      <c r="H121" s="4" t="s">
        <v>388</v>
      </c>
      <c r="I121" s="19" t="s">
        <v>389</v>
      </c>
      <c r="J121" s="4"/>
      <c r="K121" s="24">
        <v>3</v>
      </c>
      <c r="L121" s="24">
        <v>4</v>
      </c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</row>
    <row r="122" spans="1:26" ht="16.149999999999999" customHeight="1" x14ac:dyDescent="0.25">
      <c r="A122" s="4">
        <v>123</v>
      </c>
      <c r="B122" s="4" t="str">
        <f t="shared" si="0"/>
        <v>DIO123</v>
      </c>
      <c r="C122" s="4" t="s">
        <v>82</v>
      </c>
      <c r="D122" s="24">
        <v>9</v>
      </c>
      <c r="E122" s="19" t="str">
        <f t="shared" si="6"/>
        <v>#if (defined(ANALOG9_PORT) &amp;&amp; defined(ANALOG9_BIT))
#define ANALOG9 123
#define ANALOG9_MBED_PIN __mbedpin__(ANALOG9_PORT, ANALOG9_BIT)
#define ANALOG9_GPIOREG __gpioreg__(ANALOG9_PORT)
#if (ANALOG9_BIT &lt; 16)
#define ANALOG9_PINHALF L
#else
#define ANALOG9_PINHALF H
#endif
#define ANALOG9_PINCON __pincon__(ANALOG9_PORT, ANALOG9_PINHALF)
#define DIO123 123
#define DIO123_MBED_PIN ANALOG9_MBED_PIN
#define DIO123_PORT ANALOG9_PORT
#define DIO123_BIT ANALOG9_BIT
#define DIO123_GPIOREG ANALOG9_GPIOREG
#define DIO123_PINHALF ANALOG9_PINHALF
#define DIO123_PINCON ANALOG9_PINCON
#endif</v>
      </c>
      <c r="F122" s="19"/>
      <c r="G122" s="19"/>
      <c r="H122" s="4" t="s">
        <v>390</v>
      </c>
      <c r="I122" s="19" t="s">
        <v>391</v>
      </c>
      <c r="J122" s="4"/>
      <c r="K122" s="24">
        <v>3</v>
      </c>
      <c r="L122" s="24">
        <v>5</v>
      </c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</row>
    <row r="123" spans="1:26" ht="16.149999999999999" customHeight="1" x14ac:dyDescent="0.25">
      <c r="A123" s="4">
        <v>124</v>
      </c>
      <c r="B123" s="4" t="str">
        <f t="shared" si="0"/>
        <v>DIO124</v>
      </c>
      <c r="C123" s="4" t="s">
        <v>83</v>
      </c>
      <c r="D123" s="24">
        <v>10</v>
      </c>
      <c r="E123" s="19" t="str">
        <f t="shared" si="6"/>
        <v>#if (defined(ANALOG10_PORT) &amp;&amp; defined(ANALOG10_BIT))
#define ANALOG10 124
#define ANALOG10_MBED_PIN __mbedpin__(ANALOG10_PORT, ANALOG10_BIT)
#define ANALOG10_GPIOREG __gpioreg__(ANALOG10_PORT)
#if (ANALOG10_BIT &lt; 16)
#define ANALOG10_PINHALF L
#else
#define ANALOG10_PINHALF H
#endif
#define ANALOG10_PINCON __pincon__(ANALOG10_PORT, ANALOG10_PINHALF)
#define DIO124 124
#define DIO124_MBED_PIN ANALOG10_MBED_PIN
#define DIO124_PORT ANALOG10_PORT
#define DIO124_BIT ANALOG10_BIT
#define DIO124_GPIOREG ANALOG10_GPIOREG
#define DIO124_PINHALF ANALOG10_PINHALF
#define DIO124_PINCON ANALOG10_PINCON
#endif</v>
      </c>
      <c r="F123" s="19"/>
      <c r="G123" s="19"/>
      <c r="H123" s="4" t="s">
        <v>392</v>
      </c>
      <c r="I123" s="19" t="s">
        <v>393</v>
      </c>
      <c r="J123" s="4"/>
      <c r="K123" s="24">
        <v>3</v>
      </c>
      <c r="L123" s="24">
        <v>6</v>
      </c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</row>
    <row r="124" spans="1:26" ht="16.149999999999999" customHeight="1" x14ac:dyDescent="0.25">
      <c r="A124" s="4">
        <v>125</v>
      </c>
      <c r="B124" s="4" t="str">
        <f t="shared" si="0"/>
        <v>DIO125</v>
      </c>
      <c r="C124" s="4" t="s">
        <v>84</v>
      </c>
      <c r="D124" s="24">
        <v>11</v>
      </c>
      <c r="E124" s="19" t="str">
        <f t="shared" si="6"/>
        <v>#if (defined(ANALOG11_PORT) &amp;&amp; defined(ANALOG11_BIT))
#define ANALOG11 125
#define ANALOG11_MBED_PIN __mbedpin__(ANALOG11_PORT, ANALOG11_BIT)
#define ANALOG11_GPIOREG __gpioreg__(ANALOG11_PORT)
#if (ANALOG11_BIT &lt; 16)
#define ANALOG11_PINHALF L
#else
#define ANALOG11_PINHALF H
#endif
#define ANALOG11_PINCON __pincon__(ANALOG11_PORT, ANALOG11_PINHALF)
#define DIO125 125
#define DIO125_MBED_PIN ANALOG11_MBED_PIN
#define DIO125_PORT ANALOG11_PORT
#define DIO125_BIT ANALOG11_BIT
#define DIO125_GPIOREG ANALOG11_GPIOREG
#define DIO125_PINHALF ANALOG11_PINHALF
#define DIO125_PINCON ANALOG11_PINCON
#endif</v>
      </c>
      <c r="F124" s="19"/>
      <c r="G124" s="19"/>
      <c r="H124" s="4" t="s">
        <v>394</v>
      </c>
      <c r="I124" s="19" t="s">
        <v>395</v>
      </c>
      <c r="J124" s="4"/>
      <c r="K124" s="24">
        <v>3</v>
      </c>
      <c r="L124" s="24">
        <v>7</v>
      </c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</row>
    <row r="125" spans="1:26" ht="16.149999999999999" customHeight="1" x14ac:dyDescent="0.25">
      <c r="A125" s="4">
        <v>126</v>
      </c>
      <c r="B125" s="4" t="str">
        <f t="shared" si="0"/>
        <v>DIO126</v>
      </c>
      <c r="C125" s="4" t="s">
        <v>85</v>
      </c>
      <c r="D125" s="24">
        <v>12</v>
      </c>
      <c r="E125" s="19" t="str">
        <f t="shared" si="6"/>
        <v>#if (defined(ANALOG12_PORT) &amp;&amp; defined(ANALOG12_BIT))
#define ANALOG12 126
#define ANALOG12_MBED_PIN __mbedpin__(ANALOG12_PORT, ANALOG12_BIT)
#define ANALOG12_GPIOREG __gpioreg__(ANALOG12_PORT)
#if (ANALOG12_BIT &lt; 16)
#define ANALOG12_PINHALF L
#else
#define ANALOG12_PINHALF H
#endif
#define ANALOG12_PINCON __pincon__(ANALOG12_PORT, ANALOG12_PINHALF)
#define DIO126 126
#define DIO126_MBED_PIN ANALOG12_MBED_PIN
#define DIO126_PORT ANALOG12_PORT
#define DIO126_BIT ANALOG12_BIT
#define DIO126_GPIOREG ANALOG12_GPIOREG
#define DIO126_PINHALF ANALOG12_PINHALF
#define DIO126_PINCON ANALOG12_PINCON
#endif</v>
      </c>
      <c r="F125" s="19"/>
      <c r="G125" s="19"/>
      <c r="H125" s="4" t="s">
        <v>396</v>
      </c>
      <c r="I125" s="19" t="s">
        <v>397</v>
      </c>
      <c r="J125" s="4"/>
      <c r="K125" s="24">
        <v>3</v>
      </c>
      <c r="L125" s="24">
        <v>8</v>
      </c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</row>
    <row r="126" spans="1:26" ht="16.149999999999999" customHeight="1" x14ac:dyDescent="0.25">
      <c r="A126" s="4">
        <v>127</v>
      </c>
      <c r="B126" s="4" t="str">
        <f t="shared" si="0"/>
        <v>DIO127</v>
      </c>
      <c r="C126" s="4" t="s">
        <v>86</v>
      </c>
      <c r="D126" s="24">
        <v>13</v>
      </c>
      <c r="E126" s="19" t="str">
        <f t="shared" si="6"/>
        <v>#if (defined(ANALOG13_PORT) &amp;&amp; defined(ANALOG13_BIT))
#define ANALOG13 127
#define ANALOG13_MBED_PIN __mbedpin__(ANALOG13_PORT, ANALOG13_BIT)
#define ANALOG13_GPIOREG __gpioreg__(ANALOG13_PORT)
#if (ANALOG13_BIT &lt; 16)
#define ANALOG13_PINHALF L
#else
#define ANALOG13_PINHALF H
#endif
#define ANALOG13_PINCON __pincon__(ANALOG13_PORT, ANALOG13_PINHALF)
#define DIO127 127
#define DIO127_MBED_PIN ANALOG13_MBED_PIN
#define DIO127_PORT ANALOG13_PORT
#define DIO127_BIT ANALOG13_BIT
#define DIO127_GPIOREG ANALOG13_GPIOREG
#define DIO127_PINHALF ANALOG13_PINHALF
#define DIO127_PINCON ANALOG13_PINCON
#endif</v>
      </c>
      <c r="F126" s="19"/>
      <c r="G126" s="19"/>
      <c r="H126" s="4" t="s">
        <v>398</v>
      </c>
      <c r="I126" s="19" t="s">
        <v>399</v>
      </c>
      <c r="J126" s="4"/>
      <c r="K126" s="24">
        <v>3</v>
      </c>
      <c r="L126" s="24">
        <v>9</v>
      </c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</row>
    <row r="127" spans="1:26" ht="16.149999999999999" customHeight="1" x14ac:dyDescent="0.25">
      <c r="A127" s="4">
        <v>128</v>
      </c>
      <c r="B127" s="4" t="str">
        <f t="shared" si="0"/>
        <v>DIO128</v>
      </c>
      <c r="C127" s="4" t="s">
        <v>87</v>
      </c>
      <c r="D127" s="24">
        <v>14</v>
      </c>
      <c r="E127" s="19" t="str">
        <f t="shared" si="6"/>
        <v>#if (defined(ANALOG14_PORT) &amp;&amp; defined(ANALOG14_BIT))
#define ANALOG14 128
#define ANALOG14_MBED_PIN __mbedpin__(ANALOG14_PORT, ANALOG14_BIT)
#define ANALOG14_GPIOREG __gpioreg__(ANALOG14_PORT)
#if (ANALOG14_BIT &lt; 16)
#define ANALOG14_PINHALF L
#else
#define ANALOG14_PINHALF H
#endif
#define ANALOG14_PINCON __pincon__(ANALOG14_PORT, ANALOG14_PINHALF)
#define DIO128 128
#define DIO128_MBED_PIN ANALOG14_MBED_PIN
#define DIO128_PORT ANALOG14_PORT
#define DIO128_BIT ANALOG14_BIT
#define DIO128_GPIOREG ANALOG14_GPIOREG
#define DIO128_PINHALF ANALOG14_PINHALF
#define DIO128_PINCON ANALOG14_PINCON
#endif</v>
      </c>
      <c r="F127" s="19"/>
      <c r="G127" s="19"/>
      <c r="H127" s="4" t="s">
        <v>400</v>
      </c>
      <c r="I127" s="19" t="s">
        <v>401</v>
      </c>
      <c r="J127" s="4"/>
      <c r="K127" s="24">
        <v>3</v>
      </c>
      <c r="L127" s="24">
        <v>10</v>
      </c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</row>
    <row r="128" spans="1:26" ht="16.149999999999999" customHeight="1" x14ac:dyDescent="0.25">
      <c r="A128" s="4">
        <v>129</v>
      </c>
      <c r="B128" s="4" t="str">
        <f t="shared" si="0"/>
        <v>DIO129</v>
      </c>
      <c r="C128" s="4" t="s">
        <v>88</v>
      </c>
      <c r="D128" s="24">
        <v>15</v>
      </c>
      <c r="E128" s="19" t="str">
        <f t="shared" si="6"/>
        <v>#if (defined(ANALOG15_PORT) &amp;&amp; defined(ANALOG15_BIT))
#define ANALOG15 129
#define ANALOG15_MBED_PIN __mbedpin__(ANALOG15_PORT, ANALOG15_BIT)
#define ANALOG15_GPIOREG __gpioreg__(ANALOG15_PORT)
#if (ANALOG15_BIT &lt; 16)
#define ANALOG15_PINHALF L
#else
#define ANALOG15_PINHALF H
#endif
#define ANALOG15_PINCON __pincon__(ANALOG15_PORT, ANALOG15_PINHALF)
#define DIO129 129
#define DIO129_MBED_PIN ANALOG15_MBED_PIN
#define DIO129_PORT ANALOG15_PORT
#define DIO129_BIT ANALOG15_BIT
#define DIO129_GPIOREG ANALOG15_GPIOREG
#define DIO129_PINHALF ANALOG15_PINHALF
#define DIO129_PINCON ANALOG15_PINCON
#endif</v>
      </c>
      <c r="F128" s="19"/>
      <c r="G128" s="19"/>
      <c r="H128" s="4" t="s">
        <v>402</v>
      </c>
      <c r="I128" s="19" t="s">
        <v>403</v>
      </c>
      <c r="J128" s="4"/>
      <c r="K128" s="24">
        <v>3</v>
      </c>
      <c r="L128" s="24">
        <v>11</v>
      </c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</row>
    <row r="129" spans="1:26" ht="16.149999999999999" customHeight="1" x14ac:dyDescent="0.25">
      <c r="A129" s="4">
        <v>130</v>
      </c>
      <c r="B129" s="4" t="str">
        <f t="shared" si="0"/>
        <v>DIO130</v>
      </c>
      <c r="C129" s="5" t="s">
        <v>89</v>
      </c>
      <c r="D129" s="24">
        <v>0</v>
      </c>
      <c r="E129" s="19" t="str">
        <f t="shared" si="6"/>
        <v>#if (defined(DIN0_PORT) &amp;&amp; defined(DIN0_BIT))
#define DIN0 130
#define DIN0_MBED_PIN __mbedpin__(DIN0_PORT, DIN0_BIT)
#define DIN0_GPIOREG __gpioreg__(DIN0_PORT)
#if (DIN0_BIT &lt; 16)
#define DIN0_PINHALF L
#else
#define DIN0_PINHALF H
#endif
#define DIN0_PINCON __pincon__(DIN0_PORT, DIN0_PINHALF)
#define DIO130 130
#define DIO130_MBED_PIN DIN0_MBED_PIN
#define DIO130_PORT DIN0_PORT
#define DIO130_BIT DIN0_BIT
#define DIO130_GPIOREG DIN0_GPIOREG
#define DIO130_PINHALF DIN0_PINHALF
#define DIO130_PINCON DIN0_PINCON
#endif</v>
      </c>
      <c r="F129" s="19" t="s">
        <v>404</v>
      </c>
      <c r="G129" s="19" t="s">
        <v>405</v>
      </c>
      <c r="H129" s="4"/>
      <c r="I129" s="19" t="s">
        <v>406</v>
      </c>
      <c r="J129" s="4"/>
      <c r="K129" s="24">
        <v>3</v>
      </c>
      <c r="L129" s="24">
        <v>12</v>
      </c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</row>
    <row r="130" spans="1:26" ht="16.149999999999999" customHeight="1" x14ac:dyDescent="0.25">
      <c r="A130" s="4">
        <v>131</v>
      </c>
      <c r="B130" s="4" t="str">
        <f t="shared" si="0"/>
        <v>DIO131</v>
      </c>
      <c r="C130" s="5" t="s">
        <v>90</v>
      </c>
      <c r="D130" s="24">
        <v>1</v>
      </c>
      <c r="E130" s="19" t="str">
        <f t="shared" si="6"/>
        <v>#if (defined(DIN1_PORT) &amp;&amp; defined(DIN1_BIT))
#define DIN1 131
#define DIN1_MBED_PIN __mbedpin__(DIN1_PORT, DIN1_BIT)
#define DIN1_GPIOREG __gpioreg__(DIN1_PORT)
#if (DIN1_BIT &lt; 16)
#define DIN1_PINHALF L
#else
#define DIN1_PINHALF H
#endif
#define DIN1_PINCON __pincon__(DIN1_PORT, DIN1_PINHALF)
#define DIO131 131
#define DIO131_MBED_PIN DIN1_MBED_PIN
#define DIO131_PORT DIN1_PORT
#define DIO131_BIT DIN1_BIT
#define DIO131_GPIOREG DIN1_GPIOREG
#define DIO131_PINHALF DIN1_PINHALF
#define DIO131_PINCON DIN1_PINCON
#endif</v>
      </c>
      <c r="F130" s="19" t="s">
        <v>407</v>
      </c>
      <c r="G130" s="19" t="s">
        <v>408</v>
      </c>
      <c r="H130" s="4"/>
      <c r="I130" s="19" t="s">
        <v>409</v>
      </c>
      <c r="J130" s="4"/>
      <c r="K130" s="24">
        <v>3</v>
      </c>
      <c r="L130" s="24">
        <v>13</v>
      </c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</row>
    <row r="131" spans="1:26" ht="16.149999999999999" customHeight="1" x14ac:dyDescent="0.25">
      <c r="A131" s="4">
        <v>132</v>
      </c>
      <c r="B131" s="4" t="str">
        <f t="shared" si="0"/>
        <v>DIO132</v>
      </c>
      <c r="C131" s="5" t="s">
        <v>91</v>
      </c>
      <c r="D131" s="24">
        <v>2</v>
      </c>
      <c r="E131" s="19" t="str">
        <f t="shared" si="6"/>
        <v>#if (defined(DIN2_PORT) &amp;&amp; defined(DIN2_BIT))
#define DIN2 132
#define DIN2_MBED_PIN __mbedpin__(DIN2_PORT, DIN2_BIT)
#define DIN2_GPIOREG __gpioreg__(DIN2_PORT)
#if (DIN2_BIT &lt; 16)
#define DIN2_PINHALF L
#else
#define DIN2_PINHALF H
#endif
#define DIN2_PINCON __pincon__(DIN2_PORT, DIN2_PINHALF)
#define DIO132 132
#define DIO132_MBED_PIN DIN2_MBED_PIN
#define DIO132_PORT DIN2_PORT
#define DIO132_BIT DIN2_BIT
#define DIO132_GPIOREG DIN2_GPIOREG
#define DIO132_PINHALF DIN2_PINHALF
#define DIO132_PINCON DIN2_PINCON
#endif</v>
      </c>
      <c r="F131" s="19" t="s">
        <v>410</v>
      </c>
      <c r="G131" s="19" t="s">
        <v>411</v>
      </c>
      <c r="H131" s="4"/>
      <c r="I131" s="19" t="s">
        <v>412</v>
      </c>
      <c r="J131" s="4"/>
      <c r="K131" s="24">
        <v>3</v>
      </c>
      <c r="L131" s="24">
        <v>14</v>
      </c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</row>
    <row r="132" spans="1:26" ht="16.149999999999999" customHeight="1" x14ac:dyDescent="0.25">
      <c r="A132" s="4">
        <v>133</v>
      </c>
      <c r="B132" s="4" t="str">
        <f t="shared" si="0"/>
        <v>DIO133</v>
      </c>
      <c r="C132" s="5" t="s">
        <v>92</v>
      </c>
      <c r="D132" s="24">
        <v>3</v>
      </c>
      <c r="E132" s="19" t="str">
        <f t="shared" si="6"/>
        <v>#if (defined(DIN3_PORT) &amp;&amp; defined(DIN3_BIT))
#define DIN3 133
#define DIN3_MBED_PIN __mbedpin__(DIN3_PORT, DIN3_BIT)
#define DIN3_GPIOREG __gpioreg__(DIN3_PORT)
#if (DIN3_BIT &lt; 16)
#define DIN3_PINHALF L
#else
#define DIN3_PINHALF H
#endif
#define DIN3_PINCON __pincon__(DIN3_PORT, DIN3_PINHALF)
#define DIO133 133
#define DIO133_MBED_PIN DIN3_MBED_PIN
#define DIO133_PORT DIN3_PORT
#define DIO133_BIT DIN3_BIT
#define DIO133_GPIOREG DIN3_GPIOREG
#define DIO133_PINHALF DIN3_PINHALF
#define DIO133_PINCON DIN3_PINCON
#endif</v>
      </c>
      <c r="F132" s="19" t="s">
        <v>413</v>
      </c>
      <c r="G132" s="19" t="s">
        <v>414</v>
      </c>
      <c r="H132" s="4"/>
      <c r="I132" s="19" t="s">
        <v>415</v>
      </c>
      <c r="J132" s="4"/>
      <c r="K132" s="24">
        <v>3</v>
      </c>
      <c r="L132" s="24">
        <v>15</v>
      </c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</row>
    <row r="133" spans="1:26" ht="16.149999999999999" customHeight="1" x14ac:dyDescent="0.25">
      <c r="A133" s="4">
        <v>134</v>
      </c>
      <c r="B133" s="4" t="str">
        <f t="shared" si="0"/>
        <v>DIO134</v>
      </c>
      <c r="C133" s="5" t="s">
        <v>93</v>
      </c>
      <c r="D133" s="24">
        <v>4</v>
      </c>
      <c r="E133" s="19" t="str">
        <f t="shared" si="6"/>
        <v>#if (defined(DIN4_PORT) &amp;&amp; defined(DIN4_BIT))
#define DIN4 134
#define DIN4_MBED_PIN __mbedpin__(DIN4_PORT, DIN4_BIT)
#define DIN4_GPIOREG __gpioreg__(DIN4_PORT)
#if (DIN4_BIT &lt; 16)
#define DIN4_PINHALF L
#else
#define DIN4_PINHALF H
#endif
#define DIN4_PINCON __pincon__(DIN4_PORT, DIN4_PINHALF)
#define DIO134 134
#define DIO134_MBED_PIN DIN4_MBED_PIN
#define DIO134_PORT DIN4_PORT
#define DIO134_BIT DIN4_BIT
#define DIO134_GPIOREG DIN4_GPIOREG
#define DIO134_PINHALF DIN4_PINHALF
#define DIO134_PINCON DIN4_PINCON
#endif</v>
      </c>
      <c r="F133" s="19" t="s">
        <v>416</v>
      </c>
      <c r="G133" s="19" t="s">
        <v>417</v>
      </c>
      <c r="H133" s="4"/>
      <c r="I133" s="19" t="s">
        <v>418</v>
      </c>
      <c r="J133" s="4"/>
      <c r="K133" s="24">
        <v>3</v>
      </c>
      <c r="L133" s="24">
        <v>16</v>
      </c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</row>
    <row r="134" spans="1:26" ht="16.149999999999999" customHeight="1" x14ac:dyDescent="0.25">
      <c r="A134" s="4">
        <v>135</v>
      </c>
      <c r="B134" s="4" t="str">
        <f t="shared" si="0"/>
        <v>DIO135</v>
      </c>
      <c r="C134" s="5" t="s">
        <v>94</v>
      </c>
      <c r="D134" s="24">
        <v>5</v>
      </c>
      <c r="E134" s="19" t="str">
        <f t="shared" si="6"/>
        <v>#if (defined(DIN5_PORT) &amp;&amp; defined(DIN5_BIT))
#define DIN5 135
#define DIN5_MBED_PIN __mbedpin__(DIN5_PORT, DIN5_BIT)
#define DIN5_GPIOREG __gpioreg__(DIN5_PORT)
#if (DIN5_BIT &lt; 16)
#define DIN5_PINHALF L
#else
#define DIN5_PINHALF H
#endif
#define DIN5_PINCON __pincon__(DIN5_PORT, DIN5_PINHALF)
#define DIO135 135
#define DIO135_MBED_PIN DIN5_MBED_PIN
#define DIO135_PORT DIN5_PORT
#define DIO135_BIT DIN5_BIT
#define DIO135_GPIOREG DIN5_GPIOREG
#define DIO135_PINHALF DIN5_PINHALF
#define DIO135_PINCON DIN5_PINCON
#endif</v>
      </c>
      <c r="F134" s="19" t="s">
        <v>419</v>
      </c>
      <c r="G134" s="19" t="s">
        <v>420</v>
      </c>
      <c r="H134" s="4"/>
      <c r="I134" s="19" t="s">
        <v>421</v>
      </c>
      <c r="J134" s="4"/>
      <c r="K134" s="24">
        <v>3</v>
      </c>
      <c r="L134" s="24">
        <v>17</v>
      </c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</row>
    <row r="135" spans="1:26" ht="16.149999999999999" customHeight="1" x14ac:dyDescent="0.25">
      <c r="A135" s="4">
        <v>136</v>
      </c>
      <c r="B135" s="4" t="str">
        <f t="shared" si="0"/>
        <v>DIO136</v>
      </c>
      <c r="C135" s="5" t="s">
        <v>95</v>
      </c>
      <c r="D135" s="24">
        <v>6</v>
      </c>
      <c r="E135" s="19" t="str">
        <f t="shared" si="6"/>
        <v>#if (defined(DIN6_PORT) &amp;&amp; defined(DIN6_BIT))
#define DIN6 136
#define DIN6_MBED_PIN __mbedpin__(DIN6_PORT, DIN6_BIT)
#define DIN6_GPIOREG __gpioreg__(DIN6_PORT)
#if (DIN6_BIT &lt; 16)
#define DIN6_PINHALF L
#else
#define DIN6_PINHALF H
#endif
#define DIN6_PINCON __pincon__(DIN6_PORT, DIN6_PINHALF)
#define DIO136 136
#define DIO136_MBED_PIN DIN6_MBED_PIN
#define DIO136_PORT DIN6_PORT
#define DIO136_BIT DIN6_BIT
#define DIO136_GPIOREG DIN6_GPIOREG
#define DIO136_PINHALF DIN6_PINHALF
#define DIO136_PINCON DIN6_PINCON
#endif</v>
      </c>
      <c r="F135" s="19" t="s">
        <v>422</v>
      </c>
      <c r="G135" s="19" t="s">
        <v>423</v>
      </c>
      <c r="H135" s="4"/>
      <c r="I135" s="19" t="s">
        <v>424</v>
      </c>
      <c r="J135" s="4"/>
      <c r="K135" s="24">
        <v>3</v>
      </c>
      <c r="L135" s="24">
        <v>18</v>
      </c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</row>
    <row r="136" spans="1:26" ht="16.149999999999999" customHeight="1" x14ac:dyDescent="0.25">
      <c r="A136" s="4">
        <v>137</v>
      </c>
      <c r="B136" s="4" t="str">
        <f t="shared" si="0"/>
        <v>DIO137</v>
      </c>
      <c r="C136" s="5" t="s">
        <v>96</v>
      </c>
      <c r="D136" s="24">
        <v>7</v>
      </c>
      <c r="E136" s="19" t="str">
        <f t="shared" si="6"/>
        <v>#if (defined(DIN7_PORT) &amp;&amp; defined(DIN7_BIT))
#define DIN7 137
#define DIN7_MBED_PIN __mbedpin__(DIN7_PORT, DIN7_BIT)
#define DIN7_GPIOREG __gpioreg__(DIN7_PORT)
#if (DIN7_BIT &lt; 16)
#define DIN7_PINHALF L
#else
#define DIN7_PINHALF H
#endif
#define DIN7_PINCON __pincon__(DIN7_PORT, DIN7_PINHALF)
#define DIO137 137
#define DIO137_MBED_PIN DIN7_MBED_PIN
#define DIO137_PORT DIN7_PORT
#define DIO137_BIT DIN7_BIT
#define DIO137_GPIOREG DIN7_GPIOREG
#define DIO137_PINHALF DIN7_PINHALF
#define DIO137_PINCON DIN7_PINCON
#endif</v>
      </c>
      <c r="F136" s="19" t="s">
        <v>425</v>
      </c>
      <c r="G136" s="19" t="s">
        <v>426</v>
      </c>
      <c r="H136" s="4"/>
      <c r="I136" s="19" t="s">
        <v>427</v>
      </c>
      <c r="J136" s="4"/>
      <c r="K136" s="24">
        <v>3</v>
      </c>
      <c r="L136" s="24">
        <v>19</v>
      </c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</row>
    <row r="137" spans="1:26" ht="16.149999999999999" customHeight="1" x14ac:dyDescent="0.25">
      <c r="A137" s="4">
        <v>138</v>
      </c>
      <c r="B137" s="4" t="str">
        <f t="shared" si="0"/>
        <v>DIO138</v>
      </c>
      <c r="C137" s="5" t="s">
        <v>97</v>
      </c>
      <c r="D137" s="24">
        <v>8</v>
      </c>
      <c r="E137" s="19" t="str">
        <f t="shared" si="6"/>
        <v>#if (defined(DIN8_PORT) &amp;&amp; defined(DIN8_BIT))
#define DIN8 138
#define DIN8_MBED_PIN __mbedpin__(DIN8_PORT, DIN8_BIT)
#define DIN8_GPIOREG __gpioreg__(DIN8_PORT)
#if (DIN8_BIT &lt; 16)
#define DIN8_PINHALF L
#else
#define DIN8_PINHALF H
#endif
#define DIN8_PINCON __pincon__(DIN8_PORT, DIN8_PINHALF)
#define DIO138 138
#define DIO138_MBED_PIN DIN8_MBED_PIN
#define DIO138_PORT DIN8_PORT
#define DIO138_BIT DIN8_BIT
#define DIO138_GPIOREG DIN8_GPIOREG
#define DIO138_PINHALF DIN8_PINHALF
#define DIO138_PINCON DIN8_PINCON
#endif</v>
      </c>
      <c r="F137" s="19"/>
      <c r="G137" s="19"/>
      <c r="H137" s="4"/>
      <c r="I137" s="19" t="s">
        <v>428</v>
      </c>
      <c r="J137" s="4"/>
      <c r="K137" s="24">
        <v>3</v>
      </c>
      <c r="L137" s="24">
        <v>20</v>
      </c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</row>
    <row r="138" spans="1:26" ht="16.149999999999999" customHeight="1" x14ac:dyDescent="0.25">
      <c r="A138" s="4">
        <v>139</v>
      </c>
      <c r="B138" s="4" t="str">
        <f t="shared" si="0"/>
        <v>DIO139</v>
      </c>
      <c r="C138" s="5" t="s">
        <v>98</v>
      </c>
      <c r="D138" s="24">
        <v>9</v>
      </c>
      <c r="E138" s="19" t="str">
        <f t="shared" si="6"/>
        <v>#if (defined(DIN9_PORT) &amp;&amp; defined(DIN9_BIT))
#define DIN9 139
#define DIN9_MBED_PIN __mbedpin__(DIN9_PORT, DIN9_BIT)
#define DIN9_GPIOREG __gpioreg__(DIN9_PORT)
#if (DIN9_BIT &lt; 16)
#define DIN9_PINHALF L
#else
#define DIN9_PINHALF H
#endif
#define DIN9_PINCON __pincon__(DIN9_PORT, DIN9_PINHALF)
#define DIO139 139
#define DIO139_MBED_PIN DIN9_MBED_PIN
#define DIO139_PORT DIN9_PORT
#define DIO139_BIT DIN9_BIT
#define DIO139_GPIOREG DIN9_GPIOREG
#define DIO139_PINHALF DIN9_PINHALF
#define DIO139_PINCON DIN9_PINCON
#endif</v>
      </c>
      <c r="F138" s="19"/>
      <c r="G138" s="19"/>
      <c r="H138" s="4"/>
      <c r="I138" s="19" t="s">
        <v>429</v>
      </c>
      <c r="J138" s="4"/>
      <c r="K138" s="24">
        <v>3</v>
      </c>
      <c r="L138" s="24">
        <v>21</v>
      </c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</row>
    <row r="139" spans="1:26" ht="16.149999999999999" customHeight="1" x14ac:dyDescent="0.25">
      <c r="A139" s="4">
        <v>140</v>
      </c>
      <c r="B139" s="4" t="str">
        <f t="shared" si="0"/>
        <v>DIO140</v>
      </c>
      <c r="C139" s="5" t="s">
        <v>99</v>
      </c>
      <c r="D139" s="24">
        <v>10</v>
      </c>
      <c r="E139" s="19" t="str">
        <f t="shared" si="6"/>
        <v>#if (defined(DIN10_PORT) &amp;&amp; defined(DIN10_BIT))
#define DIN10 140
#define DIN10_MBED_PIN __mbedpin__(DIN10_PORT, DIN10_BIT)
#define DIN10_GPIOREG __gpioreg__(DIN10_PORT)
#if (DIN10_BIT &lt; 16)
#define DIN10_PINHALF L
#else
#define DIN10_PINHALF H
#endif
#define DIN10_PINCON __pincon__(DIN10_PORT, DIN10_PINHALF)
#define DIO140 140
#define DIO140_MBED_PIN DIN10_MBED_PIN
#define DIO140_PORT DIN10_PORT
#define DIO140_BIT DIN10_BIT
#define DIO140_GPIOREG DIN10_GPIOREG
#define DIO140_PINHALF DIN10_PINHALF
#define DIO140_PINCON DIN10_PINCON
#endif</v>
      </c>
      <c r="F139" s="19"/>
      <c r="G139" s="19"/>
      <c r="H139" s="4"/>
      <c r="I139" s="19" t="s">
        <v>430</v>
      </c>
      <c r="J139" s="4"/>
      <c r="K139" s="24">
        <v>3</v>
      </c>
      <c r="L139" s="24">
        <v>22</v>
      </c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</row>
    <row r="140" spans="1:26" ht="16.149999999999999" customHeight="1" x14ac:dyDescent="0.25">
      <c r="A140" s="4">
        <v>141</v>
      </c>
      <c r="B140" s="4" t="str">
        <f t="shared" si="0"/>
        <v>DIO141</v>
      </c>
      <c r="C140" s="5" t="s">
        <v>100</v>
      </c>
      <c r="D140" s="24">
        <v>11</v>
      </c>
      <c r="E140" s="19" t="str">
        <f t="shared" si="6"/>
        <v>#if (defined(DIN11_PORT) &amp;&amp; defined(DIN11_BIT))
#define DIN11 141
#define DIN11_MBED_PIN __mbedpin__(DIN11_PORT, DIN11_BIT)
#define DIN11_GPIOREG __gpioreg__(DIN11_PORT)
#if (DIN11_BIT &lt; 16)
#define DIN11_PINHALF L
#else
#define DIN11_PINHALF H
#endif
#define DIN11_PINCON __pincon__(DIN11_PORT, DIN11_PINHALF)
#define DIO141 141
#define DIO141_MBED_PIN DIN11_MBED_PIN
#define DIO141_PORT DIN11_PORT
#define DIO141_BIT DIN11_BIT
#define DIO141_GPIOREG DIN11_GPIOREG
#define DIO141_PINHALF DIN11_PINHALF
#define DIO141_PINCON DIN11_PINCON
#endif</v>
      </c>
      <c r="F140" s="19"/>
      <c r="G140" s="19"/>
      <c r="H140" s="4"/>
      <c r="I140" s="19" t="s">
        <v>431</v>
      </c>
      <c r="J140" s="4"/>
      <c r="K140" s="24">
        <v>3</v>
      </c>
      <c r="L140" s="24">
        <v>23</v>
      </c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</row>
    <row r="141" spans="1:26" ht="16.149999999999999" customHeight="1" x14ac:dyDescent="0.25">
      <c r="A141" s="4">
        <v>142</v>
      </c>
      <c r="B141" s="4" t="str">
        <f t="shared" si="0"/>
        <v>DIO142</v>
      </c>
      <c r="C141" s="5" t="s">
        <v>101</v>
      </c>
      <c r="D141" s="24">
        <v>12</v>
      </c>
      <c r="E141" s="19" t="str">
        <f t="shared" si="6"/>
        <v>#if (defined(DIN12_PORT) &amp;&amp; defined(DIN12_BIT))
#define DIN12 142
#define DIN12_MBED_PIN __mbedpin__(DIN12_PORT, DIN12_BIT)
#define DIN12_GPIOREG __gpioreg__(DIN12_PORT)
#if (DIN12_BIT &lt; 16)
#define DIN12_PINHALF L
#else
#define DIN12_PINHALF H
#endif
#define DIN12_PINCON __pincon__(DIN12_PORT, DIN12_PINHALF)
#define DIO142 142
#define DIO142_MBED_PIN DIN12_MBED_PIN
#define DIO142_PORT DIN12_PORT
#define DIO142_BIT DIN12_BIT
#define DIO142_GPIOREG DIN12_GPIOREG
#define DIO142_PINHALF DIN12_PINHALF
#define DIO142_PINCON DIN12_PINCON
#endif</v>
      </c>
      <c r="F141" s="19"/>
      <c r="G141" s="19"/>
      <c r="H141" s="4"/>
      <c r="I141" s="19" t="s">
        <v>432</v>
      </c>
      <c r="J141" s="4"/>
      <c r="K141" s="24">
        <v>3</v>
      </c>
      <c r="L141" s="24">
        <v>24</v>
      </c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</row>
    <row r="142" spans="1:26" ht="16.149999999999999" customHeight="1" x14ac:dyDescent="0.25">
      <c r="A142" s="4">
        <v>143</v>
      </c>
      <c r="B142" s="4" t="str">
        <f t="shared" si="0"/>
        <v>DIO143</v>
      </c>
      <c r="C142" s="5" t="s">
        <v>102</v>
      </c>
      <c r="D142" s="24">
        <v>13</v>
      </c>
      <c r="E142" s="19" t="str">
        <f t="shared" si="6"/>
        <v>#if (defined(DIN13_PORT) &amp;&amp; defined(DIN13_BIT))
#define DIN13 143
#define DIN13_MBED_PIN __mbedpin__(DIN13_PORT, DIN13_BIT)
#define DIN13_GPIOREG __gpioreg__(DIN13_PORT)
#if (DIN13_BIT &lt; 16)
#define DIN13_PINHALF L
#else
#define DIN13_PINHALF H
#endif
#define DIN13_PINCON __pincon__(DIN13_PORT, DIN13_PINHALF)
#define DIO143 143
#define DIO143_MBED_PIN DIN13_MBED_PIN
#define DIO143_PORT DIN13_PORT
#define DIO143_BIT DIN13_BIT
#define DIO143_GPIOREG DIN13_GPIOREG
#define DIO143_PINHALF DIN13_PINHALF
#define DIO143_PINCON DIN13_PINCON
#endif</v>
      </c>
      <c r="F142" s="19"/>
      <c r="G142" s="19"/>
      <c r="H142" s="4"/>
      <c r="I142" s="19" t="s">
        <v>433</v>
      </c>
      <c r="J142" s="4"/>
      <c r="K142" s="24">
        <v>3</v>
      </c>
      <c r="L142" s="24">
        <v>25</v>
      </c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</row>
    <row r="143" spans="1:26" ht="16.149999999999999" customHeight="1" x14ac:dyDescent="0.25">
      <c r="A143" s="4">
        <v>144</v>
      </c>
      <c r="B143" s="4" t="str">
        <f t="shared" si="0"/>
        <v>DIO144</v>
      </c>
      <c r="C143" s="5" t="s">
        <v>103</v>
      </c>
      <c r="D143" s="24">
        <v>14</v>
      </c>
      <c r="E143" s="19" t="str">
        <f t="shared" si="6"/>
        <v>#if (defined(DIN14_PORT) &amp;&amp; defined(DIN14_BIT))
#define DIN14 144
#define DIN14_MBED_PIN __mbedpin__(DIN14_PORT, DIN14_BIT)
#define DIN14_GPIOREG __gpioreg__(DIN14_PORT)
#if (DIN14_BIT &lt; 16)
#define DIN14_PINHALF L
#else
#define DIN14_PINHALF H
#endif
#define DIN14_PINCON __pincon__(DIN14_PORT, DIN14_PINHALF)
#define DIO144 144
#define DIO144_MBED_PIN DIN14_MBED_PIN
#define DIO144_PORT DIN14_PORT
#define DIO144_BIT DIN14_BIT
#define DIO144_GPIOREG DIN14_GPIOREG
#define DIO144_PINHALF DIN14_PINHALF
#define DIO144_PINCON DIN14_PINCON
#endif</v>
      </c>
      <c r="F143" s="19"/>
      <c r="G143" s="19"/>
      <c r="H143" s="4"/>
      <c r="I143" s="19" t="s">
        <v>434</v>
      </c>
      <c r="J143" s="4"/>
      <c r="K143" s="24">
        <v>3</v>
      </c>
      <c r="L143" s="24">
        <v>26</v>
      </c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</row>
    <row r="144" spans="1:26" ht="16.149999999999999" customHeight="1" x14ac:dyDescent="0.25">
      <c r="A144" s="4">
        <v>145</v>
      </c>
      <c r="B144" s="4" t="str">
        <f t="shared" si="0"/>
        <v>DIO145</v>
      </c>
      <c r="C144" s="5" t="s">
        <v>104</v>
      </c>
      <c r="D144" s="24">
        <v>15</v>
      </c>
      <c r="E144" s="19" t="str">
        <f t="shared" si="6"/>
        <v>#if (defined(DIN15_PORT) &amp;&amp; defined(DIN15_BIT))
#define DIN15 145
#define DIN15_MBED_PIN __mbedpin__(DIN15_PORT, DIN15_BIT)
#define DIN15_GPIOREG __gpioreg__(DIN15_PORT)
#if (DIN15_BIT &lt; 16)
#define DIN15_PINHALF L
#else
#define DIN15_PINHALF H
#endif
#define DIN15_PINCON __pincon__(DIN15_PORT, DIN15_PINHALF)
#define DIO145 145
#define DIO145_MBED_PIN DIN15_MBED_PIN
#define DIO145_PORT DIN15_PORT
#define DIO145_BIT DIN15_BIT
#define DIO145_GPIOREG DIN15_GPIOREG
#define DIO145_PINHALF DIN15_PINHALF
#define DIO145_PINCON DIN15_PINCON
#endif</v>
      </c>
      <c r="F144" s="19"/>
      <c r="G144" s="19"/>
      <c r="H144" s="4"/>
      <c r="I144" s="19" t="s">
        <v>435</v>
      </c>
      <c r="J144" s="4"/>
      <c r="K144" s="24">
        <v>3</v>
      </c>
      <c r="L144" s="24">
        <v>27</v>
      </c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</row>
    <row r="145" spans="1:26" ht="16.149999999999999" customHeight="1" x14ac:dyDescent="0.25">
      <c r="A145" s="4">
        <v>146</v>
      </c>
      <c r="B145" s="4" t="str">
        <f t="shared" si="0"/>
        <v>DIO146</v>
      </c>
      <c r="C145" s="5" t="s">
        <v>207</v>
      </c>
      <c r="D145" s="24">
        <v>16</v>
      </c>
      <c r="E145" s="19" t="str">
        <f t="shared" si="6"/>
        <v>#if (defined(DIN16_PORT) &amp;&amp; defined(DIN16_BIT))
#define DIN16 146
#define DIN16_MBED_PIN __mbedpin__(DIN16_PORT, DIN16_BIT)
#define DIN16_GPIOREG __gpioreg__(DIN16_PORT)
#if (DIN16_BIT &lt; 16)
#define DIN16_PINHALF L
#else
#define DIN16_PINHALF H
#endif
#define DIN16_PINCON __pincon__(DIN16_PORT, DIN16_PINHALF)
#define DIO146 146
#define DIO146_MBED_PIN DIN16_MBED_PIN
#define DIO146_PORT DIN16_PORT
#define DIO146_BIT DIN16_BIT
#define DIO146_GPIOREG DIN16_GPIOREG
#define DIO146_PINHALF DIN16_PINHALF
#define DIO146_PINCON DIN16_PINCON
#endif</v>
      </c>
      <c r="F145" s="22"/>
      <c r="G145" s="19"/>
      <c r="H145" s="4"/>
      <c r="I145" s="19" t="s">
        <v>436</v>
      </c>
      <c r="J145" s="4"/>
      <c r="K145" s="24">
        <v>3</v>
      </c>
      <c r="L145" s="24">
        <v>28</v>
      </c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</row>
    <row r="146" spans="1:26" ht="16.149999999999999" customHeight="1" x14ac:dyDescent="0.25">
      <c r="A146" s="4">
        <v>147</v>
      </c>
      <c r="B146" s="4" t="str">
        <f t="shared" si="0"/>
        <v>DIO147</v>
      </c>
      <c r="C146" s="5" t="s">
        <v>208</v>
      </c>
      <c r="D146" s="24">
        <v>17</v>
      </c>
      <c r="E146" s="19" t="str">
        <f t="shared" si="6"/>
        <v>#if (defined(DIN17_PORT) &amp;&amp; defined(DIN17_BIT))
#define DIN17 147
#define DIN17_MBED_PIN __mbedpin__(DIN17_PORT, DIN17_BIT)
#define DIN17_GPIOREG __gpioreg__(DIN17_PORT)
#if (DIN17_BIT &lt; 16)
#define DIN17_PINHALF L
#else
#define DIN17_PINHALF H
#endif
#define DIN17_PINCON __pincon__(DIN17_PORT, DIN17_PINHALF)
#define DIO147 147
#define DIO147_MBED_PIN DIN17_MBED_PIN
#define DIO147_PORT DIN17_PORT
#define DIO147_BIT DIN17_BIT
#define DIO147_GPIOREG DIN17_GPIOREG
#define DIO147_PINHALF DIN17_PINHALF
#define DIO147_PINCON DIN17_PINCON
#endif</v>
      </c>
      <c r="F146" s="22"/>
      <c r="G146" s="19"/>
      <c r="H146" s="4"/>
      <c r="I146" s="19" t="s">
        <v>437</v>
      </c>
      <c r="J146" s="4"/>
      <c r="K146" s="24">
        <v>3</v>
      </c>
      <c r="L146" s="24">
        <v>29</v>
      </c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</row>
    <row r="147" spans="1:26" ht="16.149999999999999" customHeight="1" x14ac:dyDescent="0.25">
      <c r="A147" s="4">
        <v>148</v>
      </c>
      <c r="B147" s="4" t="str">
        <f t="shared" si="0"/>
        <v>DIO148</v>
      </c>
      <c r="C147" s="5" t="s">
        <v>209</v>
      </c>
      <c r="D147" s="24">
        <v>18</v>
      </c>
      <c r="E147" s="19" t="str">
        <f t="shared" si="6"/>
        <v>#if (defined(DIN18_PORT) &amp;&amp; defined(DIN18_BIT))
#define DIN18 148
#define DIN18_MBED_PIN __mbedpin__(DIN18_PORT, DIN18_BIT)
#define DIN18_GPIOREG __gpioreg__(DIN18_PORT)
#if (DIN18_BIT &lt; 16)
#define DIN18_PINHALF L
#else
#define DIN18_PINHALF H
#endif
#define DIN18_PINCON __pincon__(DIN18_PORT, DIN18_PINHALF)
#define DIO148 148
#define DIO148_MBED_PIN DIN18_MBED_PIN
#define DIO148_PORT DIN18_PORT
#define DIO148_BIT DIN18_BIT
#define DIO148_GPIOREG DIN18_GPIOREG
#define DIO148_PINHALF DIN18_PINHALF
#define DIO148_PINCON DIN18_PINCON
#endif</v>
      </c>
      <c r="F147" s="22"/>
      <c r="G147" s="19"/>
      <c r="H147" s="4"/>
      <c r="I147" s="19" t="s">
        <v>438</v>
      </c>
      <c r="J147" s="4"/>
      <c r="K147" s="24">
        <v>3</v>
      </c>
      <c r="L147" s="24">
        <v>30</v>
      </c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</row>
    <row r="148" spans="1:26" ht="16.149999999999999" customHeight="1" x14ac:dyDescent="0.25">
      <c r="A148" s="4">
        <v>149</v>
      </c>
      <c r="B148" s="4" t="str">
        <f t="shared" si="0"/>
        <v>DIO149</v>
      </c>
      <c r="C148" s="5" t="s">
        <v>210</v>
      </c>
      <c r="D148" s="24">
        <v>19</v>
      </c>
      <c r="E148" s="19" t="str">
        <f t="shared" si="6"/>
        <v>#if (defined(DIN19_PORT) &amp;&amp; defined(DIN19_BIT))
#define DIN19 149
#define DIN19_MBED_PIN __mbedpin__(DIN19_PORT, DIN19_BIT)
#define DIN19_GPIOREG __gpioreg__(DIN19_PORT)
#if (DIN19_BIT &lt; 16)
#define DIN19_PINHALF L
#else
#define DIN19_PINHALF H
#endif
#define DIN19_PINCON __pincon__(DIN19_PORT, DIN19_PINHALF)
#define DIO149 149
#define DIO149_MBED_PIN DIN19_MBED_PIN
#define DIO149_PORT DIN19_PORT
#define DIO149_BIT DIN19_BIT
#define DIO149_GPIOREG DIN19_GPIOREG
#define DIO149_PINHALF DIN19_PINHALF
#define DIO149_PINCON DIN19_PINCON
#endif</v>
      </c>
      <c r="F148" s="22"/>
      <c r="G148" s="19"/>
      <c r="H148" s="4"/>
      <c r="I148" s="19" t="s">
        <v>439</v>
      </c>
      <c r="J148" s="4"/>
      <c r="K148" s="24">
        <v>3</v>
      </c>
      <c r="L148" s="24">
        <v>31</v>
      </c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</row>
    <row r="149" spans="1:26" ht="16.149999999999999" customHeight="1" x14ac:dyDescent="0.25">
      <c r="A149" s="4">
        <v>150</v>
      </c>
      <c r="B149" s="4" t="str">
        <f t="shared" si="0"/>
        <v>DIO150</v>
      </c>
      <c r="C149" s="5" t="s">
        <v>211</v>
      </c>
      <c r="D149" s="24">
        <v>20</v>
      </c>
      <c r="E149" s="19" t="str">
        <f t="shared" si="6"/>
        <v>#if (defined(DIN20_PORT) &amp;&amp; defined(DIN20_BIT))
#define DIN20 150
#define DIN20_MBED_PIN __mbedpin__(DIN20_PORT, DIN20_BIT)
#define DIN20_GPIOREG __gpioreg__(DIN20_PORT)
#if (DIN20_BIT &lt; 16)
#define DIN20_PINHALF L
#else
#define DIN20_PINHALF H
#endif
#define DIN20_PINCON __pincon__(DIN20_PORT, DIN20_PINHALF)
#define DIO150 150
#define DIO150_MBED_PIN DIN20_MBED_PIN
#define DIO150_PORT DIN20_PORT
#define DIO150_BIT DIN20_BIT
#define DIO150_GPIOREG DIN20_GPIOREG
#define DIO150_PINHALF DIN20_PINHALF
#define DIO150_PINCON DIN20_PINCON
#endif</v>
      </c>
      <c r="F149" s="22"/>
      <c r="G149" s="19"/>
      <c r="H149" s="4"/>
      <c r="I149" s="19" t="s">
        <v>440</v>
      </c>
      <c r="J149" s="4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</row>
    <row r="150" spans="1:26" ht="16.149999999999999" customHeight="1" x14ac:dyDescent="0.25">
      <c r="A150" s="4">
        <v>151</v>
      </c>
      <c r="B150" s="4" t="str">
        <f t="shared" si="0"/>
        <v>DIO151</v>
      </c>
      <c r="C150" s="5" t="s">
        <v>212</v>
      </c>
      <c r="D150" s="24">
        <v>21</v>
      </c>
      <c r="E150" s="19" t="str">
        <f t="shared" si="6"/>
        <v>#if (defined(DIN21_PORT) &amp;&amp; defined(DIN21_BIT))
#define DIN21 151
#define DIN21_MBED_PIN __mbedpin__(DIN21_PORT, DIN21_BIT)
#define DIN21_GPIOREG __gpioreg__(DIN21_PORT)
#if (DIN21_BIT &lt; 16)
#define DIN21_PINHALF L
#else
#define DIN21_PINHALF H
#endif
#define DIN21_PINCON __pincon__(DIN21_PORT, DIN21_PINHALF)
#define DIO151 151
#define DIO151_MBED_PIN DIN21_MBED_PIN
#define DIO151_PORT DIN21_PORT
#define DIO151_BIT DIN21_BIT
#define DIO151_GPIOREG DIN21_GPIOREG
#define DIO151_PINHALF DIN21_PINHALF
#define DIO151_PINCON DIN21_PINCON
#endif</v>
      </c>
      <c r="F150" s="22"/>
      <c r="G150" s="19"/>
      <c r="H150" s="4"/>
      <c r="I150" s="19" t="s">
        <v>441</v>
      </c>
      <c r="J150" s="4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</row>
    <row r="151" spans="1:26" ht="16.149999999999999" customHeight="1" x14ac:dyDescent="0.25">
      <c r="A151" s="4">
        <v>152</v>
      </c>
      <c r="B151" s="4" t="str">
        <f t="shared" si="0"/>
        <v>DIO152</v>
      </c>
      <c r="C151" s="5" t="s">
        <v>213</v>
      </c>
      <c r="D151" s="24">
        <v>22</v>
      </c>
      <c r="E151" s="19" t="str">
        <f t="shared" si="6"/>
        <v>#if (defined(DIN22_PORT) &amp;&amp; defined(DIN22_BIT))
#define DIN22 152
#define DIN22_MBED_PIN __mbedpin__(DIN22_PORT, DIN22_BIT)
#define DIN22_GPIOREG __gpioreg__(DIN22_PORT)
#if (DIN22_BIT &lt; 16)
#define DIN22_PINHALF L
#else
#define DIN22_PINHALF H
#endif
#define DIN22_PINCON __pincon__(DIN22_PORT, DIN22_PINHALF)
#define DIO152 152
#define DIO152_MBED_PIN DIN22_MBED_PIN
#define DIO152_PORT DIN22_PORT
#define DIO152_BIT DIN22_BIT
#define DIO152_GPIOREG DIN22_GPIOREG
#define DIO152_PINHALF DIN22_PINHALF
#define DIO152_PINCON DIN22_PINCON
#endif</v>
      </c>
      <c r="F151" s="22"/>
      <c r="G151" s="19"/>
      <c r="H151" s="4"/>
      <c r="I151" s="19" t="s">
        <v>442</v>
      </c>
      <c r="J151" s="4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</row>
    <row r="152" spans="1:26" ht="16.149999999999999" customHeight="1" x14ac:dyDescent="0.25">
      <c r="A152" s="4">
        <v>153</v>
      </c>
      <c r="B152" s="4" t="str">
        <f t="shared" si="0"/>
        <v>DIO153</v>
      </c>
      <c r="C152" s="5" t="s">
        <v>214</v>
      </c>
      <c r="D152" s="24">
        <v>23</v>
      </c>
      <c r="E152" s="19" t="str">
        <f t="shared" si="6"/>
        <v>#if (defined(DIN23_PORT) &amp;&amp; defined(DIN23_BIT))
#define DIN23 153
#define DIN23_MBED_PIN __mbedpin__(DIN23_PORT, DIN23_BIT)
#define DIN23_GPIOREG __gpioreg__(DIN23_PORT)
#if (DIN23_BIT &lt; 16)
#define DIN23_PINHALF L
#else
#define DIN23_PINHALF H
#endif
#define DIN23_PINCON __pincon__(DIN23_PORT, DIN23_PINHALF)
#define DIO153 153
#define DIO153_MBED_PIN DIN23_MBED_PIN
#define DIO153_PORT DIN23_PORT
#define DIO153_BIT DIN23_BIT
#define DIO153_GPIOREG DIN23_GPIOREG
#define DIO153_PINHALF DIN23_PINHALF
#define DIO153_PINCON DIN23_PINCON
#endif</v>
      </c>
      <c r="F152" s="22"/>
      <c r="G152" s="19"/>
      <c r="H152" s="4"/>
      <c r="I152" s="19" t="s">
        <v>443</v>
      </c>
      <c r="J152" s="4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</row>
    <row r="153" spans="1:26" ht="16.149999999999999" customHeight="1" x14ac:dyDescent="0.25">
      <c r="A153" s="4">
        <v>154</v>
      </c>
      <c r="B153" s="4" t="str">
        <f t="shared" si="0"/>
        <v>DIO154</v>
      </c>
      <c r="C153" s="5" t="s">
        <v>215</v>
      </c>
      <c r="D153" s="24">
        <v>24</v>
      </c>
      <c r="E153" s="19" t="str">
        <f t="shared" si="6"/>
        <v>#if (defined(DIN24_PORT) &amp;&amp; defined(DIN24_BIT))
#define DIN24 154
#define DIN24_MBED_PIN __mbedpin__(DIN24_PORT, DIN24_BIT)
#define DIN24_GPIOREG __gpioreg__(DIN24_PORT)
#if (DIN24_BIT &lt; 16)
#define DIN24_PINHALF L
#else
#define DIN24_PINHALF H
#endif
#define DIN24_PINCON __pincon__(DIN24_PORT, DIN24_PINHALF)
#define DIO154 154
#define DIO154_MBED_PIN DIN24_MBED_PIN
#define DIO154_PORT DIN24_PORT
#define DIO154_BIT DIN24_BIT
#define DIO154_GPIOREG DIN24_GPIOREG
#define DIO154_PINHALF DIN24_PINHALF
#define DIO154_PINCON DIN24_PINCON
#endif</v>
      </c>
      <c r="F153" s="19"/>
      <c r="G153" s="19"/>
      <c r="H153" s="4"/>
      <c r="I153" s="4" t="s">
        <v>444</v>
      </c>
      <c r="J153" s="4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</row>
    <row r="154" spans="1:26" ht="16.149999999999999" customHeight="1" x14ac:dyDescent="0.25">
      <c r="A154" s="4">
        <v>155</v>
      </c>
      <c r="B154" s="4" t="str">
        <f t="shared" si="0"/>
        <v>DIO155</v>
      </c>
      <c r="C154" s="5" t="s">
        <v>216</v>
      </c>
      <c r="D154" s="24">
        <v>25</v>
      </c>
      <c r="E154" s="19" t="str">
        <f t="shared" si="6"/>
        <v>#if (defined(DIN25_PORT) &amp;&amp; defined(DIN25_BIT))
#define DIN25 155
#define DIN25_MBED_PIN __mbedpin__(DIN25_PORT, DIN25_BIT)
#define DIN25_GPIOREG __gpioreg__(DIN25_PORT)
#if (DIN25_BIT &lt; 16)
#define DIN25_PINHALF L
#else
#define DIN25_PINHALF H
#endif
#define DIN25_PINCON __pincon__(DIN25_PORT, DIN25_PINHALF)
#define DIO155 155
#define DIO155_MBED_PIN DIN25_MBED_PIN
#define DIO155_PORT DIN25_PORT
#define DIO155_BIT DIN25_BIT
#define DIO155_GPIOREG DIN25_GPIOREG
#define DIO155_PINHALF DIN25_PINHALF
#define DIO155_PINCON DIN25_PINCON
#endif</v>
      </c>
      <c r="F154" s="19"/>
      <c r="G154" s="19"/>
      <c r="H154" s="4"/>
      <c r="I154" s="4" t="s">
        <v>445</v>
      </c>
      <c r="J154" s="4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</row>
    <row r="155" spans="1:26" ht="16.149999999999999" customHeight="1" x14ac:dyDescent="0.25">
      <c r="A155" s="4">
        <v>156</v>
      </c>
      <c r="B155" s="4" t="str">
        <f t="shared" si="0"/>
        <v>DIO156</v>
      </c>
      <c r="C155" s="5" t="s">
        <v>217</v>
      </c>
      <c r="D155" s="24">
        <v>26</v>
      </c>
      <c r="E155" s="19" t="str">
        <f t="shared" si="6"/>
        <v>#if (defined(DIN26_PORT) &amp;&amp; defined(DIN26_BIT))
#define DIN26 156
#define DIN26_MBED_PIN __mbedpin__(DIN26_PORT, DIN26_BIT)
#define DIN26_GPIOREG __gpioreg__(DIN26_PORT)
#if (DIN26_BIT &lt; 16)
#define DIN26_PINHALF L
#else
#define DIN26_PINHALF H
#endif
#define DIN26_PINCON __pincon__(DIN26_PORT, DIN26_PINHALF)
#define DIO156 156
#define DIO156_MBED_PIN DIN26_MBED_PIN
#define DIO156_PORT DIN26_PORT
#define DIO156_BIT DIN26_BIT
#define DIO156_GPIOREG DIN26_GPIOREG
#define DIO156_PINHALF DIN26_PINHALF
#define DIO156_PINCON DIN26_PINCON
#endif</v>
      </c>
      <c r="F155" s="19"/>
      <c r="G155" s="19"/>
      <c r="H155" s="4"/>
      <c r="I155" s="4" t="s">
        <v>446</v>
      </c>
      <c r="J155" s="4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</row>
    <row r="156" spans="1:26" ht="16.149999999999999" customHeight="1" x14ac:dyDescent="0.25">
      <c r="A156" s="4">
        <v>157</v>
      </c>
      <c r="B156" s="4" t="str">
        <f t="shared" si="0"/>
        <v>DIO157</v>
      </c>
      <c r="C156" s="5" t="s">
        <v>218</v>
      </c>
      <c r="D156" s="24">
        <v>27</v>
      </c>
      <c r="E156" s="19" t="str">
        <f t="shared" si="6"/>
        <v>#if (defined(DIN27_PORT) &amp;&amp; defined(DIN27_BIT))
#define DIN27 157
#define DIN27_MBED_PIN __mbedpin__(DIN27_PORT, DIN27_BIT)
#define DIN27_GPIOREG __gpioreg__(DIN27_PORT)
#if (DIN27_BIT &lt; 16)
#define DIN27_PINHALF L
#else
#define DIN27_PINHALF H
#endif
#define DIN27_PINCON __pincon__(DIN27_PORT, DIN27_PINHALF)
#define DIO157 157
#define DIO157_MBED_PIN DIN27_MBED_PIN
#define DIO157_PORT DIN27_PORT
#define DIO157_BIT DIN27_BIT
#define DIO157_GPIOREG DIN27_GPIOREG
#define DIO157_PINHALF DIN27_PINHALF
#define DIO157_PINCON DIN27_PINCON
#endif</v>
      </c>
      <c r="F156" s="19"/>
      <c r="G156" s="19"/>
      <c r="H156" s="4"/>
      <c r="I156" s="4" t="s">
        <v>447</v>
      </c>
      <c r="J156" s="4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</row>
    <row r="157" spans="1:26" ht="16.149999999999999" customHeight="1" x14ac:dyDescent="0.25">
      <c r="A157" s="4">
        <v>158</v>
      </c>
      <c r="B157" s="4" t="str">
        <f t="shared" si="0"/>
        <v>DIO158</v>
      </c>
      <c r="C157" s="5" t="s">
        <v>219</v>
      </c>
      <c r="D157" s="24">
        <v>28</v>
      </c>
      <c r="E157" s="19" t="str">
        <f t="shared" si="6"/>
        <v>#if (defined(DIN28_PORT) &amp;&amp; defined(DIN28_BIT))
#define DIN28 158
#define DIN28_MBED_PIN __mbedpin__(DIN28_PORT, DIN28_BIT)
#define DIN28_GPIOREG __gpioreg__(DIN28_PORT)
#if (DIN28_BIT &lt; 16)
#define DIN28_PINHALF L
#else
#define DIN28_PINHALF H
#endif
#define DIN28_PINCON __pincon__(DIN28_PORT, DIN28_PINHALF)
#define DIO158 158
#define DIO158_MBED_PIN DIN28_MBED_PIN
#define DIO158_PORT DIN28_PORT
#define DIO158_BIT DIN28_BIT
#define DIO158_GPIOREG DIN28_GPIOREG
#define DIO158_PINHALF DIN28_PINHALF
#define DIO158_PINCON DIN28_PINCON
#endif</v>
      </c>
      <c r="F157" s="19"/>
      <c r="G157" s="19"/>
      <c r="H157" s="4"/>
      <c r="I157" s="4" t="s">
        <v>448</v>
      </c>
      <c r="J157" s="4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</row>
    <row r="158" spans="1:26" ht="16.149999999999999" customHeight="1" x14ac:dyDescent="0.25">
      <c r="A158" s="4">
        <v>159</v>
      </c>
      <c r="B158" s="4" t="str">
        <f t="shared" si="0"/>
        <v>DIO159</v>
      </c>
      <c r="C158" s="5" t="s">
        <v>220</v>
      </c>
      <c r="D158" s="24">
        <v>29</v>
      </c>
      <c r="E158" s="19" t="str">
        <f t="shared" si="6"/>
        <v>#if (defined(DIN29_PORT) &amp;&amp; defined(DIN29_BIT))
#define DIN29 159
#define DIN29_MBED_PIN __mbedpin__(DIN29_PORT, DIN29_BIT)
#define DIN29_GPIOREG __gpioreg__(DIN29_PORT)
#if (DIN29_BIT &lt; 16)
#define DIN29_PINHALF L
#else
#define DIN29_PINHALF H
#endif
#define DIN29_PINCON __pincon__(DIN29_PORT, DIN29_PINHALF)
#define DIO159 159
#define DIO159_MBED_PIN DIN29_MBED_PIN
#define DIO159_PORT DIN29_PORT
#define DIO159_BIT DIN29_BIT
#define DIO159_GPIOREG DIN29_GPIOREG
#define DIO159_PINHALF DIN29_PINHALF
#define DIO159_PINCON DIN29_PINCON
#endif</v>
      </c>
      <c r="F158" s="19"/>
      <c r="G158" s="19"/>
      <c r="H158" s="4"/>
      <c r="I158" s="4" t="s">
        <v>449</v>
      </c>
      <c r="J158" s="4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</row>
    <row r="159" spans="1:26" ht="16.149999999999999" customHeight="1" x14ac:dyDescent="0.25">
      <c r="A159" s="4">
        <v>160</v>
      </c>
      <c r="B159" s="4" t="str">
        <f t="shared" si="0"/>
        <v>DIO160</v>
      </c>
      <c r="C159" s="5" t="s">
        <v>221</v>
      </c>
      <c r="D159" s="24">
        <v>30</v>
      </c>
      <c r="E159" s="19" t="str">
        <f t="shared" si="6"/>
        <v>#if (defined(DIN30_PORT) &amp;&amp; defined(DIN30_BIT))
#define DIN30 160
#define DIN30_MBED_PIN __mbedpin__(DIN30_PORT, DIN30_BIT)
#define DIN30_GPIOREG __gpioreg__(DIN30_PORT)
#if (DIN30_BIT &lt; 16)
#define DIN30_PINHALF L
#else
#define DIN30_PINHALF H
#endif
#define DIN30_PINCON __pincon__(DIN30_PORT, DIN30_PINHALF)
#define DIO160 160
#define DIO160_MBED_PIN DIN30_MBED_PIN
#define DIO160_PORT DIN30_PORT
#define DIO160_BIT DIN30_BIT
#define DIO160_GPIOREG DIN30_GPIOREG
#define DIO160_PINHALF DIN30_PINHALF
#define DIO160_PINCON DIN30_PINCON
#endif</v>
      </c>
      <c r="F159" s="19"/>
      <c r="G159" s="19"/>
      <c r="H159" s="4"/>
      <c r="I159" s="4" t="s">
        <v>450</v>
      </c>
      <c r="J159" s="4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</row>
    <row r="160" spans="1:26" ht="16.149999999999999" customHeight="1" x14ac:dyDescent="0.25">
      <c r="A160" s="4">
        <v>161</v>
      </c>
      <c r="B160" s="4" t="str">
        <f t="shared" si="0"/>
        <v>DIO161</v>
      </c>
      <c r="C160" s="5" t="s">
        <v>222</v>
      </c>
      <c r="D160" s="24">
        <v>31</v>
      </c>
      <c r="E160" s="19" t="str">
        <f t="shared" si="6"/>
        <v>#if (defined(DIN31_PORT) &amp;&amp; defined(DIN31_BIT))
#define DIN31 161
#define DIN31_MBED_PIN __mbedpin__(DIN31_PORT, DIN31_BIT)
#define DIN31_GPIOREG __gpioreg__(DIN31_PORT)
#if (DIN31_BIT &lt; 16)
#define DIN31_PINHALF L
#else
#define DIN31_PINHALF H
#endif
#define DIN31_PINCON __pincon__(DIN31_PORT, DIN31_PINHALF)
#define DIO161 161
#define DIO161_MBED_PIN DIN31_MBED_PIN
#define DIO161_PORT DIN31_PORT
#define DIO161_BIT DIN31_BIT
#define DIO161_GPIOREG DIN31_GPIOREG
#define DIO161_PINHALF DIN31_PINHALF
#define DIO161_PINCON DIN31_PINCON
#endif</v>
      </c>
      <c r="F160" s="19"/>
      <c r="G160" s="19"/>
      <c r="H160" s="4"/>
      <c r="I160" s="4" t="s">
        <v>451</v>
      </c>
      <c r="J160" s="4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</row>
    <row r="161" spans="1:26" ht="16.149999999999999" customHeight="1" x14ac:dyDescent="0.25">
      <c r="A161" s="4">
        <v>162</v>
      </c>
      <c r="B161" s="4" t="str">
        <f t="shared" ref="B161:B178" si="7">"DIO"&amp;A161</f>
        <v>DIO162</v>
      </c>
      <c r="C161" s="5" t="s">
        <v>545</v>
      </c>
      <c r="D161" s="24">
        <v>32</v>
      </c>
      <c r="E161" s="19" t="str">
        <f t="shared" ref="E161:E178" si="8">"#if (defined("&amp;C161&amp;"_PORT) &amp;&amp; defined("&amp;C161&amp;"_BIT))
#define "&amp;C161&amp;" "&amp;A161&amp;"
#define "&amp;C161&amp;"_MBED_PIN __mbedpin__("&amp;C161&amp;"_PORT, "&amp;C161&amp;"_BIT)
#define "&amp;C161&amp;"_GPIOREG __gpioreg__("&amp;C161&amp;"_PORT)
#if ("&amp;C161&amp;"_BIT &lt; 16)
#define "&amp;C161&amp;"_PINHALF L
#else
#define "&amp;C161&amp;"_PINHALF H
#endif
#define "&amp;C161&amp;"_PINCON __pincon__("&amp;C161&amp;"_PORT, "&amp;C161&amp;"_PINHALF)
#define "&amp;B161&amp;" "&amp;A161&amp;"
#define "&amp;B161&amp;"_MBED_PIN "&amp;C161&amp;"_MBED_PIN
#define "&amp;B161&amp;"_PORT "&amp;C161&amp;"_PORT
#define "&amp;B161&amp;"_BIT "&amp;C161&amp;"_BIT
#define "&amp;B161&amp;"_GPIOREG "&amp;C161&amp;"_GPIOREG
#define "&amp;B161&amp;"_PINHALF "&amp;C161&amp;"_PINHALF
#define "&amp;B161&amp;"_PINCON "&amp;C161&amp;"_PINCON
#endif"</f>
        <v>#if (defined(DIN32_PORT) &amp;&amp; defined(DIN32_BIT))
#define DIN32 162
#define DIN32_MBED_PIN __mbedpin__(DIN32_PORT, DIN32_BIT)
#define DIN32_GPIOREG __gpioreg__(DIN32_PORT)
#if (DIN32_BIT &lt; 16)
#define DIN32_PINHALF L
#else
#define DIN32_PINHALF H
#endif
#define DIN32_PINCON __pincon__(DIN32_PORT, DIN32_PINHALF)
#define DIO162 162
#define DIO162_MBED_PIN DIN32_MBED_PIN
#define DIO162_PORT DIN32_PORT
#define DIO162_BIT DIN32_BIT
#define DIO162_GPIOREG DIN32_GPIOREG
#define DIO162_PINHALF DIN32_PINHALF
#define DIO162_PINCON DIN32_PINCON
#endif</v>
      </c>
      <c r="F161" s="19"/>
      <c r="G161" s="19"/>
      <c r="H161" s="4"/>
      <c r="I161" s="4"/>
      <c r="J161" s="4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</row>
    <row r="162" spans="1:26" ht="16.149999999999999" customHeight="1" x14ac:dyDescent="0.25">
      <c r="A162" s="4">
        <v>163</v>
      </c>
      <c r="B162" s="4" t="str">
        <f t="shared" si="7"/>
        <v>DIO163</v>
      </c>
      <c r="C162" s="5" t="s">
        <v>546</v>
      </c>
      <c r="D162" s="24">
        <v>33</v>
      </c>
      <c r="E162" s="19" t="str">
        <f t="shared" si="8"/>
        <v>#if (defined(DIN33_PORT) &amp;&amp; defined(DIN33_BIT))
#define DIN33 163
#define DIN33_MBED_PIN __mbedpin__(DIN33_PORT, DIN33_BIT)
#define DIN33_GPIOREG __gpioreg__(DIN33_PORT)
#if (DIN33_BIT &lt; 16)
#define DIN33_PINHALF L
#else
#define DIN33_PINHALF H
#endif
#define DIN33_PINCON __pincon__(DIN33_PORT, DIN33_PINHALF)
#define DIO163 163
#define DIO163_MBED_PIN DIN33_MBED_PIN
#define DIO163_PORT DIN33_PORT
#define DIO163_BIT DIN33_BIT
#define DIO163_GPIOREG DIN33_GPIOREG
#define DIO163_PINHALF DIN33_PINHALF
#define DIO163_PINCON DIN33_PINCON
#endif</v>
      </c>
      <c r="F162" s="19"/>
      <c r="G162" s="19"/>
      <c r="H162" s="4"/>
      <c r="I162" s="4"/>
      <c r="J162" s="4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</row>
    <row r="163" spans="1:26" ht="16.149999999999999" customHeight="1" x14ac:dyDescent="0.25">
      <c r="A163" s="4">
        <v>164</v>
      </c>
      <c r="B163" s="4" t="str">
        <f t="shared" si="7"/>
        <v>DIO164</v>
      </c>
      <c r="C163" s="5" t="s">
        <v>547</v>
      </c>
      <c r="D163" s="24">
        <v>34</v>
      </c>
      <c r="E163" s="19" t="str">
        <f t="shared" si="8"/>
        <v>#if (defined(DIN34_PORT) &amp;&amp; defined(DIN34_BIT))
#define DIN34 164
#define DIN34_MBED_PIN __mbedpin__(DIN34_PORT, DIN34_BIT)
#define DIN34_GPIOREG __gpioreg__(DIN34_PORT)
#if (DIN34_BIT &lt; 16)
#define DIN34_PINHALF L
#else
#define DIN34_PINHALF H
#endif
#define DIN34_PINCON __pincon__(DIN34_PORT, DIN34_PINHALF)
#define DIO164 164
#define DIO164_MBED_PIN DIN34_MBED_PIN
#define DIO164_PORT DIN34_PORT
#define DIO164_BIT DIN34_BIT
#define DIO164_GPIOREG DIN34_GPIOREG
#define DIO164_PINHALF DIN34_PINHALF
#define DIO164_PINCON DIN34_PINCON
#endif</v>
      </c>
      <c r="F163" s="19"/>
      <c r="G163" s="19"/>
      <c r="H163" s="4"/>
      <c r="I163" s="4"/>
      <c r="J163" s="4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</row>
    <row r="164" spans="1:26" ht="16.149999999999999" customHeight="1" x14ac:dyDescent="0.25">
      <c r="A164" s="4">
        <v>165</v>
      </c>
      <c r="B164" s="4" t="str">
        <f t="shared" si="7"/>
        <v>DIO165</v>
      </c>
      <c r="C164" s="5" t="s">
        <v>548</v>
      </c>
      <c r="D164" s="24">
        <v>35</v>
      </c>
      <c r="E164" s="19" t="str">
        <f t="shared" si="8"/>
        <v>#if (defined(DIN35_PORT) &amp;&amp; defined(DIN35_BIT))
#define DIN35 165
#define DIN35_MBED_PIN __mbedpin__(DIN35_PORT, DIN35_BIT)
#define DIN35_GPIOREG __gpioreg__(DIN35_PORT)
#if (DIN35_BIT &lt; 16)
#define DIN35_PINHALF L
#else
#define DIN35_PINHALF H
#endif
#define DIN35_PINCON __pincon__(DIN35_PORT, DIN35_PINHALF)
#define DIO165 165
#define DIO165_MBED_PIN DIN35_MBED_PIN
#define DIO165_PORT DIN35_PORT
#define DIO165_BIT DIN35_BIT
#define DIO165_GPIOREG DIN35_GPIOREG
#define DIO165_PINHALF DIN35_PINHALF
#define DIO165_PINCON DIN35_PINCON
#endif</v>
      </c>
      <c r="F164" s="19"/>
      <c r="G164" s="19"/>
      <c r="H164" s="4"/>
      <c r="I164" s="4"/>
      <c r="J164" s="4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</row>
    <row r="165" spans="1:26" ht="16.149999999999999" customHeight="1" x14ac:dyDescent="0.25">
      <c r="A165" s="4">
        <v>166</v>
      </c>
      <c r="B165" s="4" t="str">
        <f t="shared" si="7"/>
        <v>DIO166</v>
      </c>
      <c r="C165" s="5" t="s">
        <v>549</v>
      </c>
      <c r="D165" s="24">
        <v>36</v>
      </c>
      <c r="E165" s="19" t="str">
        <f t="shared" si="8"/>
        <v>#if (defined(DIN36_PORT) &amp;&amp; defined(DIN36_BIT))
#define DIN36 166
#define DIN36_MBED_PIN __mbedpin__(DIN36_PORT, DIN36_BIT)
#define DIN36_GPIOREG __gpioreg__(DIN36_PORT)
#if (DIN36_BIT &lt; 16)
#define DIN36_PINHALF L
#else
#define DIN36_PINHALF H
#endif
#define DIN36_PINCON __pincon__(DIN36_PORT, DIN36_PINHALF)
#define DIO166 166
#define DIO166_MBED_PIN DIN36_MBED_PIN
#define DIO166_PORT DIN36_PORT
#define DIO166_BIT DIN36_BIT
#define DIO166_GPIOREG DIN36_GPIOREG
#define DIO166_PINHALF DIN36_PINHALF
#define DIO166_PINCON DIN36_PINCON
#endif</v>
      </c>
      <c r="F165" s="19"/>
      <c r="G165" s="19"/>
      <c r="H165" s="4"/>
      <c r="I165" s="4"/>
      <c r="J165" s="4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</row>
    <row r="166" spans="1:26" ht="16.149999999999999" customHeight="1" x14ac:dyDescent="0.25">
      <c r="A166" s="4">
        <v>167</v>
      </c>
      <c r="B166" s="4" t="str">
        <f t="shared" si="7"/>
        <v>DIO167</v>
      </c>
      <c r="C166" s="5" t="s">
        <v>550</v>
      </c>
      <c r="D166" s="24">
        <v>37</v>
      </c>
      <c r="E166" s="19" t="str">
        <f t="shared" si="8"/>
        <v>#if (defined(DIN37_PORT) &amp;&amp; defined(DIN37_BIT))
#define DIN37 167
#define DIN37_MBED_PIN __mbedpin__(DIN37_PORT, DIN37_BIT)
#define DIN37_GPIOREG __gpioreg__(DIN37_PORT)
#if (DIN37_BIT &lt; 16)
#define DIN37_PINHALF L
#else
#define DIN37_PINHALF H
#endif
#define DIN37_PINCON __pincon__(DIN37_PORT, DIN37_PINHALF)
#define DIO167 167
#define DIO167_MBED_PIN DIN37_MBED_PIN
#define DIO167_PORT DIN37_PORT
#define DIO167_BIT DIN37_BIT
#define DIO167_GPIOREG DIN37_GPIOREG
#define DIO167_PINHALF DIN37_PINHALF
#define DIO167_PINCON DIN37_PINCON
#endif</v>
      </c>
      <c r="F166" s="19"/>
      <c r="G166" s="19"/>
      <c r="H166" s="4"/>
      <c r="I166" s="4"/>
      <c r="J166" s="4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</row>
    <row r="167" spans="1:26" ht="16.149999999999999" customHeight="1" x14ac:dyDescent="0.25">
      <c r="A167" s="4">
        <v>168</v>
      </c>
      <c r="B167" s="4" t="str">
        <f t="shared" si="7"/>
        <v>DIO168</v>
      </c>
      <c r="C167" s="5" t="s">
        <v>551</v>
      </c>
      <c r="D167" s="24">
        <v>38</v>
      </c>
      <c r="E167" s="19" t="str">
        <f t="shared" si="8"/>
        <v>#if (defined(DIN38_PORT) &amp;&amp; defined(DIN38_BIT))
#define DIN38 168
#define DIN38_MBED_PIN __mbedpin__(DIN38_PORT, DIN38_BIT)
#define DIN38_GPIOREG __gpioreg__(DIN38_PORT)
#if (DIN38_BIT &lt; 16)
#define DIN38_PINHALF L
#else
#define DIN38_PINHALF H
#endif
#define DIN38_PINCON __pincon__(DIN38_PORT, DIN38_PINHALF)
#define DIO168 168
#define DIO168_MBED_PIN DIN38_MBED_PIN
#define DIO168_PORT DIN38_PORT
#define DIO168_BIT DIN38_BIT
#define DIO168_GPIOREG DIN38_GPIOREG
#define DIO168_PINHALF DIN38_PINHALF
#define DIO168_PINCON DIN38_PINCON
#endif</v>
      </c>
      <c r="F167" s="19"/>
      <c r="G167" s="19"/>
      <c r="H167" s="4"/>
      <c r="I167" s="4"/>
      <c r="J167" s="4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</row>
    <row r="168" spans="1:26" ht="16.149999999999999" customHeight="1" x14ac:dyDescent="0.25">
      <c r="A168" s="4">
        <v>169</v>
      </c>
      <c r="B168" s="4" t="str">
        <f t="shared" si="7"/>
        <v>DIO169</v>
      </c>
      <c r="C168" s="5" t="s">
        <v>552</v>
      </c>
      <c r="D168" s="24">
        <v>39</v>
      </c>
      <c r="E168" s="19" t="str">
        <f t="shared" si="8"/>
        <v>#if (defined(DIN39_PORT) &amp;&amp; defined(DIN39_BIT))
#define DIN39 169
#define DIN39_MBED_PIN __mbedpin__(DIN39_PORT, DIN39_BIT)
#define DIN39_GPIOREG __gpioreg__(DIN39_PORT)
#if (DIN39_BIT &lt; 16)
#define DIN39_PINHALF L
#else
#define DIN39_PINHALF H
#endif
#define DIN39_PINCON __pincon__(DIN39_PORT, DIN39_PINHALF)
#define DIO169 169
#define DIO169_MBED_PIN DIN39_MBED_PIN
#define DIO169_PORT DIN39_PORT
#define DIO169_BIT DIN39_BIT
#define DIO169_GPIOREG DIN39_GPIOREG
#define DIO169_PINHALF DIN39_PINHALF
#define DIO169_PINCON DIN39_PINCON
#endif</v>
      </c>
      <c r="F168" s="19"/>
      <c r="G168" s="19"/>
      <c r="H168" s="4"/>
      <c r="I168" s="4"/>
      <c r="J168" s="4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</row>
    <row r="169" spans="1:26" ht="16.149999999999999" customHeight="1" x14ac:dyDescent="0.25">
      <c r="A169" s="4">
        <v>170</v>
      </c>
      <c r="B169" s="4" t="str">
        <f t="shared" si="7"/>
        <v>DIO170</v>
      </c>
      <c r="C169" s="5" t="s">
        <v>553</v>
      </c>
      <c r="D169" s="24">
        <v>40</v>
      </c>
      <c r="E169" s="19" t="str">
        <f t="shared" si="8"/>
        <v>#if (defined(DIN40_PORT) &amp;&amp; defined(DIN40_BIT))
#define DIN40 170
#define DIN40_MBED_PIN __mbedpin__(DIN40_PORT, DIN40_BIT)
#define DIN40_GPIOREG __gpioreg__(DIN40_PORT)
#if (DIN40_BIT &lt; 16)
#define DIN40_PINHALF L
#else
#define DIN40_PINHALF H
#endif
#define DIN40_PINCON __pincon__(DIN40_PORT, DIN40_PINHALF)
#define DIO170 170
#define DIO170_MBED_PIN DIN40_MBED_PIN
#define DIO170_PORT DIN40_PORT
#define DIO170_BIT DIN40_BIT
#define DIO170_GPIOREG DIN40_GPIOREG
#define DIO170_PINHALF DIN40_PINHALF
#define DIO170_PINCON DIN40_PINCON
#endif</v>
      </c>
      <c r="F169" s="19"/>
      <c r="G169" s="19"/>
      <c r="H169" s="4"/>
      <c r="I169" s="4"/>
      <c r="J169" s="4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</row>
    <row r="170" spans="1:26" ht="16.149999999999999" customHeight="1" x14ac:dyDescent="0.25">
      <c r="A170" s="4">
        <v>171</v>
      </c>
      <c r="B170" s="4" t="str">
        <f t="shared" si="7"/>
        <v>DIO171</v>
      </c>
      <c r="C170" s="5" t="s">
        <v>554</v>
      </c>
      <c r="D170" s="24">
        <v>41</v>
      </c>
      <c r="E170" s="19" t="str">
        <f t="shared" si="8"/>
        <v>#if (defined(DIN41_PORT) &amp;&amp; defined(DIN41_BIT))
#define DIN41 171
#define DIN41_MBED_PIN __mbedpin__(DIN41_PORT, DIN41_BIT)
#define DIN41_GPIOREG __gpioreg__(DIN41_PORT)
#if (DIN41_BIT &lt; 16)
#define DIN41_PINHALF L
#else
#define DIN41_PINHALF H
#endif
#define DIN41_PINCON __pincon__(DIN41_PORT, DIN41_PINHALF)
#define DIO171 171
#define DIO171_MBED_PIN DIN41_MBED_PIN
#define DIO171_PORT DIN41_PORT
#define DIO171_BIT DIN41_BIT
#define DIO171_GPIOREG DIN41_GPIOREG
#define DIO171_PINHALF DIN41_PINHALF
#define DIO171_PINCON DIN41_PINCON
#endif</v>
      </c>
      <c r="F170" s="19"/>
      <c r="G170" s="19"/>
      <c r="H170" s="4"/>
      <c r="I170" s="4"/>
      <c r="J170" s="4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</row>
    <row r="171" spans="1:26" ht="16.149999999999999" customHeight="1" x14ac:dyDescent="0.25">
      <c r="A171" s="4">
        <v>172</v>
      </c>
      <c r="B171" s="4" t="str">
        <f t="shared" si="7"/>
        <v>DIO172</v>
      </c>
      <c r="C171" s="5" t="s">
        <v>555</v>
      </c>
      <c r="D171" s="24">
        <v>42</v>
      </c>
      <c r="E171" s="19" t="str">
        <f t="shared" si="8"/>
        <v>#if (defined(DIN42_PORT) &amp;&amp; defined(DIN42_BIT))
#define DIN42 172
#define DIN42_MBED_PIN __mbedpin__(DIN42_PORT, DIN42_BIT)
#define DIN42_GPIOREG __gpioreg__(DIN42_PORT)
#if (DIN42_BIT &lt; 16)
#define DIN42_PINHALF L
#else
#define DIN42_PINHALF H
#endif
#define DIN42_PINCON __pincon__(DIN42_PORT, DIN42_PINHALF)
#define DIO172 172
#define DIO172_MBED_PIN DIN42_MBED_PIN
#define DIO172_PORT DIN42_PORT
#define DIO172_BIT DIN42_BIT
#define DIO172_GPIOREG DIN42_GPIOREG
#define DIO172_PINHALF DIN42_PINHALF
#define DIO172_PINCON DIN42_PINCON
#endif</v>
      </c>
      <c r="F171" s="19"/>
      <c r="G171" s="19"/>
      <c r="H171" s="4"/>
      <c r="I171" s="4"/>
      <c r="J171" s="4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</row>
    <row r="172" spans="1:26" ht="16.149999999999999" customHeight="1" x14ac:dyDescent="0.25">
      <c r="A172" s="4">
        <v>173</v>
      </c>
      <c r="B172" s="4" t="str">
        <f t="shared" si="7"/>
        <v>DIO173</v>
      </c>
      <c r="C172" s="5" t="s">
        <v>556</v>
      </c>
      <c r="D172" s="24">
        <v>43</v>
      </c>
      <c r="E172" s="19" t="str">
        <f t="shared" si="8"/>
        <v>#if (defined(DIN43_PORT) &amp;&amp; defined(DIN43_BIT))
#define DIN43 173
#define DIN43_MBED_PIN __mbedpin__(DIN43_PORT, DIN43_BIT)
#define DIN43_GPIOREG __gpioreg__(DIN43_PORT)
#if (DIN43_BIT &lt; 16)
#define DIN43_PINHALF L
#else
#define DIN43_PINHALF H
#endif
#define DIN43_PINCON __pincon__(DIN43_PORT, DIN43_PINHALF)
#define DIO173 173
#define DIO173_MBED_PIN DIN43_MBED_PIN
#define DIO173_PORT DIN43_PORT
#define DIO173_BIT DIN43_BIT
#define DIO173_GPIOREG DIN43_GPIOREG
#define DIO173_PINHALF DIN43_PINHALF
#define DIO173_PINCON DIN43_PINCON
#endif</v>
      </c>
      <c r="F172" s="19"/>
      <c r="G172" s="19"/>
      <c r="H172" s="4"/>
      <c r="I172" s="4"/>
      <c r="J172" s="4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</row>
    <row r="173" spans="1:26" ht="16.149999999999999" customHeight="1" x14ac:dyDescent="0.25">
      <c r="A173" s="4">
        <v>174</v>
      </c>
      <c r="B173" s="4" t="str">
        <f t="shared" si="7"/>
        <v>DIO174</v>
      </c>
      <c r="C173" s="5" t="s">
        <v>557</v>
      </c>
      <c r="D173" s="24">
        <v>44</v>
      </c>
      <c r="E173" s="19" t="str">
        <f t="shared" si="8"/>
        <v>#if (defined(DIN44_PORT) &amp;&amp; defined(DIN44_BIT))
#define DIN44 174
#define DIN44_MBED_PIN __mbedpin__(DIN44_PORT, DIN44_BIT)
#define DIN44_GPIOREG __gpioreg__(DIN44_PORT)
#if (DIN44_BIT &lt; 16)
#define DIN44_PINHALF L
#else
#define DIN44_PINHALF H
#endif
#define DIN44_PINCON __pincon__(DIN44_PORT, DIN44_PINHALF)
#define DIO174 174
#define DIO174_MBED_PIN DIN44_MBED_PIN
#define DIO174_PORT DIN44_PORT
#define DIO174_BIT DIN44_BIT
#define DIO174_GPIOREG DIN44_GPIOREG
#define DIO174_PINHALF DIN44_PINHALF
#define DIO174_PINCON DIN44_PINCON
#endif</v>
      </c>
      <c r="F173" s="19"/>
      <c r="G173" s="19"/>
      <c r="H173" s="4"/>
      <c r="I173" s="4"/>
      <c r="J173" s="4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</row>
    <row r="174" spans="1:26" ht="16.149999999999999" customHeight="1" x14ac:dyDescent="0.25">
      <c r="A174" s="4">
        <v>175</v>
      </c>
      <c r="B174" s="4" t="str">
        <f t="shared" si="7"/>
        <v>DIO175</v>
      </c>
      <c r="C174" s="5" t="s">
        <v>558</v>
      </c>
      <c r="D174" s="24">
        <v>45</v>
      </c>
      <c r="E174" s="19" t="str">
        <f t="shared" si="8"/>
        <v>#if (defined(DIN45_PORT) &amp;&amp; defined(DIN45_BIT))
#define DIN45 175
#define DIN45_MBED_PIN __mbedpin__(DIN45_PORT, DIN45_BIT)
#define DIN45_GPIOREG __gpioreg__(DIN45_PORT)
#if (DIN45_BIT &lt; 16)
#define DIN45_PINHALF L
#else
#define DIN45_PINHALF H
#endif
#define DIN45_PINCON __pincon__(DIN45_PORT, DIN45_PINHALF)
#define DIO175 175
#define DIO175_MBED_PIN DIN45_MBED_PIN
#define DIO175_PORT DIN45_PORT
#define DIO175_BIT DIN45_BIT
#define DIO175_GPIOREG DIN45_GPIOREG
#define DIO175_PINHALF DIN45_PINHALF
#define DIO175_PINCON DIN45_PINCON
#endif</v>
      </c>
      <c r="F174" s="19"/>
      <c r="G174" s="19"/>
      <c r="H174" s="4"/>
      <c r="I174" s="4"/>
      <c r="J174" s="4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</row>
    <row r="175" spans="1:26" ht="16.149999999999999" customHeight="1" x14ac:dyDescent="0.25">
      <c r="A175" s="4">
        <v>176</v>
      </c>
      <c r="B175" s="4" t="str">
        <f t="shared" si="7"/>
        <v>DIO176</v>
      </c>
      <c r="C175" s="5" t="s">
        <v>559</v>
      </c>
      <c r="D175" s="24">
        <v>46</v>
      </c>
      <c r="E175" s="19" t="str">
        <f t="shared" si="8"/>
        <v>#if (defined(DIN46_PORT) &amp;&amp; defined(DIN46_BIT))
#define DIN46 176
#define DIN46_MBED_PIN __mbedpin__(DIN46_PORT, DIN46_BIT)
#define DIN46_GPIOREG __gpioreg__(DIN46_PORT)
#if (DIN46_BIT &lt; 16)
#define DIN46_PINHALF L
#else
#define DIN46_PINHALF H
#endif
#define DIN46_PINCON __pincon__(DIN46_PORT, DIN46_PINHALF)
#define DIO176 176
#define DIO176_MBED_PIN DIN46_MBED_PIN
#define DIO176_PORT DIN46_PORT
#define DIO176_BIT DIN46_BIT
#define DIO176_GPIOREG DIN46_GPIOREG
#define DIO176_PINHALF DIN46_PINHALF
#define DIO176_PINCON DIN46_PINCON
#endif</v>
      </c>
      <c r="F175" s="19"/>
      <c r="G175" s="19"/>
      <c r="H175" s="4"/>
      <c r="I175" s="4"/>
      <c r="J175" s="4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</row>
    <row r="176" spans="1:26" ht="16.149999999999999" customHeight="1" x14ac:dyDescent="0.25">
      <c r="A176" s="4">
        <v>177</v>
      </c>
      <c r="B176" s="4" t="str">
        <f t="shared" si="7"/>
        <v>DIO177</v>
      </c>
      <c r="C176" s="5" t="s">
        <v>560</v>
      </c>
      <c r="D176" s="24">
        <v>47</v>
      </c>
      <c r="E176" s="19" t="str">
        <f t="shared" si="8"/>
        <v>#if (defined(DIN47_PORT) &amp;&amp; defined(DIN47_BIT))
#define DIN47 177
#define DIN47_MBED_PIN __mbedpin__(DIN47_PORT, DIN47_BIT)
#define DIN47_GPIOREG __gpioreg__(DIN47_PORT)
#if (DIN47_BIT &lt; 16)
#define DIN47_PINHALF L
#else
#define DIN47_PINHALF H
#endif
#define DIN47_PINCON __pincon__(DIN47_PORT, DIN47_PINHALF)
#define DIO177 177
#define DIO177_MBED_PIN DIN47_MBED_PIN
#define DIO177_PORT DIN47_PORT
#define DIO177_BIT DIN47_BIT
#define DIO177_GPIOREG DIN47_GPIOREG
#define DIO177_PINHALF DIN47_PINHALF
#define DIO177_PINCON DIN47_PINCON
#endif</v>
      </c>
      <c r="F176" s="19"/>
      <c r="G176" s="19"/>
      <c r="H176" s="4"/>
      <c r="I176" s="4"/>
      <c r="J176" s="4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</row>
    <row r="177" spans="1:26" ht="16.149999999999999" customHeight="1" x14ac:dyDescent="0.25">
      <c r="A177" s="4">
        <v>178</v>
      </c>
      <c r="B177" s="4" t="str">
        <f t="shared" si="7"/>
        <v>DIO178</v>
      </c>
      <c r="C177" s="5" t="s">
        <v>561</v>
      </c>
      <c r="D177" s="24">
        <v>48</v>
      </c>
      <c r="E177" s="19" t="str">
        <f t="shared" si="8"/>
        <v>#if (defined(DIN48_PORT) &amp;&amp; defined(DIN48_BIT))
#define DIN48 178
#define DIN48_MBED_PIN __mbedpin__(DIN48_PORT, DIN48_BIT)
#define DIN48_GPIOREG __gpioreg__(DIN48_PORT)
#if (DIN48_BIT &lt; 16)
#define DIN48_PINHALF L
#else
#define DIN48_PINHALF H
#endif
#define DIN48_PINCON __pincon__(DIN48_PORT, DIN48_PINHALF)
#define DIO178 178
#define DIO178_MBED_PIN DIN48_MBED_PIN
#define DIO178_PORT DIN48_PORT
#define DIO178_BIT DIN48_BIT
#define DIO178_GPIOREG DIN48_GPIOREG
#define DIO178_PINHALF DIN48_PINHALF
#define DIO178_PINCON DIN48_PINCON
#endif</v>
      </c>
      <c r="F177" s="19"/>
      <c r="G177" s="19"/>
      <c r="H177" s="4"/>
      <c r="I177" s="4"/>
      <c r="J177" s="4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</row>
    <row r="178" spans="1:26" ht="16.149999999999999" customHeight="1" x14ac:dyDescent="0.25">
      <c r="A178" s="4">
        <v>179</v>
      </c>
      <c r="B178" s="4" t="str">
        <f t="shared" si="7"/>
        <v>DIO179</v>
      </c>
      <c r="C178" s="5" t="s">
        <v>562</v>
      </c>
      <c r="D178" s="24">
        <v>49</v>
      </c>
      <c r="E178" s="19" t="str">
        <f t="shared" si="8"/>
        <v>#if (defined(DIN49_PORT) &amp;&amp; defined(DIN49_BIT))
#define DIN49 179
#define DIN49_MBED_PIN __mbedpin__(DIN49_PORT, DIN49_BIT)
#define DIN49_GPIOREG __gpioreg__(DIN49_PORT)
#if (DIN49_BIT &lt; 16)
#define DIN49_PINHALF L
#else
#define DIN49_PINHALF H
#endif
#define DIN49_PINCON __pincon__(DIN49_PORT, DIN49_PINHALF)
#define DIO179 179
#define DIO179_MBED_PIN DIN49_MBED_PIN
#define DIO179_PORT DIN49_PORT
#define DIO179_BIT DIN49_BIT
#define DIO179_GPIOREG DIN49_GPIOREG
#define DIO179_PINHALF DIN49_PINHALF
#define DIO179_PINCON DIN49_PINCON
#endif</v>
      </c>
      <c r="F178" s="19"/>
      <c r="G178" s="19"/>
      <c r="H178" s="4"/>
      <c r="I178" s="4"/>
      <c r="J178" s="4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</row>
    <row r="179" spans="1:26" ht="16.149999999999999" customHeight="1" x14ac:dyDescent="0.25">
      <c r="A179" s="4">
        <v>200</v>
      </c>
      <c r="B179" s="4" t="str">
        <f t="shared" si="0"/>
        <v>DIO200</v>
      </c>
      <c r="C179" s="4" t="s">
        <v>105</v>
      </c>
      <c r="D179" s="24">
        <v>0</v>
      </c>
      <c r="E179" s="19" t="str">
        <f t="shared" si="6"/>
        <v>#if (defined(TX_PORT) &amp;&amp; defined(TX_BIT))
#define TX 200
#define TX_MBED_PIN __mbedpin__(TX_PORT, TX_BIT)
#define TX_GPIOREG __gpioreg__(TX_PORT)
#if (TX_BIT &lt; 16)
#define TX_PINHALF L
#else
#define TX_PINHALF H
#endif
#define TX_PINCON __pincon__(TX_PORT, TX_PINHALF)
#define DIO200 200
#define DIO200_MBED_PIN TX_MBED_PIN
#define DIO200_PORT TX_PORT
#define DIO200_BIT TX_BIT
#define DIO200_GPIOREG TX_GPIOREG
#define DIO200_PINHALF TX_PINHALF
#define DIO200_PINCON TX_PINCON
#endif</v>
      </c>
      <c r="F179" s="19"/>
      <c r="G179" s="19"/>
      <c r="H179" s="4"/>
      <c r="I179" s="4" t="s">
        <v>452</v>
      </c>
      <c r="J179" s="4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</row>
    <row r="180" spans="1:26" ht="16.149999999999999" customHeight="1" x14ac:dyDescent="0.25">
      <c r="A180" s="4">
        <v>201</v>
      </c>
      <c r="B180" s="4" t="str">
        <f t="shared" si="0"/>
        <v>DIO201</v>
      </c>
      <c r="C180" s="4" t="s">
        <v>106</v>
      </c>
      <c r="D180" s="24">
        <v>1</v>
      </c>
      <c r="E180" s="19" t="str">
        <f t="shared" si="6"/>
        <v>#if (defined(RX_PORT) &amp;&amp; defined(RX_BIT))
#define RX 201
#define RX_MBED_PIN __mbedpin__(RX_PORT, RX_BIT)
#define RX_GPIOREG __gpioreg__(RX_PORT)
#if (RX_BIT &lt; 16)
#define RX_PINHALF L
#else
#define RX_PINHALF H
#endif
#define RX_PINCON __pincon__(RX_PORT, RX_PINHALF)
#define DIO201 201
#define DIO201_MBED_PIN RX_MBED_PIN
#define DIO201_PORT RX_PORT
#define DIO201_BIT RX_BIT
#define DIO201_GPIOREG RX_GPIOREG
#define DIO201_PINHALF RX_PINHALF
#define DIO201_PINCON RX_PINCON
#endif</v>
      </c>
      <c r="F180" s="19"/>
      <c r="G180" s="19"/>
      <c r="H180" s="4"/>
      <c r="I180" s="4" t="s">
        <v>453</v>
      </c>
      <c r="J180" s="4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</row>
    <row r="181" spans="1:26" ht="16.149999999999999" customHeight="1" x14ac:dyDescent="0.25">
      <c r="A181" s="4">
        <v>202</v>
      </c>
      <c r="B181" s="4" t="str">
        <f t="shared" si="0"/>
        <v>DIO202</v>
      </c>
      <c r="C181" s="4" t="s">
        <v>107</v>
      </c>
      <c r="D181" s="24">
        <v>0</v>
      </c>
      <c r="E181" s="19" t="str">
        <f t="shared" si="6"/>
        <v>#if (defined(USB_DM_PORT) &amp;&amp; defined(USB_DM_BIT))
#define USB_DM 202
#define USB_DM_MBED_PIN __mbedpin__(USB_DM_PORT, USB_DM_BIT)
#define USB_DM_GPIOREG __gpioreg__(USB_DM_PORT)
#if (USB_DM_BIT &lt; 16)
#define USB_DM_PINHALF L
#else
#define USB_DM_PINHALF H
#endif
#define USB_DM_PINCON __pincon__(USB_DM_PORT, USB_DM_PINHALF)
#define DIO202 202
#define DIO202_MBED_PIN USB_DM_MBED_PIN
#define DIO202_PORT USB_DM_PORT
#define DIO202_BIT USB_DM_BIT
#define DIO202_GPIOREG USB_DM_GPIOREG
#define DIO202_PINHALF USB_DM_PINHALF
#define DIO202_PINCON USB_DM_PINCON
#endif</v>
      </c>
      <c r="F181" s="19"/>
      <c r="G181" s="19"/>
      <c r="H181" s="4"/>
      <c r="I181" s="4" t="s">
        <v>454</v>
      </c>
      <c r="J181" s="4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</row>
    <row r="182" spans="1:26" ht="16.149999999999999" customHeight="1" x14ac:dyDescent="0.25">
      <c r="A182" s="4">
        <v>203</v>
      </c>
      <c r="B182" s="4" t="str">
        <f t="shared" si="0"/>
        <v>DIO203</v>
      </c>
      <c r="C182" s="4" t="s">
        <v>108</v>
      </c>
      <c r="D182" s="24">
        <v>1</v>
      </c>
      <c r="E182" s="19" t="str">
        <f t="shared" ref="E182:E190" si="9">"#if (defined("&amp;C182&amp;"_PORT) &amp;&amp; defined("&amp;C182&amp;"_BIT))
#define "&amp;C182&amp;" "&amp;A182&amp;"
#define "&amp;C182&amp;"_MBED_PIN __mbedpin__("&amp;C182&amp;"_PORT, "&amp;C182&amp;"_BIT)
#define "&amp;C182&amp;"_GPIOREG __gpioreg__("&amp;C182&amp;"_PORT)
#if ("&amp;C182&amp;"_BIT &lt; 16)
#define "&amp;C182&amp;"_PINHALF L
#else
#define "&amp;C182&amp;"_PINHALF H
#endif
#define "&amp;C182&amp;"_PINCON __pincon__("&amp;C182&amp;"_PORT, "&amp;C182&amp;"_PINHALF)
#define "&amp;B182&amp;" "&amp;A182&amp;"
#define "&amp;B182&amp;"_MBED_PIN "&amp;C182&amp;"_MBED_PIN
#define "&amp;B182&amp;"_PORT "&amp;C182&amp;"_PORT
#define "&amp;B182&amp;"_BIT "&amp;C182&amp;"_BIT
#define "&amp;B182&amp;"_GPIOREG "&amp;C182&amp;"_GPIOREG
#define "&amp;B182&amp;"_PINHALF "&amp;C182&amp;"_PINHALF
#define "&amp;B182&amp;"_PINCON "&amp;C182&amp;"_PINCON
#endif"</f>
        <v>#if (defined(USB_DP_PORT) &amp;&amp; defined(USB_DP_BIT))
#define USB_DP 203
#define USB_DP_MBED_PIN __mbedpin__(USB_DP_PORT, USB_DP_BIT)
#define USB_DP_GPIOREG __gpioreg__(USB_DP_PORT)
#if (USB_DP_BIT &lt; 16)
#define USB_DP_PINHALF L
#else
#define USB_DP_PINHALF H
#endif
#define USB_DP_PINCON __pincon__(USB_DP_PORT, USB_DP_PINHALF)
#define DIO203 203
#define DIO203_MBED_PIN USB_DP_MBED_PIN
#define DIO203_PORT USB_DP_PORT
#define DIO203_BIT USB_DP_BIT
#define DIO203_GPIOREG USB_DP_GPIOREG
#define DIO203_PINHALF USB_DP_PINHALF
#define DIO203_PINCON USB_DP_PINCON
#endif</v>
      </c>
      <c r="F182" s="19"/>
      <c r="G182" s="19"/>
      <c r="H182" s="4"/>
      <c r="I182" s="4" t="s">
        <v>455</v>
      </c>
      <c r="J182" s="4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</row>
    <row r="183" spans="1:26" ht="16.149999999999999" customHeight="1" x14ac:dyDescent="0.25">
      <c r="A183" s="4">
        <v>204</v>
      </c>
      <c r="B183" s="4" t="str">
        <f t="shared" si="0"/>
        <v>DIO204</v>
      </c>
      <c r="C183" s="4" t="s">
        <v>223</v>
      </c>
      <c r="D183" s="24">
        <v>0</v>
      </c>
      <c r="E183" s="19" t="str">
        <f t="shared" si="9"/>
        <v>#if (defined(SPI_CLK_PORT) &amp;&amp; defined(SPI_CLK_BIT))
#define SPI_CLK 204
#define SPI_CLK_MBED_PIN __mbedpin__(SPI_CLK_PORT, SPI_CLK_BIT)
#define SPI_CLK_GPIOREG __gpioreg__(SPI_CLK_PORT)
#if (SPI_CLK_BIT &lt; 16)
#define SPI_CLK_PINHALF L
#else
#define SPI_CLK_PINHALF H
#endif
#define SPI_CLK_PINCON __pincon__(SPI_CLK_PORT, SPI_CLK_PINHALF)
#define DIO204 204
#define DIO204_MBED_PIN SPI_CLK_MBED_PIN
#define DIO204_PORT SPI_CLK_PORT
#define DIO204_BIT SPI_CLK_BIT
#define DIO204_GPIOREG SPI_CLK_GPIOREG
#define DIO204_PINHALF SPI_CLK_PINHALF
#define DIO204_PINCON SPI_CLK_PINCON
#endif</v>
      </c>
      <c r="F183" s="19"/>
      <c r="G183" s="19"/>
      <c r="H183" s="4"/>
      <c r="I183" s="4" t="s">
        <v>456</v>
      </c>
      <c r="J183" s="4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</row>
    <row r="184" spans="1:26" ht="16.149999999999999" customHeight="1" x14ac:dyDescent="0.25">
      <c r="A184" s="4">
        <v>205</v>
      </c>
      <c r="B184" s="4" t="str">
        <f t="shared" ref="B184:B190" si="10">"DIO"&amp;A184</f>
        <v>DIO205</v>
      </c>
      <c r="C184" s="4" t="s">
        <v>224</v>
      </c>
      <c r="D184" s="24">
        <v>1</v>
      </c>
      <c r="E184" s="19" t="str">
        <f t="shared" si="9"/>
        <v>#if (defined(SPI_SDI_PORT) &amp;&amp; defined(SPI_SDI_BIT))
#define SPI_SDI 205
#define SPI_SDI_MBED_PIN __mbedpin__(SPI_SDI_PORT, SPI_SDI_BIT)
#define SPI_SDI_GPIOREG __gpioreg__(SPI_SDI_PORT)
#if (SPI_SDI_BIT &lt; 16)
#define SPI_SDI_PINHALF L
#else
#define SPI_SDI_PINHALF H
#endif
#define SPI_SDI_PINCON __pincon__(SPI_SDI_PORT, SPI_SDI_PINHALF)
#define DIO205 205
#define DIO205_MBED_PIN SPI_SDI_MBED_PIN
#define DIO205_PORT SPI_SDI_PORT
#define DIO205_BIT SPI_SDI_BIT
#define DIO205_GPIOREG SPI_SDI_GPIOREG
#define DIO205_PINHALF SPI_SDI_PINHALF
#define DIO205_PINCON SPI_SDI_PINCON
#endif</v>
      </c>
      <c r="F184" s="19"/>
      <c r="G184" s="19"/>
      <c r="H184" s="4"/>
      <c r="I184" s="4" t="s">
        <v>457</v>
      </c>
      <c r="J184" s="4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</row>
    <row r="185" spans="1:26" ht="16.149999999999999" customHeight="1" x14ac:dyDescent="0.25">
      <c r="A185" s="4">
        <v>206</v>
      </c>
      <c r="B185" s="4" t="str">
        <f t="shared" si="10"/>
        <v>DIO206</v>
      </c>
      <c r="C185" s="4" t="s">
        <v>225</v>
      </c>
      <c r="D185" s="24">
        <v>2</v>
      </c>
      <c r="E185" s="19" t="str">
        <f t="shared" si="9"/>
        <v>#if (defined(SPI_SDO_PORT) &amp;&amp; defined(SPI_SDO_BIT))
#define SPI_SDO 206
#define SPI_SDO_MBED_PIN __mbedpin__(SPI_SDO_PORT, SPI_SDO_BIT)
#define SPI_SDO_GPIOREG __gpioreg__(SPI_SDO_PORT)
#if (SPI_SDO_BIT &lt; 16)
#define SPI_SDO_PINHALF L
#else
#define SPI_SDO_PINHALF H
#endif
#define SPI_SDO_PINCON __pincon__(SPI_SDO_PORT, SPI_SDO_PINHALF)
#define DIO206 206
#define DIO206_MBED_PIN SPI_SDO_MBED_PIN
#define DIO206_PORT SPI_SDO_PORT
#define DIO206_BIT SPI_SDO_BIT
#define DIO206_GPIOREG SPI_SDO_GPIOREG
#define DIO206_PINHALF SPI_SDO_PINHALF
#define DIO206_PINCON SPI_SDO_PINCON
#endif</v>
      </c>
      <c r="F185" s="19"/>
      <c r="G185" s="19"/>
      <c r="H185" s="4"/>
      <c r="I185" s="4" t="s">
        <v>458</v>
      </c>
      <c r="J185" s="4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</row>
    <row r="186" spans="1:26" ht="16.149999999999999" customHeight="1" x14ac:dyDescent="0.25">
      <c r="A186" s="4">
        <v>207</v>
      </c>
      <c r="B186" s="4" t="str">
        <f t="shared" si="10"/>
        <v>DIO207</v>
      </c>
      <c r="C186" s="4" t="s">
        <v>459</v>
      </c>
      <c r="D186" s="22"/>
      <c r="E186" s="19" t="str">
        <f t="shared" si="9"/>
        <v>#if (defined(SPI_CS_PORT) &amp;&amp; defined(SPI_CS_BIT))
#define SPI_CS 207
#define SPI_CS_MBED_PIN __mbedpin__(SPI_CS_PORT, SPI_CS_BIT)
#define SPI_CS_GPIOREG __gpioreg__(SPI_CS_PORT)
#if (SPI_CS_BIT &lt; 16)
#define SPI_CS_PINHALF L
#else
#define SPI_CS_PINHALF H
#endif
#define SPI_CS_PINCON __pincon__(SPI_CS_PORT, SPI_CS_PINHALF)
#define DIO207 207
#define DIO207_MBED_PIN SPI_CS_MBED_PIN
#define DIO207_PORT SPI_CS_PORT
#define DIO207_BIT SPI_CS_BIT
#define DIO207_GPIOREG SPI_CS_GPIOREG
#define DIO207_PINHALF SPI_CS_PINHALF
#define DIO207_PINCON SPI_CS_PINCON
#endif</v>
      </c>
      <c r="F186" s="22"/>
      <c r="G186" s="22"/>
      <c r="H186" s="4"/>
      <c r="I186" s="4" t="s">
        <v>456</v>
      </c>
      <c r="J186" s="4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</row>
    <row r="187" spans="1:26" ht="16.149999999999999" customHeight="1" x14ac:dyDescent="0.25">
      <c r="A187" s="4">
        <v>208</v>
      </c>
      <c r="B187" s="4" t="str">
        <f t="shared" si="10"/>
        <v>DIO208</v>
      </c>
      <c r="C187" s="4" t="s">
        <v>237</v>
      </c>
      <c r="D187" s="22"/>
      <c r="E187" s="19" t="str">
        <f t="shared" si="9"/>
        <v>#if (defined(I2C_SCL_PORT) &amp;&amp; defined(I2C_SCL_BIT))
#define I2C_SCL 208
#define I2C_SCL_MBED_PIN __mbedpin__(I2C_SCL_PORT, I2C_SCL_BIT)
#define I2C_SCL_GPIOREG __gpioreg__(I2C_SCL_PORT)
#if (I2C_SCL_BIT &lt; 16)
#define I2C_SCL_PINHALF L
#else
#define I2C_SCL_PINHALF H
#endif
#define I2C_SCL_PINCON __pincon__(I2C_SCL_PORT, I2C_SCL_PINHALF)
#define DIO208 208
#define DIO208_MBED_PIN I2C_SCL_MBED_PIN
#define DIO208_PORT I2C_SCL_PORT
#define DIO208_BIT I2C_SCL_BIT
#define DIO208_GPIOREG I2C_SCL_GPIOREG
#define DIO208_PINHALF I2C_SCL_PINHALF
#define DIO208_PINCON I2C_SCL_PINCON
#endif</v>
      </c>
      <c r="F187" s="22"/>
      <c r="G187" s="22"/>
      <c r="H187" s="4"/>
      <c r="I187" s="4" t="s">
        <v>457</v>
      </c>
      <c r="J187" s="4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</row>
    <row r="188" spans="1:26" ht="16.149999999999999" customHeight="1" x14ac:dyDescent="0.25">
      <c r="A188" s="4">
        <v>209</v>
      </c>
      <c r="B188" s="4" t="str">
        <f t="shared" si="10"/>
        <v>DIO209</v>
      </c>
      <c r="C188" s="4" t="s">
        <v>238</v>
      </c>
      <c r="D188" s="22"/>
      <c r="E188" s="19" t="str">
        <f t="shared" si="9"/>
        <v>#if (defined(I2C_SDA_PORT) &amp;&amp; defined(I2C_SDA_BIT))
#define I2C_SDA 209
#define I2C_SDA_MBED_PIN __mbedpin__(I2C_SDA_PORT, I2C_SDA_BIT)
#define I2C_SDA_GPIOREG __gpioreg__(I2C_SDA_PORT)
#if (I2C_SDA_BIT &lt; 16)
#define I2C_SDA_PINHALF L
#else
#define I2C_SDA_PINHALF H
#endif
#define I2C_SDA_PINCON __pincon__(I2C_SDA_PORT, I2C_SDA_PINHALF)
#define DIO209 209
#define DIO209_MBED_PIN I2C_SDA_MBED_PIN
#define DIO209_PORT I2C_SDA_PORT
#define DIO209_BIT I2C_SDA_BIT
#define DIO209_GPIOREG I2C_SDA_GPIOREG
#define DIO209_PINHALF I2C_SDA_PINHALF
#define DIO209_PINCON I2C_SDA_PINCON
#endif</v>
      </c>
      <c r="F188" s="22"/>
      <c r="G188" s="22"/>
      <c r="H188" s="22"/>
      <c r="I188" s="4" t="s">
        <v>458</v>
      </c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</row>
    <row r="189" spans="1:26" ht="16.149999999999999" customHeight="1" x14ac:dyDescent="0.25">
      <c r="A189" s="4">
        <v>210</v>
      </c>
      <c r="B189" s="4" t="str">
        <f t="shared" si="10"/>
        <v>DIO210</v>
      </c>
      <c r="C189" s="4" t="s">
        <v>467</v>
      </c>
      <c r="D189" s="24">
        <v>0</v>
      </c>
      <c r="E189" s="19" t="str">
        <f t="shared" si="9"/>
        <v>#if (defined(TX2_PORT) &amp;&amp; defined(TX2_BIT))
#define TX2 210
#define TX2_MBED_PIN __mbedpin__(TX2_PORT, TX2_BIT)
#define TX2_GPIOREG __gpioreg__(TX2_PORT)
#if (TX2_BIT &lt; 16)
#define TX2_PINHALF L
#else
#define TX2_PINHALF H
#endif
#define TX2_PINCON __pincon__(TX2_PORT, TX2_PINHALF)
#define DIO210 210
#define DIO210_MBED_PIN TX2_MBED_PIN
#define DIO210_PORT TX2_PORT
#define DIO210_BIT TX2_BIT
#define DIO210_GPIOREG TX2_GPIOREG
#define DIO210_PINHALF TX2_PINHALF
#define DIO210_PINCON TX2_PINCON
#endif</v>
      </c>
      <c r="F189" s="19"/>
      <c r="G189" s="19"/>
      <c r="H189" s="4"/>
      <c r="I189" s="4" t="s">
        <v>452</v>
      </c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</row>
    <row r="190" spans="1:26" ht="16.149999999999999" customHeight="1" x14ac:dyDescent="0.25">
      <c r="A190" s="4">
        <v>211</v>
      </c>
      <c r="B190" s="4" t="str">
        <f t="shared" si="10"/>
        <v>DIO211</v>
      </c>
      <c r="C190" s="4" t="s">
        <v>468</v>
      </c>
      <c r="D190" s="24">
        <v>1</v>
      </c>
      <c r="E190" s="19" t="str">
        <f t="shared" si="9"/>
        <v>#if (defined(RX2_PORT) &amp;&amp; defined(RX2_BIT))
#define RX2 211
#define RX2_MBED_PIN __mbedpin__(RX2_PORT, RX2_BIT)
#define RX2_GPIOREG __gpioreg__(RX2_PORT)
#if (RX2_BIT &lt; 16)
#define RX2_PINHALF L
#else
#define RX2_PINHALF H
#endif
#define RX2_PINCON __pincon__(RX2_PORT, RX2_PINHALF)
#define DIO211 211
#define DIO211_MBED_PIN RX2_MBED_PIN
#define DIO211_PORT RX2_PORT
#define DIO211_BIT RX2_BIT
#define DIO211_GPIOREG RX2_GPIOREG
#define DIO211_PINHALF RX2_PINHALF
#define DIO211_PINCON RX2_PINCON
#endif</v>
      </c>
      <c r="F190" s="19"/>
      <c r="G190" s="19"/>
      <c r="H190" s="4"/>
      <c r="I190" s="4" t="s">
        <v>453</v>
      </c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</row>
    <row r="191" spans="1:26" ht="16.149999999999999" customHeight="1" x14ac:dyDescent="0.25">
      <c r="A191" s="4">
        <v>212</v>
      </c>
      <c r="B191" s="4" t="s">
        <v>519</v>
      </c>
      <c r="C191" s="29" t="s">
        <v>520</v>
      </c>
      <c r="D191" s="4">
        <v>0</v>
      </c>
      <c r="E191" s="19" t="str">
        <f t="shared" ref="E191:E194" si="11">"#if (defined("&amp;C191&amp;"_PORT) &amp;&amp; defined("&amp;C191&amp;"_BIT))
#define "&amp;C191&amp;" "&amp;A191&amp;"
#define "&amp;C191&amp;"_MBED_PIN __mbedpin__("&amp;C191&amp;"_PORT, "&amp;C191&amp;"_BIT)
#define "&amp;C191&amp;"_GPIOREG __gpioreg__("&amp;C191&amp;"_PORT)
#if ("&amp;C191&amp;"_BIT &lt; 16)
#define "&amp;C191&amp;"_PINHALF L
#else
#define "&amp;C191&amp;"_PINHALF H
#endif
#define "&amp;C191&amp;"_PINCON __pincon__("&amp;C191&amp;"_PORT, "&amp;C191&amp;"_PINHALF)
#define "&amp;B191&amp;" "&amp;A191&amp;"
#define "&amp;B191&amp;"_MBED_PIN "&amp;C191&amp;"_MBED_PIN
#define "&amp;B191&amp;"_PORT "&amp;C191&amp;"_PORT
#define "&amp;B191&amp;"_BIT "&amp;C191&amp;"_BIT
#define "&amp;B191&amp;"_GPIOREG "&amp;C191&amp;"_GPIOREG
#define "&amp;B191&amp;"_PINHALF "&amp;C191&amp;"_PINHALF
#define "&amp;B191&amp;"_PINCON "&amp;C191&amp;"_PINCON
#endif"</f>
        <v>#if (defined(SPI2_CLK_PORT) &amp;&amp; defined(SPI2_CLK_BIT))
#define SPI2_CLK 212
#define SPI2_CLK_MBED_PIN __mbedpin__(SPI2_CLK_PORT, SPI2_CLK_BIT)
#define SPI2_CLK_GPIOREG __gpioreg__(SPI2_CLK_PORT)
#if (SPI2_CLK_BIT &lt; 16)
#define SPI2_CLK_PINHALF L
#else
#define SPI2_CLK_PINHALF H
#endif
#define SPI2_CLK_PINCON __pincon__(SPI2_CLK_PORT, SPI2_CLK_PINHALF)
#define DIO212 212
#define DIO212_MBED_PIN SPI2_CLK_MBED_PIN
#define DIO212_PORT SPI2_CLK_PORT
#define DIO212_BIT SPI2_CLK_BIT
#define DIO212_GPIOREG SPI2_CLK_GPIOREG
#define DIO212_PINHALF SPI2_CLK_PINHALF
#define DIO212_PINCON SPI2_CLK_PINCON
#endif</v>
      </c>
      <c r="F191" s="19"/>
      <c r="G191" s="19"/>
      <c r="H191" s="4"/>
      <c r="I191" s="4" t="s">
        <v>456</v>
      </c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</row>
    <row r="192" spans="1:26" ht="16.149999999999999" customHeight="1" x14ac:dyDescent="0.25">
      <c r="A192" s="4">
        <v>213</v>
      </c>
      <c r="B192" s="4" t="s">
        <v>521</v>
      </c>
      <c r="C192" s="29" t="s">
        <v>522</v>
      </c>
      <c r="D192" s="4">
        <v>1</v>
      </c>
      <c r="E192" s="19" t="str">
        <f t="shared" si="11"/>
        <v>#if (defined(SPI2_SDI_PORT) &amp;&amp; defined(SPI2_SDI_BIT))
#define SPI2_SDI 213
#define SPI2_SDI_MBED_PIN __mbedpin__(SPI2_SDI_PORT, SPI2_SDI_BIT)
#define SPI2_SDI_GPIOREG __gpioreg__(SPI2_SDI_PORT)
#if (SPI2_SDI_BIT &lt; 16)
#define SPI2_SDI_PINHALF L
#else
#define SPI2_SDI_PINHALF H
#endif
#define SPI2_SDI_PINCON __pincon__(SPI2_SDI_PORT, SPI2_SDI_PINHALF)
#define DIO213 213
#define DIO213_MBED_PIN SPI2_SDI_MBED_PIN
#define DIO213_PORT SPI2_SDI_PORT
#define DIO213_BIT SPI2_SDI_BIT
#define DIO213_GPIOREG SPI2_SDI_GPIOREG
#define DIO213_PINHALF SPI2_SDI_PINHALF
#define DIO213_PINCON SPI2_SDI_PINCON
#endif</v>
      </c>
      <c r="F192" s="19"/>
      <c r="G192" s="19"/>
      <c r="H192" s="4"/>
      <c r="I192" s="4" t="s">
        <v>457</v>
      </c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</row>
    <row r="193" spans="1:26" ht="16.149999999999999" customHeight="1" x14ac:dyDescent="0.25">
      <c r="A193" s="4">
        <v>214</v>
      </c>
      <c r="B193" s="4" t="s">
        <v>523</v>
      </c>
      <c r="C193" s="29" t="s">
        <v>524</v>
      </c>
      <c r="D193" s="5">
        <v>2</v>
      </c>
      <c r="E193" s="19" t="str">
        <f t="shared" si="11"/>
        <v>#if (defined(SPI2_SDO_PORT) &amp;&amp; defined(SPI2_SDO_BIT))
#define SPI2_SDO 214
#define SPI2_SDO_MBED_PIN __mbedpin__(SPI2_SDO_PORT, SPI2_SDO_BIT)
#define SPI2_SDO_GPIOREG __gpioreg__(SPI2_SDO_PORT)
#if (SPI2_SDO_BIT &lt; 16)
#define SPI2_SDO_PINHALF L
#else
#define SPI2_SDO_PINHALF H
#endif
#define SPI2_SDO_PINCON __pincon__(SPI2_SDO_PORT, SPI2_SDO_PINHALF)
#define DIO214 214
#define DIO214_MBED_PIN SPI2_SDO_MBED_PIN
#define DIO214_PORT SPI2_SDO_PORT
#define DIO214_BIT SPI2_SDO_BIT
#define DIO214_GPIOREG SPI2_SDO_GPIOREG
#define DIO214_PINHALF SPI2_SDO_PINHALF
#define DIO214_PINCON SPI2_SDO_PINCON
#endif</v>
      </c>
      <c r="F193" s="19"/>
      <c r="G193" s="19"/>
      <c r="H193" s="4"/>
      <c r="I193" s="4" t="s">
        <v>458</v>
      </c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</row>
    <row r="194" spans="1:26" ht="16.149999999999999" customHeight="1" x14ac:dyDescent="0.25">
      <c r="A194" s="4">
        <v>215</v>
      </c>
      <c r="B194" s="4" t="s">
        <v>525</v>
      </c>
      <c r="C194" s="29" t="s">
        <v>526</v>
      </c>
      <c r="D194" s="5">
        <v>3</v>
      </c>
      <c r="E194" s="19" t="str">
        <f t="shared" si="11"/>
        <v>#if (defined(SPI2_CS_PORT) &amp;&amp; defined(SPI2_CS_BIT))
#define SPI2_CS 215
#define SPI2_CS_MBED_PIN __mbedpin__(SPI2_CS_PORT, SPI2_CS_BIT)
#define SPI2_CS_GPIOREG __gpioreg__(SPI2_CS_PORT)
#if (SPI2_CS_BIT &lt; 16)
#define SPI2_CS_PINHALF L
#else
#define SPI2_CS_PINHALF H
#endif
#define SPI2_CS_PINCON __pincon__(SPI2_CS_PORT, SPI2_CS_PINHALF)
#define DIO215 215
#define DIO215_MBED_PIN SPI2_CS_MBED_PIN
#define DIO215_PORT SPI2_CS_PORT
#define DIO215_BIT SPI2_CS_BIT
#define DIO215_GPIOREG SPI2_CS_GPIOREG
#define DIO215_PINHALF SPI2_CS_PINHALF
#define DIO215_PINCON SPI2_CS_PINCON
#endif</v>
      </c>
      <c r="F194" s="22"/>
      <c r="G194" s="22"/>
      <c r="H194" s="4"/>
      <c r="I194" s="4" t="s">
        <v>456</v>
      </c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</row>
    <row r="195" spans="1:26" ht="16.149999999999999" customHeight="1" x14ac:dyDescent="0.25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</row>
    <row r="196" spans="1:26" ht="16.149999999999999" customHeight="1" x14ac:dyDescent="0.25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</row>
    <row r="197" spans="1:26" ht="16.149999999999999" customHeight="1" x14ac:dyDescent="0.25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</row>
    <row r="198" spans="1:26" ht="16.149999999999999" customHeight="1" x14ac:dyDescent="0.25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</row>
    <row r="199" spans="1:26" ht="16.149999999999999" customHeight="1" x14ac:dyDescent="0.25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</row>
    <row r="200" spans="1:26" ht="16.149999999999999" customHeight="1" x14ac:dyDescent="0.25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</row>
    <row r="201" spans="1:26" ht="16.149999999999999" customHeight="1" x14ac:dyDescent="0.25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</row>
    <row r="202" spans="1:26" ht="16.149999999999999" customHeight="1" x14ac:dyDescent="0.25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</row>
    <row r="203" spans="1:26" ht="16.149999999999999" customHeight="1" x14ac:dyDescent="0.25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</row>
    <row r="204" spans="1:26" ht="16.149999999999999" customHeight="1" x14ac:dyDescent="0.25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</row>
    <row r="205" spans="1:26" ht="16.149999999999999" customHeight="1" x14ac:dyDescent="0.25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</row>
    <row r="206" spans="1:26" ht="16.149999999999999" customHeight="1" x14ac:dyDescent="0.25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</row>
    <row r="207" spans="1:26" ht="16.149999999999999" customHeight="1" x14ac:dyDescent="0.25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</row>
    <row r="208" spans="1:26" ht="16.149999999999999" customHeight="1" x14ac:dyDescent="0.25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</row>
    <row r="209" spans="1:26" ht="16.149999999999999" customHeight="1" x14ac:dyDescent="0.25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</row>
    <row r="210" spans="1:26" ht="16.149999999999999" customHeight="1" x14ac:dyDescent="0.25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</row>
    <row r="211" spans="1:26" ht="16.149999999999999" customHeight="1" x14ac:dyDescent="0.25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</row>
    <row r="212" spans="1:26" ht="16.149999999999999" customHeight="1" x14ac:dyDescent="0.25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</row>
    <row r="213" spans="1:26" ht="16.149999999999999" customHeight="1" x14ac:dyDescent="0.25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</row>
    <row r="214" spans="1:26" ht="16.149999999999999" customHeight="1" x14ac:dyDescent="0.25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</row>
    <row r="215" spans="1:26" ht="16.149999999999999" customHeight="1" x14ac:dyDescent="0.25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</row>
    <row r="216" spans="1:26" ht="16.149999999999999" customHeight="1" x14ac:dyDescent="0.25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</row>
    <row r="217" spans="1:26" ht="16.149999999999999" customHeight="1" x14ac:dyDescent="0.25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</row>
    <row r="218" spans="1:26" ht="16.149999999999999" customHeight="1" x14ac:dyDescent="0.25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</row>
    <row r="219" spans="1:26" ht="16.149999999999999" customHeight="1" x14ac:dyDescent="0.25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</row>
    <row r="220" spans="1:26" ht="16.149999999999999" customHeight="1" x14ac:dyDescent="0.25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</row>
    <row r="221" spans="1:26" ht="16.149999999999999" customHeight="1" x14ac:dyDescent="0.25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</row>
    <row r="222" spans="1:26" ht="16.149999999999999" customHeight="1" x14ac:dyDescent="0.25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</row>
    <row r="223" spans="1:26" ht="16.149999999999999" customHeight="1" x14ac:dyDescent="0.25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</row>
    <row r="224" spans="1:26" ht="16.149999999999999" customHeight="1" x14ac:dyDescent="0.25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</row>
    <row r="225" spans="1:26" ht="16.149999999999999" customHeight="1" x14ac:dyDescent="0.25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</row>
    <row r="226" spans="1:26" ht="16.149999999999999" customHeight="1" x14ac:dyDescent="0.25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</row>
    <row r="227" spans="1:26" ht="16.149999999999999" customHeight="1" x14ac:dyDescent="0.25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</row>
    <row r="228" spans="1:26" ht="16.149999999999999" customHeight="1" x14ac:dyDescent="0.25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</row>
    <row r="229" spans="1:26" ht="16.149999999999999" customHeight="1" x14ac:dyDescent="0.25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</row>
    <row r="230" spans="1:26" ht="16.149999999999999" customHeight="1" x14ac:dyDescent="0.25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</row>
    <row r="231" spans="1:26" ht="16.149999999999999" customHeight="1" x14ac:dyDescent="0.25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</row>
    <row r="232" spans="1:26" ht="16.149999999999999" customHeight="1" x14ac:dyDescent="0.25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</row>
    <row r="233" spans="1:26" ht="16.149999999999999" customHeigh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</row>
    <row r="234" spans="1:26" ht="16.149999999999999" customHeight="1" x14ac:dyDescent="0.25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</row>
    <row r="235" spans="1:26" ht="16.149999999999999" customHeight="1" x14ac:dyDescent="0.25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</row>
    <row r="236" spans="1:26" ht="16.149999999999999" customHeight="1" x14ac:dyDescent="0.25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</row>
    <row r="237" spans="1:26" ht="16.149999999999999" customHeight="1" x14ac:dyDescent="0.25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</row>
    <row r="238" spans="1:26" ht="16.149999999999999" customHeight="1" x14ac:dyDescent="0.25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</row>
    <row r="239" spans="1:26" ht="16.149999999999999" customHeight="1" x14ac:dyDescent="0.25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</row>
    <row r="240" spans="1:26" ht="16.149999999999999" customHeight="1" x14ac:dyDescent="0.25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</row>
    <row r="241" spans="1:26" ht="16.149999999999999" customHeight="1" x14ac:dyDescent="0.25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</row>
    <row r="242" spans="1:26" ht="16.149999999999999" customHeight="1" x14ac:dyDescent="0.25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</row>
    <row r="243" spans="1:26" ht="16.149999999999999" customHeight="1" x14ac:dyDescent="0.25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</row>
    <row r="244" spans="1:26" ht="16.149999999999999" customHeight="1" x14ac:dyDescent="0.25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</row>
    <row r="245" spans="1:26" ht="16.149999999999999" customHeight="1" x14ac:dyDescent="0.25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</row>
    <row r="246" spans="1:26" ht="16.149999999999999" customHeight="1" x14ac:dyDescent="0.25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</row>
    <row r="247" spans="1:26" ht="16.149999999999999" customHeight="1" x14ac:dyDescent="0.25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</row>
    <row r="248" spans="1:26" ht="16.149999999999999" customHeight="1" x14ac:dyDescent="0.25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</row>
    <row r="249" spans="1:26" ht="16.149999999999999" customHeight="1" x14ac:dyDescent="0.25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</row>
    <row r="250" spans="1:26" ht="16.149999999999999" customHeight="1" x14ac:dyDescent="0.25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</row>
    <row r="251" spans="1:26" ht="16.149999999999999" customHeight="1" x14ac:dyDescent="0.25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  <c r="S251" s="22"/>
      <c r="T251" s="22"/>
      <c r="U251" s="22"/>
      <c r="V251" s="22"/>
      <c r="W251" s="22"/>
      <c r="X251" s="22"/>
      <c r="Y251" s="22"/>
      <c r="Z251" s="22"/>
    </row>
    <row r="252" spans="1:26" ht="16.149999999999999" customHeight="1" x14ac:dyDescent="0.25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2"/>
      <c r="X252" s="22"/>
      <c r="Y252" s="22"/>
      <c r="Z252" s="22"/>
    </row>
    <row r="253" spans="1:26" ht="16.149999999999999" customHeight="1" x14ac:dyDescent="0.25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  <c r="S253" s="22"/>
      <c r="T253" s="22"/>
      <c r="U253" s="22"/>
      <c r="V253" s="22"/>
      <c r="W253" s="22"/>
      <c r="X253" s="22"/>
      <c r="Y253" s="22"/>
      <c r="Z253" s="22"/>
    </row>
    <row r="254" spans="1:26" ht="16.149999999999999" customHeight="1" x14ac:dyDescent="0.25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2"/>
      <c r="X254" s="22"/>
      <c r="Y254" s="22"/>
      <c r="Z254" s="22"/>
    </row>
    <row r="255" spans="1:26" ht="16.149999999999999" customHeight="1" x14ac:dyDescent="0.25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  <c r="S255" s="22"/>
      <c r="T255" s="22"/>
      <c r="U255" s="22"/>
      <c r="V255" s="22"/>
      <c r="W255" s="22"/>
      <c r="X255" s="22"/>
      <c r="Y255" s="22"/>
      <c r="Z255" s="22"/>
    </row>
    <row r="256" spans="1:26" ht="16.149999999999999" customHeight="1" x14ac:dyDescent="0.25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2"/>
      <c r="X256" s="22"/>
      <c r="Y256" s="22"/>
      <c r="Z256" s="22"/>
    </row>
    <row r="257" spans="1:26" ht="16.149999999999999" customHeight="1" x14ac:dyDescent="0.25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  <c r="S257" s="22"/>
      <c r="T257" s="22"/>
      <c r="U257" s="22"/>
      <c r="V257" s="22"/>
      <c r="W257" s="22"/>
      <c r="X257" s="22"/>
      <c r="Y257" s="22"/>
      <c r="Z257" s="22"/>
    </row>
    <row r="258" spans="1:26" ht="16.149999999999999" customHeight="1" x14ac:dyDescent="0.25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2"/>
      <c r="X258" s="22"/>
      <c r="Y258" s="22"/>
      <c r="Z258" s="22"/>
    </row>
    <row r="259" spans="1:26" ht="16.149999999999999" customHeight="1" x14ac:dyDescent="0.25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  <c r="S259" s="22"/>
      <c r="T259" s="22"/>
      <c r="U259" s="22"/>
      <c r="V259" s="22"/>
      <c r="W259" s="22"/>
      <c r="X259" s="22"/>
      <c r="Y259" s="22"/>
      <c r="Z259" s="22"/>
    </row>
    <row r="260" spans="1:26" ht="16.149999999999999" customHeight="1" x14ac:dyDescent="0.25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2"/>
      <c r="X260" s="22"/>
      <c r="Y260" s="22"/>
      <c r="Z260" s="22"/>
    </row>
    <row r="261" spans="1:26" ht="16.149999999999999" customHeight="1" x14ac:dyDescent="0.25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  <c r="S261" s="22"/>
      <c r="T261" s="22"/>
      <c r="U261" s="22"/>
      <c r="V261" s="22"/>
      <c r="W261" s="22"/>
      <c r="X261" s="22"/>
      <c r="Y261" s="22"/>
      <c r="Z261" s="22"/>
    </row>
    <row r="262" spans="1:26" ht="16.149999999999999" customHeight="1" x14ac:dyDescent="0.25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2"/>
      <c r="X262" s="22"/>
      <c r="Y262" s="22"/>
      <c r="Z262" s="22"/>
    </row>
    <row r="263" spans="1:26" ht="16.149999999999999" customHeight="1" x14ac:dyDescent="0.25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  <c r="S263" s="22"/>
      <c r="T263" s="22"/>
      <c r="U263" s="22"/>
      <c r="V263" s="22"/>
      <c r="W263" s="22"/>
      <c r="X263" s="22"/>
      <c r="Y263" s="22"/>
      <c r="Z263" s="22"/>
    </row>
    <row r="264" spans="1:26" ht="16.149999999999999" customHeight="1" x14ac:dyDescent="0.25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2"/>
      <c r="X264" s="22"/>
      <c r="Y264" s="22"/>
      <c r="Z264" s="22"/>
    </row>
    <row r="265" spans="1:26" ht="16.149999999999999" customHeight="1" x14ac:dyDescent="0.25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  <c r="S265" s="22"/>
      <c r="T265" s="22"/>
      <c r="U265" s="22"/>
      <c r="V265" s="22"/>
      <c r="W265" s="22"/>
      <c r="X265" s="22"/>
      <c r="Y265" s="22"/>
      <c r="Z265" s="22"/>
    </row>
    <row r="266" spans="1:26" ht="16.149999999999999" customHeight="1" x14ac:dyDescent="0.25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2"/>
      <c r="X266" s="22"/>
      <c r="Y266" s="22"/>
      <c r="Z266" s="22"/>
    </row>
    <row r="267" spans="1:26" ht="16.149999999999999" customHeight="1" x14ac:dyDescent="0.25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  <c r="S267" s="22"/>
      <c r="T267" s="22"/>
      <c r="U267" s="22"/>
      <c r="V267" s="22"/>
      <c r="W267" s="22"/>
      <c r="X267" s="22"/>
      <c r="Y267" s="22"/>
      <c r="Z267" s="22"/>
    </row>
    <row r="268" spans="1:26" ht="16.149999999999999" customHeight="1" x14ac:dyDescent="0.25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2"/>
      <c r="X268" s="22"/>
      <c r="Y268" s="22"/>
      <c r="Z268" s="22"/>
    </row>
    <row r="269" spans="1:26" ht="16.149999999999999" customHeight="1" x14ac:dyDescent="0.25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  <c r="S269" s="22"/>
      <c r="T269" s="22"/>
      <c r="U269" s="22"/>
      <c r="V269" s="22"/>
      <c r="W269" s="22"/>
      <c r="X269" s="22"/>
      <c r="Y269" s="22"/>
      <c r="Z269" s="22"/>
    </row>
    <row r="270" spans="1:26" ht="16.149999999999999" customHeight="1" x14ac:dyDescent="0.25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2"/>
      <c r="X270" s="22"/>
      <c r="Y270" s="22"/>
      <c r="Z270" s="22"/>
    </row>
    <row r="271" spans="1:26" ht="16.149999999999999" customHeight="1" x14ac:dyDescent="0.25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  <c r="S271" s="22"/>
      <c r="T271" s="22"/>
      <c r="U271" s="22"/>
      <c r="V271" s="22"/>
      <c r="W271" s="22"/>
      <c r="X271" s="22"/>
      <c r="Y271" s="22"/>
      <c r="Z271" s="22"/>
    </row>
    <row r="272" spans="1:26" ht="16.149999999999999" customHeight="1" x14ac:dyDescent="0.25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2"/>
      <c r="X272" s="22"/>
      <c r="Y272" s="22"/>
      <c r="Z272" s="22"/>
    </row>
    <row r="273" spans="1:26" ht="16.149999999999999" customHeight="1" x14ac:dyDescent="0.25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  <c r="S273" s="22"/>
      <c r="T273" s="22"/>
      <c r="U273" s="22"/>
      <c r="V273" s="22"/>
      <c r="W273" s="22"/>
      <c r="X273" s="22"/>
      <c r="Y273" s="22"/>
      <c r="Z273" s="22"/>
    </row>
    <row r="274" spans="1:26" ht="16.149999999999999" customHeight="1" x14ac:dyDescent="0.25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2"/>
      <c r="X274" s="22"/>
      <c r="Y274" s="22"/>
      <c r="Z274" s="22"/>
    </row>
    <row r="275" spans="1:26" ht="16.149999999999999" customHeight="1" x14ac:dyDescent="0.2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  <c r="S275" s="22"/>
      <c r="T275" s="22"/>
      <c r="U275" s="22"/>
      <c r="V275" s="22"/>
      <c r="W275" s="22"/>
      <c r="X275" s="22"/>
      <c r="Y275" s="22"/>
      <c r="Z275" s="22"/>
    </row>
    <row r="276" spans="1:26" ht="16.149999999999999" customHeight="1" x14ac:dyDescent="0.25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2"/>
      <c r="X276" s="22"/>
      <c r="Y276" s="22"/>
      <c r="Z276" s="22"/>
    </row>
    <row r="277" spans="1:26" ht="16.149999999999999" customHeight="1" x14ac:dyDescent="0.25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  <c r="S277" s="22"/>
      <c r="T277" s="22"/>
      <c r="U277" s="22"/>
      <c r="V277" s="22"/>
      <c r="W277" s="22"/>
      <c r="X277" s="22"/>
      <c r="Y277" s="22"/>
      <c r="Z277" s="22"/>
    </row>
    <row r="278" spans="1:26" ht="16.149999999999999" customHeight="1" x14ac:dyDescent="0.25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2"/>
      <c r="X278" s="22"/>
      <c r="Y278" s="22"/>
      <c r="Z278" s="22"/>
    </row>
    <row r="279" spans="1:26" ht="16.149999999999999" customHeight="1" x14ac:dyDescent="0.25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  <c r="S279" s="22"/>
      <c r="T279" s="22"/>
      <c r="U279" s="22"/>
      <c r="V279" s="22"/>
      <c r="W279" s="22"/>
      <c r="X279" s="22"/>
      <c r="Y279" s="22"/>
      <c r="Z279" s="22"/>
    </row>
    <row r="280" spans="1:26" ht="16.149999999999999" customHeight="1" x14ac:dyDescent="0.25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2"/>
      <c r="X280" s="22"/>
      <c r="Y280" s="22"/>
      <c r="Z280" s="22"/>
    </row>
    <row r="281" spans="1:26" ht="16.149999999999999" customHeight="1" x14ac:dyDescent="0.25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  <c r="S281" s="22"/>
      <c r="T281" s="22"/>
      <c r="U281" s="22"/>
      <c r="V281" s="22"/>
      <c r="W281" s="22"/>
      <c r="X281" s="22"/>
      <c r="Y281" s="22"/>
      <c r="Z281" s="22"/>
    </row>
    <row r="282" spans="1:26" ht="16.149999999999999" customHeight="1" x14ac:dyDescent="0.25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2"/>
      <c r="X282" s="22"/>
      <c r="Y282" s="22"/>
      <c r="Z282" s="22"/>
    </row>
    <row r="283" spans="1:26" ht="16.149999999999999" customHeight="1" x14ac:dyDescent="0.25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  <c r="S283" s="22"/>
      <c r="T283" s="22"/>
      <c r="U283" s="22"/>
      <c r="V283" s="22"/>
      <c r="W283" s="22"/>
      <c r="X283" s="22"/>
      <c r="Y283" s="22"/>
      <c r="Z283" s="22"/>
    </row>
    <row r="284" spans="1:26" ht="16.149999999999999" customHeight="1" x14ac:dyDescent="0.25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2"/>
      <c r="X284" s="22"/>
      <c r="Y284" s="22"/>
      <c r="Z284" s="22"/>
    </row>
    <row r="285" spans="1:26" ht="16.149999999999999" customHeight="1" x14ac:dyDescent="0.25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  <c r="S285" s="22"/>
      <c r="T285" s="22"/>
      <c r="U285" s="22"/>
      <c r="V285" s="22"/>
      <c r="W285" s="22"/>
      <c r="X285" s="22"/>
      <c r="Y285" s="22"/>
      <c r="Z285" s="22"/>
    </row>
    <row r="286" spans="1:26" ht="16.149999999999999" customHeight="1" x14ac:dyDescent="0.25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2"/>
      <c r="X286" s="22"/>
      <c r="Y286" s="22"/>
      <c r="Z286" s="22"/>
    </row>
    <row r="287" spans="1:26" ht="16.149999999999999" customHeight="1" x14ac:dyDescent="0.25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  <c r="S287" s="22"/>
      <c r="T287" s="22"/>
      <c r="U287" s="22"/>
      <c r="V287" s="22"/>
      <c r="W287" s="22"/>
      <c r="X287" s="22"/>
      <c r="Y287" s="22"/>
      <c r="Z287" s="22"/>
    </row>
    <row r="288" spans="1:26" ht="16.149999999999999" customHeight="1" x14ac:dyDescent="0.25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2"/>
      <c r="X288" s="22"/>
      <c r="Y288" s="22"/>
      <c r="Z288" s="22"/>
    </row>
    <row r="289" spans="1:26" ht="16.149999999999999" customHeight="1" x14ac:dyDescent="0.25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  <c r="S289" s="22"/>
      <c r="T289" s="22"/>
      <c r="U289" s="22"/>
      <c r="V289" s="22"/>
      <c r="W289" s="22"/>
      <c r="X289" s="22"/>
      <c r="Y289" s="22"/>
      <c r="Z289" s="22"/>
    </row>
    <row r="290" spans="1:26" ht="16.149999999999999" customHeight="1" x14ac:dyDescent="0.25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2"/>
      <c r="X290" s="22"/>
      <c r="Y290" s="22"/>
      <c r="Z290" s="22"/>
    </row>
    <row r="291" spans="1:26" ht="16.149999999999999" customHeight="1" x14ac:dyDescent="0.25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  <c r="S291" s="22"/>
      <c r="T291" s="22"/>
      <c r="U291" s="22"/>
      <c r="V291" s="22"/>
      <c r="W291" s="22"/>
      <c r="X291" s="22"/>
      <c r="Y291" s="22"/>
      <c r="Z291" s="22"/>
    </row>
    <row r="292" spans="1:26" ht="16.149999999999999" customHeight="1" x14ac:dyDescent="0.25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2"/>
      <c r="X292" s="22"/>
      <c r="Y292" s="22"/>
      <c r="Z292" s="22"/>
    </row>
    <row r="293" spans="1:26" ht="16.149999999999999" customHeight="1" x14ac:dyDescent="0.25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  <c r="S293" s="22"/>
      <c r="T293" s="22"/>
      <c r="U293" s="22"/>
      <c r="V293" s="22"/>
      <c r="W293" s="22"/>
      <c r="X293" s="22"/>
      <c r="Y293" s="22"/>
      <c r="Z293" s="22"/>
    </row>
    <row r="294" spans="1:26" ht="16.149999999999999" customHeight="1" x14ac:dyDescent="0.25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2"/>
      <c r="X294" s="22"/>
      <c r="Y294" s="22"/>
      <c r="Z294" s="22"/>
    </row>
    <row r="295" spans="1:26" ht="16.149999999999999" customHeight="1" x14ac:dyDescent="0.25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  <c r="S295" s="22"/>
      <c r="T295" s="22"/>
      <c r="U295" s="22"/>
      <c r="V295" s="22"/>
      <c r="W295" s="22"/>
      <c r="X295" s="22"/>
      <c r="Y295" s="22"/>
      <c r="Z295" s="22"/>
    </row>
    <row r="296" spans="1:26" ht="16.149999999999999" customHeight="1" x14ac:dyDescent="0.25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2"/>
      <c r="X296" s="22"/>
      <c r="Y296" s="22"/>
      <c r="Z296" s="22"/>
    </row>
    <row r="297" spans="1:26" ht="16.149999999999999" customHeight="1" x14ac:dyDescent="0.25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  <c r="S297" s="22"/>
      <c r="T297" s="22"/>
      <c r="U297" s="22"/>
      <c r="V297" s="22"/>
      <c r="W297" s="22"/>
      <c r="X297" s="22"/>
      <c r="Y297" s="22"/>
      <c r="Z297" s="22"/>
    </row>
    <row r="298" spans="1:26" ht="16.149999999999999" customHeight="1" x14ac:dyDescent="0.25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2"/>
      <c r="X298" s="22"/>
      <c r="Y298" s="22"/>
      <c r="Z298" s="22"/>
    </row>
    <row r="299" spans="1:26" ht="16.149999999999999" customHeight="1" x14ac:dyDescent="0.25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  <c r="S299" s="22"/>
      <c r="T299" s="22"/>
      <c r="U299" s="22"/>
      <c r="V299" s="22"/>
      <c r="W299" s="22"/>
      <c r="X299" s="22"/>
      <c r="Y299" s="22"/>
      <c r="Z299" s="22"/>
    </row>
    <row r="300" spans="1:26" ht="16.149999999999999" customHeight="1" x14ac:dyDescent="0.25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2"/>
      <c r="X300" s="22"/>
      <c r="Y300" s="22"/>
      <c r="Z300" s="22"/>
    </row>
    <row r="301" spans="1:26" ht="16.149999999999999" customHeight="1" x14ac:dyDescent="0.25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  <c r="S301" s="22"/>
      <c r="T301" s="22"/>
      <c r="U301" s="22"/>
      <c r="V301" s="22"/>
      <c r="W301" s="22"/>
      <c r="X301" s="22"/>
      <c r="Y301" s="22"/>
      <c r="Z301" s="22"/>
    </row>
    <row r="302" spans="1:26" ht="16.149999999999999" customHeight="1" x14ac:dyDescent="0.25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2"/>
      <c r="X302" s="22"/>
      <c r="Y302" s="22"/>
      <c r="Z302" s="22"/>
    </row>
    <row r="303" spans="1:26" ht="16.149999999999999" customHeight="1" x14ac:dyDescent="0.25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  <c r="S303" s="22"/>
      <c r="T303" s="22"/>
      <c r="U303" s="22"/>
      <c r="V303" s="22"/>
      <c r="W303" s="22"/>
      <c r="X303" s="22"/>
      <c r="Y303" s="22"/>
      <c r="Z303" s="22"/>
    </row>
    <row r="304" spans="1:26" ht="16.149999999999999" customHeight="1" x14ac:dyDescent="0.25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2"/>
      <c r="X304" s="22"/>
      <c r="Y304" s="22"/>
      <c r="Z304" s="22"/>
    </row>
    <row r="305" spans="1:26" ht="16.149999999999999" customHeight="1" x14ac:dyDescent="0.25">
      <c r="A305" s="22"/>
      <c r="B305" s="22"/>
      <c r="C305" s="22"/>
      <c r="D305" s="22"/>
      <c r="E305" s="22"/>
      <c r="F305" s="22"/>
      <c r="G305" s="22"/>
      <c r="H305" s="22"/>
      <c r="I305" s="22"/>
      <c r="J305" s="22"/>
      <c r="K305" s="22"/>
      <c r="L305" s="22"/>
      <c r="M305" s="22"/>
      <c r="N305" s="22"/>
      <c r="O305" s="22"/>
      <c r="P305" s="22"/>
      <c r="Q305" s="22"/>
      <c r="R305" s="22"/>
      <c r="S305" s="22"/>
      <c r="T305" s="22"/>
      <c r="U305" s="22"/>
      <c r="V305" s="22"/>
      <c r="W305" s="22"/>
      <c r="X305" s="22"/>
      <c r="Y305" s="22"/>
      <c r="Z305" s="22"/>
    </row>
    <row r="306" spans="1:26" ht="16.149999999999999" customHeight="1" x14ac:dyDescent="0.25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2"/>
      <c r="X306" s="22"/>
      <c r="Y306" s="22"/>
      <c r="Z306" s="22"/>
    </row>
    <row r="307" spans="1:26" ht="16.149999999999999" customHeight="1" x14ac:dyDescent="0.25">
      <c r="A307" s="22"/>
      <c r="B307" s="22"/>
      <c r="C307" s="22"/>
      <c r="D307" s="22"/>
      <c r="E307" s="22"/>
      <c r="F307" s="22"/>
      <c r="G307" s="22"/>
      <c r="H307" s="22"/>
      <c r="I307" s="22"/>
      <c r="J307" s="22"/>
      <c r="K307" s="22"/>
      <c r="L307" s="22"/>
      <c r="M307" s="22"/>
      <c r="N307" s="22"/>
      <c r="O307" s="22"/>
      <c r="P307" s="22"/>
      <c r="Q307" s="22"/>
      <c r="R307" s="22"/>
      <c r="S307" s="22"/>
      <c r="T307" s="22"/>
      <c r="U307" s="22"/>
      <c r="V307" s="22"/>
      <c r="W307" s="22"/>
      <c r="X307" s="22"/>
      <c r="Y307" s="22"/>
      <c r="Z307" s="22"/>
    </row>
    <row r="308" spans="1:26" ht="16.149999999999999" customHeight="1" x14ac:dyDescent="0.25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2"/>
      <c r="X308" s="22"/>
      <c r="Y308" s="22"/>
      <c r="Z308" s="22"/>
    </row>
    <row r="309" spans="1:26" ht="16.149999999999999" customHeight="1" x14ac:dyDescent="0.25">
      <c r="A309" s="22"/>
      <c r="B309" s="22"/>
      <c r="C309" s="22"/>
      <c r="D309" s="22"/>
      <c r="E309" s="22"/>
      <c r="F309" s="22"/>
      <c r="G309" s="22"/>
      <c r="H309" s="22"/>
      <c r="I309" s="22"/>
      <c r="J309" s="22"/>
      <c r="K309" s="22"/>
      <c r="L309" s="22"/>
      <c r="M309" s="22"/>
      <c r="N309" s="22"/>
      <c r="O309" s="22"/>
      <c r="P309" s="22"/>
      <c r="Q309" s="22"/>
      <c r="R309" s="22"/>
      <c r="S309" s="22"/>
      <c r="T309" s="22"/>
      <c r="U309" s="22"/>
      <c r="V309" s="22"/>
      <c r="W309" s="22"/>
      <c r="X309" s="22"/>
      <c r="Y309" s="22"/>
      <c r="Z309" s="22"/>
    </row>
    <row r="310" spans="1:26" ht="16.149999999999999" customHeight="1" x14ac:dyDescent="0.25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2"/>
      <c r="X310" s="22"/>
      <c r="Y310" s="22"/>
      <c r="Z310" s="22"/>
    </row>
    <row r="311" spans="1:26" ht="16.149999999999999" customHeight="1" x14ac:dyDescent="0.25">
      <c r="A311" s="22"/>
      <c r="B311" s="22"/>
      <c r="C311" s="22"/>
      <c r="D311" s="22"/>
      <c r="E311" s="22"/>
      <c r="F311" s="22"/>
      <c r="G311" s="22"/>
      <c r="H311" s="22"/>
      <c r="I311" s="22"/>
      <c r="J311" s="22"/>
      <c r="K311" s="22"/>
      <c r="L311" s="22"/>
      <c r="M311" s="22"/>
      <c r="N311" s="22"/>
      <c r="O311" s="22"/>
      <c r="P311" s="22"/>
      <c r="Q311" s="22"/>
      <c r="R311" s="22"/>
      <c r="S311" s="22"/>
      <c r="T311" s="22"/>
      <c r="U311" s="22"/>
      <c r="V311" s="22"/>
      <c r="W311" s="22"/>
      <c r="X311" s="22"/>
      <c r="Y311" s="22"/>
      <c r="Z311" s="22"/>
    </row>
    <row r="312" spans="1:26" ht="16.149999999999999" customHeight="1" x14ac:dyDescent="0.25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2"/>
      <c r="X312" s="22"/>
      <c r="Y312" s="22"/>
      <c r="Z312" s="22"/>
    </row>
    <row r="313" spans="1:26" ht="16.149999999999999" customHeight="1" x14ac:dyDescent="0.25">
      <c r="A313" s="22"/>
      <c r="B313" s="22"/>
      <c r="C313" s="22"/>
      <c r="D313" s="22"/>
      <c r="E313" s="22"/>
      <c r="F313" s="22"/>
      <c r="G313" s="22"/>
      <c r="H313" s="22"/>
      <c r="I313" s="22"/>
      <c r="J313" s="22"/>
      <c r="K313" s="22"/>
      <c r="L313" s="22"/>
      <c r="M313" s="22"/>
      <c r="N313" s="22"/>
      <c r="O313" s="22"/>
      <c r="P313" s="22"/>
      <c r="Q313" s="22"/>
      <c r="R313" s="22"/>
      <c r="S313" s="22"/>
      <c r="T313" s="22"/>
      <c r="U313" s="22"/>
      <c r="V313" s="22"/>
      <c r="W313" s="22"/>
      <c r="X313" s="22"/>
      <c r="Y313" s="22"/>
      <c r="Z313" s="22"/>
    </row>
    <row r="314" spans="1:26" ht="16.149999999999999" customHeight="1" x14ac:dyDescent="0.25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2"/>
      <c r="X314" s="22"/>
      <c r="Y314" s="22"/>
      <c r="Z314" s="22"/>
    </row>
    <row r="315" spans="1:26" ht="16.149999999999999" customHeight="1" x14ac:dyDescent="0.25">
      <c r="A315" s="22"/>
      <c r="B315" s="22"/>
      <c r="C315" s="22"/>
      <c r="D315" s="22"/>
      <c r="E315" s="22"/>
      <c r="F315" s="22"/>
      <c r="G315" s="22"/>
      <c r="H315" s="22"/>
      <c r="I315" s="22"/>
      <c r="J315" s="22"/>
      <c r="K315" s="22"/>
      <c r="L315" s="22"/>
      <c r="M315" s="22"/>
      <c r="N315" s="22"/>
      <c r="O315" s="22"/>
      <c r="P315" s="22"/>
      <c r="Q315" s="22"/>
      <c r="R315" s="22"/>
      <c r="S315" s="22"/>
      <c r="T315" s="22"/>
      <c r="U315" s="22"/>
      <c r="V315" s="22"/>
      <c r="W315" s="22"/>
      <c r="X315" s="22"/>
      <c r="Y315" s="22"/>
      <c r="Z315" s="22"/>
    </row>
    <row r="316" spans="1:26" ht="16.149999999999999" customHeight="1" x14ac:dyDescent="0.25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2"/>
      <c r="X316" s="22"/>
      <c r="Y316" s="22"/>
      <c r="Z316" s="22"/>
    </row>
    <row r="317" spans="1:26" ht="16.149999999999999" customHeight="1" x14ac:dyDescent="0.25">
      <c r="A317" s="22"/>
      <c r="B317" s="22"/>
      <c r="C317" s="22"/>
      <c r="D317" s="22"/>
      <c r="E317" s="22"/>
      <c r="F317" s="22"/>
      <c r="G317" s="22"/>
      <c r="H317" s="22"/>
      <c r="I317" s="22"/>
      <c r="J317" s="22"/>
      <c r="K317" s="22"/>
      <c r="L317" s="22"/>
      <c r="M317" s="22"/>
      <c r="N317" s="22"/>
      <c r="O317" s="22"/>
      <c r="P317" s="22"/>
      <c r="Q317" s="22"/>
      <c r="R317" s="22"/>
      <c r="S317" s="22"/>
      <c r="T317" s="22"/>
      <c r="U317" s="22"/>
      <c r="V317" s="22"/>
      <c r="W317" s="22"/>
      <c r="X317" s="22"/>
      <c r="Y317" s="22"/>
      <c r="Z317" s="22"/>
    </row>
    <row r="318" spans="1:26" ht="16.149999999999999" customHeight="1" x14ac:dyDescent="0.25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2"/>
      <c r="X318" s="22"/>
      <c r="Y318" s="22"/>
      <c r="Z318" s="22"/>
    </row>
    <row r="319" spans="1:26" ht="16.149999999999999" customHeight="1" x14ac:dyDescent="0.25">
      <c r="A319" s="22"/>
      <c r="B319" s="22"/>
      <c r="C319" s="22"/>
      <c r="D319" s="22"/>
      <c r="E319" s="22"/>
      <c r="F319" s="22"/>
      <c r="G319" s="22"/>
      <c r="H319" s="22"/>
      <c r="I319" s="22"/>
      <c r="J319" s="22"/>
      <c r="K319" s="22"/>
      <c r="L319" s="22"/>
      <c r="M319" s="22"/>
      <c r="N319" s="22"/>
      <c r="O319" s="22"/>
      <c r="P319" s="22"/>
      <c r="Q319" s="22"/>
      <c r="R319" s="22"/>
      <c r="S319" s="22"/>
      <c r="T319" s="22"/>
      <c r="U319" s="22"/>
      <c r="V319" s="22"/>
      <c r="W319" s="22"/>
      <c r="X319" s="22"/>
      <c r="Y319" s="22"/>
      <c r="Z319" s="22"/>
    </row>
    <row r="320" spans="1:26" ht="16.149999999999999" customHeight="1" x14ac:dyDescent="0.25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2"/>
      <c r="X320" s="22"/>
      <c r="Y320" s="22"/>
      <c r="Z320" s="22"/>
    </row>
    <row r="321" spans="1:26" ht="16.149999999999999" customHeight="1" x14ac:dyDescent="0.25">
      <c r="A321" s="22"/>
      <c r="B321" s="22"/>
      <c r="C321" s="22"/>
      <c r="D321" s="22"/>
      <c r="E321" s="22"/>
      <c r="F321" s="22"/>
      <c r="G321" s="22"/>
      <c r="H321" s="22"/>
      <c r="I321" s="22"/>
      <c r="J321" s="22"/>
      <c r="K321" s="22"/>
      <c r="L321" s="22"/>
      <c r="M321" s="22"/>
      <c r="N321" s="22"/>
      <c r="O321" s="22"/>
      <c r="P321" s="22"/>
      <c r="Q321" s="22"/>
      <c r="R321" s="22"/>
      <c r="S321" s="22"/>
      <c r="T321" s="22"/>
      <c r="U321" s="22"/>
      <c r="V321" s="22"/>
      <c r="W321" s="22"/>
      <c r="X321" s="22"/>
      <c r="Y321" s="22"/>
      <c r="Z321" s="22"/>
    </row>
    <row r="322" spans="1:26" ht="16.149999999999999" customHeight="1" x14ac:dyDescent="0.25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2"/>
      <c r="X322" s="22"/>
      <c r="Y322" s="22"/>
      <c r="Z322" s="22"/>
    </row>
    <row r="323" spans="1:26" ht="16.149999999999999" customHeight="1" x14ac:dyDescent="0.25">
      <c r="A323" s="22"/>
      <c r="B323" s="22"/>
      <c r="C323" s="22"/>
      <c r="D323" s="22"/>
      <c r="E323" s="22"/>
      <c r="F323" s="22"/>
      <c r="G323" s="22"/>
      <c r="H323" s="22"/>
      <c r="I323" s="22"/>
      <c r="J323" s="22"/>
      <c r="K323" s="22"/>
      <c r="L323" s="22"/>
      <c r="M323" s="22"/>
      <c r="N323" s="22"/>
      <c r="O323" s="22"/>
      <c r="P323" s="22"/>
      <c r="Q323" s="22"/>
      <c r="R323" s="22"/>
      <c r="S323" s="22"/>
      <c r="T323" s="22"/>
      <c r="U323" s="22"/>
      <c r="V323" s="22"/>
      <c r="W323" s="22"/>
      <c r="X323" s="22"/>
      <c r="Y323" s="22"/>
      <c r="Z323" s="22"/>
    </row>
    <row r="324" spans="1:26" ht="16.149999999999999" customHeight="1" x14ac:dyDescent="0.25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2"/>
      <c r="X324" s="22"/>
      <c r="Y324" s="22"/>
      <c r="Z324" s="22"/>
    </row>
    <row r="325" spans="1:26" ht="16.149999999999999" customHeight="1" x14ac:dyDescent="0.25">
      <c r="A325" s="22"/>
      <c r="B325" s="22"/>
      <c r="C325" s="22"/>
      <c r="D325" s="22"/>
      <c r="E325" s="22"/>
      <c r="F325" s="22"/>
      <c r="G325" s="22"/>
      <c r="H325" s="22"/>
      <c r="I325" s="22"/>
      <c r="J325" s="22"/>
      <c r="K325" s="22"/>
      <c r="L325" s="22"/>
      <c r="M325" s="22"/>
      <c r="N325" s="22"/>
      <c r="O325" s="22"/>
      <c r="P325" s="22"/>
      <c r="Q325" s="22"/>
      <c r="R325" s="22"/>
      <c r="S325" s="22"/>
      <c r="T325" s="22"/>
      <c r="U325" s="22"/>
      <c r="V325" s="22"/>
      <c r="W325" s="22"/>
      <c r="X325" s="22"/>
      <c r="Y325" s="22"/>
      <c r="Z325" s="22"/>
    </row>
    <row r="326" spans="1:26" ht="16.149999999999999" customHeight="1" x14ac:dyDescent="0.25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2"/>
      <c r="X326" s="22"/>
      <c r="Y326" s="22"/>
      <c r="Z326" s="22"/>
    </row>
    <row r="327" spans="1:26" ht="16.149999999999999" customHeight="1" x14ac:dyDescent="0.25">
      <c r="A327" s="22"/>
      <c r="B327" s="22"/>
      <c r="C327" s="22"/>
      <c r="D327" s="22"/>
      <c r="E327" s="22"/>
      <c r="F327" s="22"/>
      <c r="G327" s="22"/>
      <c r="H327" s="22"/>
      <c r="I327" s="22"/>
      <c r="J327" s="22"/>
      <c r="K327" s="22"/>
      <c r="L327" s="22"/>
      <c r="M327" s="22"/>
      <c r="N327" s="22"/>
      <c r="O327" s="22"/>
      <c r="P327" s="22"/>
      <c r="Q327" s="22"/>
      <c r="R327" s="22"/>
      <c r="S327" s="22"/>
      <c r="T327" s="22"/>
      <c r="U327" s="22"/>
      <c r="V327" s="22"/>
      <c r="W327" s="22"/>
      <c r="X327" s="22"/>
      <c r="Y327" s="22"/>
      <c r="Z327" s="22"/>
    </row>
    <row r="328" spans="1:26" ht="16.149999999999999" customHeight="1" x14ac:dyDescent="0.25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2"/>
      <c r="X328" s="22"/>
      <c r="Y328" s="22"/>
      <c r="Z328" s="22"/>
    </row>
    <row r="329" spans="1:26" ht="16.149999999999999" customHeight="1" x14ac:dyDescent="0.25">
      <c r="A329" s="22"/>
      <c r="B329" s="22"/>
      <c r="C329" s="22"/>
      <c r="D329" s="22"/>
      <c r="E329" s="22"/>
      <c r="F329" s="22"/>
      <c r="G329" s="22"/>
      <c r="H329" s="22"/>
      <c r="I329" s="22"/>
      <c r="J329" s="22"/>
      <c r="K329" s="22"/>
      <c r="L329" s="22"/>
      <c r="M329" s="22"/>
      <c r="N329" s="22"/>
      <c r="O329" s="22"/>
      <c r="P329" s="22"/>
      <c r="Q329" s="22"/>
      <c r="R329" s="22"/>
      <c r="S329" s="22"/>
      <c r="T329" s="22"/>
      <c r="U329" s="22"/>
      <c r="V329" s="22"/>
      <c r="W329" s="22"/>
      <c r="X329" s="22"/>
      <c r="Y329" s="22"/>
      <c r="Z329" s="22"/>
    </row>
    <row r="330" spans="1:26" ht="16.149999999999999" customHeight="1" x14ac:dyDescent="0.25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2"/>
      <c r="X330" s="22"/>
      <c r="Y330" s="22"/>
      <c r="Z330" s="22"/>
    </row>
    <row r="331" spans="1:26" ht="16.149999999999999" customHeight="1" x14ac:dyDescent="0.25">
      <c r="A331" s="22"/>
      <c r="B331" s="22"/>
      <c r="C331" s="22"/>
      <c r="D331" s="22"/>
      <c r="E331" s="22"/>
      <c r="F331" s="22"/>
      <c r="G331" s="22"/>
      <c r="H331" s="22"/>
      <c r="I331" s="22"/>
      <c r="J331" s="22"/>
      <c r="K331" s="22"/>
      <c r="L331" s="22"/>
      <c r="M331" s="22"/>
      <c r="N331" s="22"/>
      <c r="O331" s="22"/>
      <c r="P331" s="22"/>
      <c r="Q331" s="22"/>
      <c r="R331" s="22"/>
      <c r="S331" s="22"/>
      <c r="T331" s="22"/>
      <c r="U331" s="22"/>
      <c r="V331" s="22"/>
      <c r="W331" s="22"/>
      <c r="X331" s="22"/>
      <c r="Y331" s="22"/>
      <c r="Z331" s="22"/>
    </row>
    <row r="332" spans="1:26" ht="16.149999999999999" customHeight="1" x14ac:dyDescent="0.25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2"/>
      <c r="X332" s="22"/>
      <c r="Y332" s="22"/>
      <c r="Z332" s="22"/>
    </row>
    <row r="333" spans="1:26" ht="16.149999999999999" customHeight="1" x14ac:dyDescent="0.25">
      <c r="A333" s="22"/>
      <c r="B333" s="22"/>
      <c r="C333" s="22"/>
      <c r="D333" s="22"/>
      <c r="E333" s="22"/>
      <c r="F333" s="22"/>
      <c r="G333" s="22"/>
      <c r="H333" s="22"/>
      <c r="I333" s="22"/>
      <c r="J333" s="22"/>
      <c r="K333" s="22"/>
      <c r="L333" s="22"/>
      <c r="M333" s="22"/>
      <c r="N333" s="22"/>
      <c r="O333" s="22"/>
      <c r="P333" s="22"/>
      <c r="Q333" s="22"/>
      <c r="R333" s="22"/>
      <c r="S333" s="22"/>
      <c r="T333" s="22"/>
      <c r="U333" s="22"/>
      <c r="V333" s="22"/>
      <c r="W333" s="22"/>
      <c r="X333" s="22"/>
      <c r="Y333" s="22"/>
      <c r="Z333" s="22"/>
    </row>
    <row r="334" spans="1:26" ht="16.149999999999999" customHeight="1" x14ac:dyDescent="0.25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2"/>
      <c r="X334" s="22"/>
      <c r="Y334" s="22"/>
      <c r="Z334" s="22"/>
    </row>
    <row r="335" spans="1:26" ht="16.149999999999999" customHeight="1" x14ac:dyDescent="0.25">
      <c r="A335" s="22"/>
      <c r="B335" s="22"/>
      <c r="C335" s="22"/>
      <c r="D335" s="22"/>
      <c r="E335" s="22"/>
      <c r="F335" s="22"/>
      <c r="G335" s="22"/>
      <c r="H335" s="22"/>
      <c r="I335" s="22"/>
      <c r="J335" s="22"/>
      <c r="K335" s="22"/>
      <c r="L335" s="22"/>
      <c r="M335" s="22"/>
      <c r="N335" s="22"/>
      <c r="O335" s="22"/>
      <c r="P335" s="22"/>
      <c r="Q335" s="22"/>
      <c r="R335" s="22"/>
      <c r="S335" s="22"/>
      <c r="T335" s="22"/>
      <c r="U335" s="22"/>
      <c r="V335" s="22"/>
      <c r="W335" s="22"/>
      <c r="X335" s="22"/>
      <c r="Y335" s="22"/>
      <c r="Z335" s="22"/>
    </row>
    <row r="336" spans="1:26" ht="16.149999999999999" customHeight="1" x14ac:dyDescent="0.25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2"/>
      <c r="X336" s="22"/>
      <c r="Y336" s="22"/>
      <c r="Z336" s="22"/>
    </row>
    <row r="337" spans="1:26" ht="16.149999999999999" customHeight="1" x14ac:dyDescent="0.25">
      <c r="A337" s="22"/>
      <c r="B337" s="22"/>
      <c r="C337" s="22"/>
      <c r="D337" s="22"/>
      <c r="E337" s="22"/>
      <c r="F337" s="22"/>
      <c r="G337" s="22"/>
      <c r="H337" s="22"/>
      <c r="I337" s="22"/>
      <c r="J337" s="22"/>
      <c r="K337" s="22"/>
      <c r="L337" s="22"/>
      <c r="M337" s="22"/>
      <c r="N337" s="22"/>
      <c r="O337" s="22"/>
      <c r="P337" s="22"/>
      <c r="Q337" s="22"/>
      <c r="R337" s="22"/>
      <c r="S337" s="22"/>
      <c r="T337" s="22"/>
      <c r="U337" s="22"/>
      <c r="V337" s="22"/>
      <c r="W337" s="22"/>
      <c r="X337" s="22"/>
      <c r="Y337" s="22"/>
      <c r="Z337" s="22"/>
    </row>
    <row r="338" spans="1:26" ht="16.149999999999999" customHeight="1" x14ac:dyDescent="0.25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2"/>
      <c r="X338" s="22"/>
      <c r="Y338" s="22"/>
      <c r="Z338" s="22"/>
    </row>
    <row r="339" spans="1:26" ht="16.149999999999999" customHeight="1" x14ac:dyDescent="0.25">
      <c r="A339" s="22"/>
      <c r="B339" s="22"/>
      <c r="C339" s="22"/>
      <c r="D339" s="22"/>
      <c r="E339" s="22"/>
      <c r="F339" s="22"/>
      <c r="G339" s="22"/>
      <c r="H339" s="22"/>
      <c r="I339" s="22"/>
      <c r="J339" s="22"/>
      <c r="K339" s="22"/>
      <c r="L339" s="22"/>
      <c r="M339" s="22"/>
      <c r="N339" s="22"/>
      <c r="O339" s="22"/>
      <c r="P339" s="22"/>
      <c r="Q339" s="22"/>
      <c r="R339" s="22"/>
      <c r="S339" s="22"/>
      <c r="T339" s="22"/>
      <c r="U339" s="22"/>
      <c r="V339" s="22"/>
      <c r="W339" s="22"/>
      <c r="X339" s="22"/>
      <c r="Y339" s="22"/>
      <c r="Z339" s="22"/>
    </row>
    <row r="340" spans="1:26" ht="16.149999999999999" customHeight="1" x14ac:dyDescent="0.25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2"/>
      <c r="X340" s="22"/>
      <c r="Y340" s="22"/>
      <c r="Z340" s="22"/>
    </row>
    <row r="341" spans="1:26" ht="16.149999999999999" customHeight="1" x14ac:dyDescent="0.25">
      <c r="A341" s="22"/>
      <c r="B341" s="22"/>
      <c r="C341" s="22"/>
      <c r="D341" s="22"/>
      <c r="E341" s="22"/>
      <c r="F341" s="22"/>
      <c r="G341" s="22"/>
      <c r="H341" s="22"/>
      <c r="I341" s="22"/>
      <c r="J341" s="22"/>
      <c r="K341" s="22"/>
      <c r="L341" s="22"/>
      <c r="M341" s="22"/>
      <c r="N341" s="22"/>
      <c r="O341" s="22"/>
      <c r="P341" s="22"/>
      <c r="Q341" s="22"/>
      <c r="R341" s="22"/>
      <c r="S341" s="22"/>
      <c r="T341" s="22"/>
      <c r="U341" s="22"/>
      <c r="V341" s="22"/>
      <c r="W341" s="22"/>
      <c r="X341" s="22"/>
      <c r="Y341" s="22"/>
      <c r="Z341" s="22"/>
    </row>
    <row r="342" spans="1:26" ht="16.149999999999999" customHeight="1" x14ac:dyDescent="0.25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2"/>
      <c r="X342" s="22"/>
      <c r="Y342" s="22"/>
      <c r="Z342" s="22"/>
    </row>
    <row r="343" spans="1:26" ht="16.149999999999999" customHeight="1" x14ac:dyDescent="0.25">
      <c r="A343" s="22"/>
      <c r="B343" s="22"/>
      <c r="C343" s="22"/>
      <c r="D343" s="22"/>
      <c r="E343" s="22"/>
      <c r="F343" s="22"/>
      <c r="G343" s="22"/>
      <c r="H343" s="22"/>
      <c r="I343" s="22"/>
      <c r="J343" s="22"/>
      <c r="K343" s="22"/>
      <c r="L343" s="22"/>
      <c r="M343" s="22"/>
      <c r="N343" s="22"/>
      <c r="O343" s="22"/>
      <c r="P343" s="22"/>
      <c r="Q343" s="22"/>
      <c r="R343" s="22"/>
      <c r="S343" s="22"/>
      <c r="T343" s="22"/>
      <c r="U343" s="22"/>
      <c r="V343" s="22"/>
      <c r="W343" s="22"/>
      <c r="X343" s="22"/>
      <c r="Y343" s="22"/>
      <c r="Z343" s="22"/>
    </row>
    <row r="344" spans="1:26" ht="16.149999999999999" customHeight="1" x14ac:dyDescent="0.25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2"/>
      <c r="X344" s="22"/>
      <c r="Y344" s="22"/>
      <c r="Z344" s="22"/>
    </row>
    <row r="345" spans="1:26" ht="16.149999999999999" customHeight="1" x14ac:dyDescent="0.25">
      <c r="A345" s="22"/>
      <c r="B345" s="22"/>
      <c r="C345" s="22"/>
      <c r="D345" s="22"/>
      <c r="E345" s="22"/>
      <c r="F345" s="22"/>
      <c r="G345" s="22"/>
      <c r="H345" s="22"/>
      <c r="I345" s="22"/>
      <c r="J345" s="22"/>
      <c r="K345" s="22"/>
      <c r="L345" s="22"/>
      <c r="M345" s="22"/>
      <c r="N345" s="22"/>
      <c r="O345" s="22"/>
      <c r="P345" s="22"/>
      <c r="Q345" s="22"/>
      <c r="R345" s="22"/>
      <c r="S345" s="22"/>
      <c r="T345" s="22"/>
      <c r="U345" s="22"/>
      <c r="V345" s="22"/>
      <c r="W345" s="22"/>
      <c r="X345" s="22"/>
      <c r="Y345" s="22"/>
      <c r="Z345" s="22"/>
    </row>
    <row r="346" spans="1:26" ht="16.149999999999999" customHeight="1" x14ac:dyDescent="0.25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2"/>
      <c r="X346" s="22"/>
      <c r="Y346" s="22"/>
      <c r="Z346" s="22"/>
    </row>
    <row r="347" spans="1:26" ht="16.149999999999999" customHeight="1" x14ac:dyDescent="0.25">
      <c r="A347" s="22"/>
      <c r="B347" s="22"/>
      <c r="C347" s="22"/>
      <c r="D347" s="22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22"/>
      <c r="X347" s="22"/>
      <c r="Y347" s="22"/>
      <c r="Z347" s="22"/>
    </row>
    <row r="348" spans="1:26" ht="16.149999999999999" customHeight="1" x14ac:dyDescent="0.25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2"/>
      <c r="X348" s="22"/>
      <c r="Y348" s="22"/>
      <c r="Z348" s="22"/>
    </row>
    <row r="349" spans="1:26" ht="16.149999999999999" customHeight="1" x14ac:dyDescent="0.25">
      <c r="A349" s="22"/>
      <c r="B349" s="22"/>
      <c r="C349" s="22"/>
      <c r="D349" s="22"/>
      <c r="E349" s="22"/>
      <c r="F349" s="22"/>
      <c r="G349" s="22"/>
      <c r="H349" s="22"/>
      <c r="I349" s="22"/>
      <c r="J349" s="22"/>
      <c r="K349" s="22"/>
      <c r="L349" s="22"/>
      <c r="M349" s="22"/>
      <c r="N349" s="22"/>
      <c r="O349" s="22"/>
      <c r="P349" s="22"/>
      <c r="Q349" s="22"/>
      <c r="R349" s="22"/>
      <c r="S349" s="22"/>
      <c r="T349" s="22"/>
      <c r="U349" s="22"/>
      <c r="V349" s="22"/>
      <c r="W349" s="22"/>
      <c r="X349" s="22"/>
      <c r="Y349" s="22"/>
      <c r="Z349" s="22"/>
    </row>
    <row r="350" spans="1:26" ht="16.149999999999999" customHeight="1" x14ac:dyDescent="0.25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2"/>
      <c r="X350" s="22"/>
      <c r="Y350" s="22"/>
      <c r="Z350" s="22"/>
    </row>
    <row r="351" spans="1:26" ht="16.149999999999999" customHeight="1" x14ac:dyDescent="0.25">
      <c r="A351" s="22"/>
      <c r="B351" s="22"/>
      <c r="C351" s="22"/>
      <c r="D351" s="22"/>
      <c r="E351" s="22"/>
      <c r="F351" s="22"/>
      <c r="G351" s="22"/>
      <c r="H351" s="22"/>
      <c r="I351" s="22"/>
      <c r="J351" s="22"/>
      <c r="K351" s="22"/>
      <c r="L351" s="22"/>
      <c r="M351" s="22"/>
      <c r="N351" s="22"/>
      <c r="O351" s="22"/>
      <c r="P351" s="22"/>
      <c r="Q351" s="22"/>
      <c r="R351" s="22"/>
      <c r="S351" s="22"/>
      <c r="T351" s="22"/>
      <c r="U351" s="22"/>
      <c r="V351" s="22"/>
      <c r="W351" s="22"/>
      <c r="X351" s="22"/>
      <c r="Y351" s="22"/>
      <c r="Z351" s="22"/>
    </row>
    <row r="352" spans="1:26" ht="16.149999999999999" customHeight="1" x14ac:dyDescent="0.25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2"/>
      <c r="X352" s="22"/>
      <c r="Y352" s="22"/>
      <c r="Z352" s="22"/>
    </row>
    <row r="353" spans="1:26" ht="16.149999999999999" customHeight="1" x14ac:dyDescent="0.25">
      <c r="A353" s="22"/>
      <c r="B353" s="22"/>
      <c r="C353" s="22"/>
      <c r="D353" s="22"/>
      <c r="E353" s="22"/>
      <c r="F353" s="22"/>
      <c r="G353" s="22"/>
      <c r="H353" s="22"/>
      <c r="I353" s="22"/>
      <c r="J353" s="22"/>
      <c r="K353" s="22"/>
      <c r="L353" s="22"/>
      <c r="M353" s="22"/>
      <c r="N353" s="22"/>
      <c r="O353" s="22"/>
      <c r="P353" s="22"/>
      <c r="Q353" s="22"/>
      <c r="R353" s="22"/>
      <c r="S353" s="22"/>
      <c r="T353" s="22"/>
      <c r="U353" s="22"/>
      <c r="V353" s="22"/>
      <c r="W353" s="22"/>
      <c r="X353" s="22"/>
      <c r="Y353" s="22"/>
      <c r="Z353" s="22"/>
    </row>
    <row r="354" spans="1:26" ht="16.149999999999999" customHeight="1" x14ac:dyDescent="0.25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2"/>
      <c r="X354" s="22"/>
      <c r="Y354" s="22"/>
      <c r="Z354" s="22"/>
    </row>
    <row r="355" spans="1:26" ht="16.149999999999999" customHeight="1" x14ac:dyDescent="0.25">
      <c r="A355" s="22"/>
      <c r="B355" s="22"/>
      <c r="C355" s="22"/>
      <c r="D355" s="22"/>
      <c r="E355" s="22"/>
      <c r="F355" s="22"/>
      <c r="G355" s="22"/>
      <c r="H355" s="22"/>
      <c r="I355" s="22"/>
      <c r="J355" s="22"/>
      <c r="K355" s="22"/>
      <c r="L355" s="22"/>
      <c r="M355" s="22"/>
      <c r="N355" s="22"/>
      <c r="O355" s="22"/>
      <c r="P355" s="22"/>
      <c r="Q355" s="22"/>
      <c r="R355" s="22"/>
      <c r="S355" s="22"/>
      <c r="T355" s="22"/>
      <c r="U355" s="22"/>
      <c r="V355" s="22"/>
      <c r="W355" s="22"/>
      <c r="X355" s="22"/>
      <c r="Y355" s="22"/>
      <c r="Z355" s="22"/>
    </row>
    <row r="356" spans="1:26" ht="16.149999999999999" customHeight="1" x14ac:dyDescent="0.25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2"/>
      <c r="X356" s="22"/>
      <c r="Y356" s="22"/>
      <c r="Z356" s="22"/>
    </row>
    <row r="357" spans="1:26" ht="16.149999999999999" customHeight="1" x14ac:dyDescent="0.25">
      <c r="A357" s="22"/>
      <c r="B357" s="22"/>
      <c r="C357" s="22"/>
      <c r="D357" s="22"/>
      <c r="E357" s="22"/>
      <c r="F357" s="22"/>
      <c r="G357" s="22"/>
      <c r="H357" s="22"/>
      <c r="I357" s="22"/>
      <c r="J357" s="22"/>
      <c r="K357" s="22"/>
      <c r="L357" s="22"/>
      <c r="M357" s="22"/>
      <c r="N357" s="22"/>
      <c r="O357" s="22"/>
      <c r="P357" s="22"/>
      <c r="Q357" s="22"/>
      <c r="R357" s="22"/>
      <c r="S357" s="22"/>
      <c r="T357" s="22"/>
      <c r="U357" s="22"/>
      <c r="V357" s="22"/>
      <c r="W357" s="22"/>
      <c r="X357" s="22"/>
      <c r="Y357" s="22"/>
      <c r="Z357" s="22"/>
    </row>
    <row r="358" spans="1:26" ht="16.149999999999999" customHeight="1" x14ac:dyDescent="0.25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2"/>
      <c r="X358" s="22"/>
      <c r="Y358" s="22"/>
      <c r="Z358" s="22"/>
    </row>
    <row r="359" spans="1:26" ht="16.149999999999999" customHeight="1" x14ac:dyDescent="0.25">
      <c r="A359" s="22"/>
      <c r="B359" s="22"/>
      <c r="C359" s="22"/>
      <c r="D359" s="22"/>
      <c r="E359" s="22"/>
      <c r="F359" s="22"/>
      <c r="G359" s="22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22"/>
      <c r="X359" s="22"/>
      <c r="Y359" s="22"/>
      <c r="Z359" s="22"/>
    </row>
    <row r="360" spans="1:26" ht="16.149999999999999" customHeight="1" x14ac:dyDescent="0.25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2"/>
      <c r="X360" s="22"/>
      <c r="Y360" s="22"/>
      <c r="Z360" s="22"/>
    </row>
    <row r="361" spans="1:26" ht="16.149999999999999" customHeight="1" x14ac:dyDescent="0.25">
      <c r="A361" s="22"/>
      <c r="B361" s="22"/>
      <c r="C361" s="22"/>
      <c r="D361" s="22"/>
      <c r="E361" s="22"/>
      <c r="F361" s="22"/>
      <c r="G361" s="22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22"/>
      <c r="X361" s="22"/>
      <c r="Y361" s="22"/>
      <c r="Z361" s="22"/>
    </row>
    <row r="362" spans="1:26" ht="16.149999999999999" customHeight="1" x14ac:dyDescent="0.25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2"/>
      <c r="X362" s="22"/>
      <c r="Y362" s="22"/>
      <c r="Z362" s="22"/>
    </row>
    <row r="363" spans="1:26" ht="16.149999999999999" customHeight="1" x14ac:dyDescent="0.25">
      <c r="A363" s="22"/>
      <c r="B363" s="22"/>
      <c r="C363" s="22"/>
      <c r="D363" s="22"/>
      <c r="E363" s="22"/>
      <c r="F363" s="22"/>
      <c r="G363" s="22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22"/>
      <c r="X363" s="22"/>
      <c r="Y363" s="22"/>
      <c r="Z363" s="22"/>
    </row>
    <row r="364" spans="1:26" ht="16.149999999999999" customHeight="1" x14ac:dyDescent="0.25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2"/>
      <c r="X364" s="22"/>
      <c r="Y364" s="22"/>
      <c r="Z364" s="22"/>
    </row>
    <row r="365" spans="1:26" ht="16.149999999999999" customHeight="1" x14ac:dyDescent="0.25">
      <c r="A365" s="22"/>
      <c r="B365" s="22"/>
      <c r="C365" s="22"/>
      <c r="D365" s="22"/>
      <c r="E365" s="22"/>
      <c r="F365" s="22"/>
      <c r="G365" s="22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22"/>
      <c r="X365" s="22"/>
      <c r="Y365" s="22"/>
      <c r="Z365" s="22"/>
    </row>
    <row r="366" spans="1:26" ht="16.149999999999999" customHeight="1" x14ac:dyDescent="0.25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2"/>
      <c r="X366" s="22"/>
      <c r="Y366" s="22"/>
      <c r="Z366" s="22"/>
    </row>
    <row r="367" spans="1:26" ht="16.149999999999999" customHeight="1" x14ac:dyDescent="0.25">
      <c r="A367" s="22"/>
      <c r="B367" s="22"/>
      <c r="C367" s="22"/>
      <c r="D367" s="22"/>
      <c r="E367" s="22"/>
      <c r="F367" s="22"/>
      <c r="G367" s="22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22"/>
      <c r="X367" s="22"/>
      <c r="Y367" s="22"/>
      <c r="Z367" s="22"/>
    </row>
    <row r="368" spans="1:26" ht="16.149999999999999" customHeight="1" x14ac:dyDescent="0.25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2"/>
      <c r="X368" s="22"/>
      <c r="Y368" s="22"/>
      <c r="Z368" s="22"/>
    </row>
    <row r="369" spans="1:26" ht="16.149999999999999" customHeight="1" x14ac:dyDescent="0.25">
      <c r="A369" s="22"/>
      <c r="B369" s="22"/>
      <c r="C369" s="22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22"/>
      <c r="X369" s="22"/>
      <c r="Y369" s="22"/>
      <c r="Z369" s="22"/>
    </row>
    <row r="370" spans="1:26" ht="16.149999999999999" customHeight="1" x14ac:dyDescent="0.25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2"/>
      <c r="X370" s="22"/>
      <c r="Y370" s="22"/>
      <c r="Z370" s="22"/>
    </row>
    <row r="371" spans="1:26" ht="16.149999999999999" customHeight="1" x14ac:dyDescent="0.25">
      <c r="A371" s="22"/>
      <c r="B371" s="22"/>
      <c r="C371" s="22"/>
      <c r="D371" s="22"/>
      <c r="E371" s="22"/>
      <c r="F371" s="22"/>
      <c r="G371" s="22"/>
      <c r="H371" s="22"/>
      <c r="I371" s="22"/>
      <c r="J371" s="22"/>
      <c r="K371" s="22"/>
      <c r="L371" s="22"/>
      <c r="M371" s="22"/>
      <c r="N371" s="22"/>
      <c r="O371" s="22"/>
      <c r="P371" s="22"/>
      <c r="Q371" s="22"/>
      <c r="R371" s="22"/>
      <c r="S371" s="22"/>
      <c r="T371" s="22"/>
      <c r="U371" s="22"/>
      <c r="V371" s="22"/>
      <c r="W371" s="22"/>
      <c r="X371" s="22"/>
      <c r="Y371" s="22"/>
      <c r="Z371" s="22"/>
    </row>
    <row r="372" spans="1:26" ht="16.149999999999999" customHeight="1" x14ac:dyDescent="0.25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2"/>
      <c r="X372" s="22"/>
      <c r="Y372" s="22"/>
      <c r="Z372" s="22"/>
    </row>
    <row r="373" spans="1:26" ht="16.149999999999999" customHeight="1" x14ac:dyDescent="0.25">
      <c r="A373" s="22"/>
      <c r="B373" s="22"/>
      <c r="C373" s="22"/>
      <c r="D373" s="22"/>
      <c r="E373" s="22"/>
      <c r="F373" s="22"/>
      <c r="G373" s="22"/>
      <c r="H373" s="22"/>
      <c r="I373" s="22"/>
      <c r="J373" s="22"/>
      <c r="K373" s="22"/>
      <c r="L373" s="22"/>
      <c r="M373" s="22"/>
      <c r="N373" s="22"/>
      <c r="O373" s="22"/>
      <c r="P373" s="22"/>
      <c r="Q373" s="22"/>
      <c r="R373" s="22"/>
      <c r="S373" s="22"/>
      <c r="T373" s="22"/>
      <c r="U373" s="22"/>
      <c r="V373" s="22"/>
      <c r="W373" s="22"/>
      <c r="X373" s="22"/>
      <c r="Y373" s="22"/>
      <c r="Z373" s="22"/>
    </row>
    <row r="374" spans="1:26" ht="16.149999999999999" customHeight="1" x14ac:dyDescent="0.25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2"/>
      <c r="X374" s="22"/>
      <c r="Y374" s="22"/>
      <c r="Z374" s="22"/>
    </row>
    <row r="375" spans="1:26" ht="16.149999999999999" customHeight="1" x14ac:dyDescent="0.25">
      <c r="A375" s="22"/>
      <c r="B375" s="22"/>
      <c r="C375" s="22"/>
      <c r="D375" s="22"/>
      <c r="E375" s="22"/>
      <c r="F375" s="22"/>
      <c r="G375" s="22"/>
      <c r="H375" s="22"/>
      <c r="I375" s="22"/>
      <c r="J375" s="22"/>
      <c r="K375" s="22"/>
      <c r="L375" s="22"/>
      <c r="M375" s="22"/>
      <c r="N375" s="22"/>
      <c r="O375" s="22"/>
      <c r="P375" s="22"/>
      <c r="Q375" s="22"/>
      <c r="R375" s="22"/>
      <c r="S375" s="22"/>
      <c r="T375" s="22"/>
      <c r="U375" s="22"/>
      <c r="V375" s="22"/>
      <c r="W375" s="22"/>
      <c r="X375" s="22"/>
      <c r="Y375" s="22"/>
      <c r="Z375" s="22"/>
    </row>
    <row r="376" spans="1:26" ht="16.149999999999999" customHeight="1" x14ac:dyDescent="0.25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2"/>
      <c r="X376" s="22"/>
      <c r="Y376" s="22"/>
      <c r="Z376" s="22"/>
    </row>
    <row r="377" spans="1:26" ht="16.149999999999999" customHeight="1" x14ac:dyDescent="0.25">
      <c r="A377" s="22"/>
      <c r="B377" s="22"/>
      <c r="C377" s="22"/>
      <c r="D377" s="22"/>
      <c r="E377" s="22"/>
      <c r="F377" s="22"/>
      <c r="G377" s="22"/>
      <c r="H377" s="22"/>
      <c r="I377" s="22"/>
      <c r="J377" s="22"/>
      <c r="K377" s="22"/>
      <c r="L377" s="22"/>
      <c r="M377" s="22"/>
      <c r="N377" s="22"/>
      <c r="O377" s="22"/>
      <c r="P377" s="22"/>
      <c r="Q377" s="22"/>
      <c r="R377" s="22"/>
      <c r="S377" s="22"/>
      <c r="T377" s="22"/>
      <c r="U377" s="22"/>
      <c r="V377" s="22"/>
      <c r="W377" s="22"/>
      <c r="X377" s="22"/>
      <c r="Y377" s="22"/>
      <c r="Z377" s="22"/>
    </row>
    <row r="378" spans="1:26" ht="16.149999999999999" customHeight="1" x14ac:dyDescent="0.25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2"/>
      <c r="X378" s="22"/>
      <c r="Y378" s="22"/>
      <c r="Z378" s="22"/>
    </row>
    <row r="379" spans="1:26" ht="16.149999999999999" customHeight="1" x14ac:dyDescent="0.25">
      <c r="A379" s="22"/>
      <c r="B379" s="22"/>
      <c r="C379" s="22"/>
      <c r="D379" s="22"/>
      <c r="E379" s="22"/>
      <c r="F379" s="22"/>
      <c r="G379" s="22"/>
      <c r="H379" s="22"/>
      <c r="I379" s="22"/>
      <c r="J379" s="22"/>
      <c r="K379" s="22"/>
      <c r="L379" s="22"/>
      <c r="M379" s="22"/>
      <c r="N379" s="22"/>
      <c r="O379" s="22"/>
      <c r="P379" s="22"/>
      <c r="Q379" s="22"/>
      <c r="R379" s="22"/>
      <c r="S379" s="22"/>
      <c r="T379" s="22"/>
      <c r="U379" s="22"/>
      <c r="V379" s="22"/>
      <c r="W379" s="22"/>
      <c r="X379" s="22"/>
      <c r="Y379" s="22"/>
      <c r="Z379" s="22"/>
    </row>
    <row r="380" spans="1:26" ht="16.149999999999999" customHeight="1" x14ac:dyDescent="0.25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2"/>
      <c r="X380" s="22"/>
      <c r="Y380" s="22"/>
      <c r="Z380" s="22"/>
    </row>
    <row r="381" spans="1:26" ht="16.149999999999999" customHeight="1" x14ac:dyDescent="0.25">
      <c r="A381" s="22"/>
      <c r="B381" s="22"/>
      <c r="C381" s="22"/>
      <c r="D381" s="22"/>
      <c r="E381" s="22"/>
      <c r="F381" s="22"/>
      <c r="G381" s="22"/>
      <c r="H381" s="22"/>
      <c r="I381" s="22"/>
      <c r="J381" s="22"/>
      <c r="K381" s="22"/>
      <c r="L381" s="22"/>
      <c r="M381" s="22"/>
      <c r="N381" s="22"/>
      <c r="O381" s="22"/>
      <c r="P381" s="22"/>
      <c r="Q381" s="22"/>
      <c r="R381" s="22"/>
      <c r="S381" s="22"/>
      <c r="T381" s="22"/>
      <c r="U381" s="22"/>
      <c r="V381" s="22"/>
      <c r="W381" s="22"/>
      <c r="X381" s="22"/>
      <c r="Y381" s="22"/>
      <c r="Z381" s="22"/>
    </row>
    <row r="382" spans="1:26" ht="16.149999999999999" customHeight="1" x14ac:dyDescent="0.25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2"/>
      <c r="X382" s="22"/>
      <c r="Y382" s="22"/>
      <c r="Z382" s="22"/>
    </row>
    <row r="383" spans="1:26" ht="16.149999999999999" customHeight="1" x14ac:dyDescent="0.25">
      <c r="A383" s="22"/>
      <c r="B383" s="22"/>
      <c r="C383" s="22"/>
      <c r="D383" s="22"/>
      <c r="E383" s="22"/>
      <c r="F383" s="22"/>
      <c r="G383" s="22"/>
      <c r="H383" s="22"/>
      <c r="I383" s="22"/>
      <c r="J383" s="22"/>
      <c r="K383" s="22"/>
      <c r="L383" s="22"/>
      <c r="M383" s="22"/>
      <c r="N383" s="22"/>
      <c r="O383" s="22"/>
      <c r="P383" s="22"/>
      <c r="Q383" s="22"/>
      <c r="R383" s="22"/>
      <c r="S383" s="22"/>
      <c r="T383" s="22"/>
      <c r="U383" s="22"/>
      <c r="V383" s="22"/>
      <c r="W383" s="22"/>
      <c r="X383" s="22"/>
      <c r="Y383" s="22"/>
      <c r="Z383" s="22"/>
    </row>
    <row r="384" spans="1:26" ht="16.149999999999999" customHeight="1" x14ac:dyDescent="0.25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2"/>
      <c r="X384" s="22"/>
      <c r="Y384" s="22"/>
      <c r="Z384" s="22"/>
    </row>
    <row r="385" spans="1:26" ht="16.149999999999999" customHeight="1" x14ac:dyDescent="0.25">
      <c r="A385" s="22"/>
      <c r="B385" s="22"/>
      <c r="C385" s="22"/>
      <c r="D385" s="22"/>
      <c r="E385" s="22"/>
      <c r="F385" s="22"/>
      <c r="G385" s="22"/>
      <c r="H385" s="22"/>
      <c r="I385" s="22"/>
      <c r="J385" s="22"/>
      <c r="K385" s="22"/>
      <c r="L385" s="22"/>
      <c r="M385" s="22"/>
      <c r="N385" s="22"/>
      <c r="O385" s="22"/>
      <c r="P385" s="22"/>
      <c r="Q385" s="22"/>
      <c r="R385" s="22"/>
      <c r="S385" s="22"/>
      <c r="T385" s="22"/>
      <c r="U385" s="22"/>
      <c r="V385" s="22"/>
      <c r="W385" s="22"/>
      <c r="X385" s="22"/>
      <c r="Y385" s="22"/>
      <c r="Z385" s="22"/>
    </row>
    <row r="386" spans="1:26" ht="16.149999999999999" customHeight="1" x14ac:dyDescent="0.25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2"/>
      <c r="X386" s="22"/>
      <c r="Y386" s="22"/>
      <c r="Z386" s="22"/>
    </row>
    <row r="387" spans="1:26" ht="16.149999999999999" customHeight="1" x14ac:dyDescent="0.25">
      <c r="A387" s="22"/>
      <c r="B387" s="22"/>
      <c r="C387" s="22"/>
      <c r="D387" s="22"/>
      <c r="E387" s="22"/>
      <c r="F387" s="22"/>
      <c r="G387" s="22"/>
      <c r="H387" s="22"/>
      <c r="I387" s="22"/>
      <c r="J387" s="22"/>
      <c r="K387" s="22"/>
      <c r="L387" s="22"/>
      <c r="M387" s="22"/>
      <c r="N387" s="22"/>
      <c r="O387" s="22"/>
      <c r="P387" s="22"/>
      <c r="Q387" s="22"/>
      <c r="R387" s="22"/>
      <c r="S387" s="22"/>
      <c r="T387" s="22"/>
      <c r="U387" s="22"/>
      <c r="V387" s="22"/>
      <c r="W387" s="22"/>
      <c r="X387" s="22"/>
      <c r="Y387" s="22"/>
      <c r="Z387" s="22"/>
    </row>
    <row r="388" spans="1:26" ht="16.149999999999999" customHeight="1" x14ac:dyDescent="0.25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2"/>
      <c r="X388" s="22"/>
      <c r="Y388" s="22"/>
      <c r="Z388" s="22"/>
    </row>
    <row r="389" spans="1:26" ht="16.149999999999999" customHeight="1" x14ac:dyDescent="0.25">
      <c r="A389" s="22"/>
      <c r="B389" s="22"/>
      <c r="C389" s="22"/>
      <c r="D389" s="22"/>
      <c r="E389" s="22"/>
      <c r="F389" s="22"/>
      <c r="G389" s="22"/>
      <c r="H389" s="22"/>
      <c r="I389" s="22"/>
      <c r="J389" s="22"/>
      <c r="K389" s="22"/>
      <c r="L389" s="22"/>
      <c r="M389" s="22"/>
      <c r="N389" s="22"/>
      <c r="O389" s="22"/>
      <c r="P389" s="22"/>
      <c r="Q389" s="22"/>
      <c r="R389" s="22"/>
      <c r="S389" s="22"/>
      <c r="T389" s="22"/>
      <c r="U389" s="22"/>
      <c r="V389" s="22"/>
      <c r="W389" s="22"/>
      <c r="X389" s="22"/>
      <c r="Y389" s="22"/>
      <c r="Z389" s="22"/>
    </row>
    <row r="390" spans="1:26" ht="16.149999999999999" customHeight="1" x14ac:dyDescent="0.25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2"/>
      <c r="X390" s="22"/>
      <c r="Y390" s="22"/>
      <c r="Z390" s="22"/>
    </row>
    <row r="391" spans="1:26" ht="16.149999999999999" customHeight="1" x14ac:dyDescent="0.25">
      <c r="A391" s="22"/>
      <c r="B391" s="22"/>
      <c r="C391" s="22"/>
      <c r="D391" s="22"/>
      <c r="E391" s="22"/>
      <c r="F391" s="22"/>
      <c r="G391" s="22"/>
      <c r="H391" s="22"/>
      <c r="I391" s="22"/>
      <c r="J391" s="22"/>
      <c r="K391" s="22"/>
      <c r="L391" s="22"/>
      <c r="M391" s="22"/>
      <c r="N391" s="22"/>
      <c r="O391" s="22"/>
      <c r="P391" s="22"/>
      <c r="Q391" s="22"/>
      <c r="R391" s="22"/>
      <c r="S391" s="22"/>
      <c r="T391" s="22"/>
      <c r="U391" s="22"/>
      <c r="V391" s="22"/>
      <c r="W391" s="22"/>
      <c r="X391" s="22"/>
      <c r="Y391" s="22"/>
      <c r="Z391" s="22"/>
    </row>
    <row r="392" spans="1:26" ht="16.149999999999999" customHeight="1" x14ac:dyDescent="0.25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2"/>
      <c r="X392" s="22"/>
      <c r="Y392" s="22"/>
      <c r="Z392" s="22"/>
    </row>
    <row r="393" spans="1:26" ht="16.149999999999999" customHeight="1" x14ac:dyDescent="0.25">
      <c r="A393" s="22"/>
      <c r="B393" s="22"/>
      <c r="C393" s="22"/>
      <c r="D393" s="22"/>
      <c r="E393" s="22"/>
      <c r="F393" s="22"/>
      <c r="G393" s="22"/>
      <c r="H393" s="22"/>
      <c r="I393" s="22"/>
      <c r="J393" s="22"/>
      <c r="K393" s="22"/>
      <c r="L393" s="22"/>
      <c r="M393" s="22"/>
      <c r="N393" s="22"/>
      <c r="O393" s="22"/>
      <c r="P393" s="22"/>
      <c r="Q393" s="22"/>
      <c r="R393" s="22"/>
      <c r="S393" s="22"/>
      <c r="T393" s="22"/>
      <c r="U393" s="22"/>
      <c r="V393" s="22"/>
      <c r="W393" s="22"/>
      <c r="X393" s="22"/>
      <c r="Y393" s="22"/>
      <c r="Z393" s="22"/>
    </row>
    <row r="394" spans="1:26" ht="16.149999999999999" customHeight="1" x14ac:dyDescent="0.25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2"/>
      <c r="X394" s="22"/>
      <c r="Y394" s="22"/>
      <c r="Z394" s="22"/>
    </row>
    <row r="395" spans="1:26" ht="16.149999999999999" customHeight="1" x14ac:dyDescent="0.25">
      <c r="A395" s="22"/>
      <c r="B395" s="22"/>
      <c r="C395" s="22"/>
      <c r="D395" s="22"/>
      <c r="E395" s="22"/>
      <c r="F395" s="22"/>
      <c r="G395" s="22"/>
      <c r="H395" s="22"/>
      <c r="I395" s="22"/>
      <c r="J395" s="22"/>
      <c r="K395" s="22"/>
      <c r="L395" s="22"/>
      <c r="M395" s="22"/>
      <c r="N395" s="22"/>
      <c r="O395" s="22"/>
      <c r="P395" s="22"/>
      <c r="Q395" s="22"/>
      <c r="R395" s="22"/>
      <c r="S395" s="22"/>
      <c r="T395" s="22"/>
      <c r="U395" s="22"/>
      <c r="V395" s="22"/>
      <c r="W395" s="22"/>
      <c r="X395" s="22"/>
      <c r="Y395" s="22"/>
      <c r="Z395" s="22"/>
    </row>
    <row r="396" spans="1:26" ht="16.149999999999999" customHeight="1" x14ac:dyDescent="0.25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2"/>
      <c r="X396" s="22"/>
      <c r="Y396" s="22"/>
      <c r="Z396" s="22"/>
    </row>
    <row r="397" spans="1:26" ht="16.149999999999999" customHeight="1" x14ac:dyDescent="0.25">
      <c r="A397" s="22"/>
      <c r="B397" s="22"/>
      <c r="C397" s="22"/>
      <c r="D397" s="22"/>
      <c r="E397" s="22"/>
      <c r="F397" s="22"/>
      <c r="G397" s="22"/>
      <c r="H397" s="22"/>
      <c r="I397" s="22"/>
      <c r="J397" s="22"/>
      <c r="K397" s="22"/>
      <c r="L397" s="22"/>
      <c r="M397" s="22"/>
      <c r="N397" s="22"/>
      <c r="O397" s="22"/>
      <c r="P397" s="22"/>
      <c r="Q397" s="22"/>
      <c r="R397" s="22"/>
      <c r="S397" s="22"/>
      <c r="T397" s="22"/>
      <c r="U397" s="22"/>
      <c r="V397" s="22"/>
      <c r="W397" s="22"/>
      <c r="X397" s="22"/>
      <c r="Y397" s="22"/>
      <c r="Z397" s="22"/>
    </row>
    <row r="398" spans="1:26" ht="16.149999999999999" customHeight="1" x14ac:dyDescent="0.25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2"/>
      <c r="X398" s="22"/>
      <c r="Y398" s="22"/>
      <c r="Z398" s="22"/>
    </row>
    <row r="399" spans="1:26" ht="16.149999999999999" customHeight="1" x14ac:dyDescent="0.25">
      <c r="A399" s="22"/>
      <c r="B399" s="22"/>
      <c r="C399" s="22"/>
      <c r="D399" s="22"/>
      <c r="E399" s="22"/>
      <c r="F399" s="22"/>
      <c r="G399" s="22"/>
      <c r="H399" s="22"/>
      <c r="I399" s="22"/>
      <c r="J399" s="22"/>
      <c r="K399" s="22"/>
      <c r="L399" s="22"/>
      <c r="M399" s="22"/>
      <c r="N399" s="22"/>
      <c r="O399" s="22"/>
      <c r="P399" s="22"/>
      <c r="Q399" s="22"/>
      <c r="R399" s="22"/>
      <c r="S399" s="22"/>
      <c r="T399" s="22"/>
      <c r="U399" s="22"/>
      <c r="V399" s="22"/>
      <c r="W399" s="22"/>
      <c r="X399" s="22"/>
      <c r="Y399" s="22"/>
      <c r="Z399" s="22"/>
    </row>
    <row r="400" spans="1:26" ht="16.149999999999999" customHeight="1" x14ac:dyDescent="0.25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2"/>
      <c r="X400" s="22"/>
      <c r="Y400" s="22"/>
      <c r="Z400" s="22"/>
    </row>
    <row r="401" spans="1:26" ht="16.149999999999999" customHeight="1" x14ac:dyDescent="0.25">
      <c r="A401" s="22"/>
      <c r="B401" s="22"/>
      <c r="C401" s="22"/>
      <c r="D401" s="22"/>
      <c r="E401" s="22"/>
      <c r="F401" s="22"/>
      <c r="G401" s="22"/>
      <c r="H401" s="22"/>
      <c r="I401" s="22"/>
      <c r="J401" s="22"/>
      <c r="K401" s="22"/>
      <c r="L401" s="22"/>
      <c r="M401" s="22"/>
      <c r="N401" s="22"/>
      <c r="O401" s="22"/>
      <c r="P401" s="22"/>
      <c r="Q401" s="22"/>
      <c r="R401" s="22"/>
      <c r="S401" s="22"/>
      <c r="T401" s="22"/>
      <c r="U401" s="22"/>
      <c r="V401" s="22"/>
      <c r="W401" s="22"/>
      <c r="X401" s="22"/>
      <c r="Y401" s="22"/>
      <c r="Z401" s="22"/>
    </row>
    <row r="402" spans="1:26" ht="16.149999999999999" customHeight="1" x14ac:dyDescent="0.25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2"/>
      <c r="X402" s="22"/>
      <c r="Y402" s="22"/>
      <c r="Z402" s="22"/>
    </row>
    <row r="403" spans="1:26" ht="16.149999999999999" customHeight="1" x14ac:dyDescent="0.25">
      <c r="A403" s="22"/>
      <c r="B403" s="22"/>
      <c r="C403" s="22"/>
      <c r="D403" s="22"/>
      <c r="E403" s="22"/>
      <c r="F403" s="22"/>
      <c r="G403" s="22"/>
      <c r="H403" s="22"/>
      <c r="I403" s="22"/>
      <c r="J403" s="22"/>
      <c r="K403" s="22"/>
      <c r="L403" s="22"/>
      <c r="M403" s="22"/>
      <c r="N403" s="22"/>
      <c r="O403" s="22"/>
      <c r="P403" s="22"/>
      <c r="Q403" s="22"/>
      <c r="R403" s="22"/>
      <c r="S403" s="22"/>
      <c r="T403" s="22"/>
      <c r="U403" s="22"/>
      <c r="V403" s="22"/>
      <c r="W403" s="22"/>
      <c r="X403" s="22"/>
      <c r="Y403" s="22"/>
      <c r="Z403" s="22"/>
    </row>
    <row r="404" spans="1:26" ht="16.149999999999999" customHeight="1" x14ac:dyDescent="0.25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2"/>
      <c r="X404" s="22"/>
      <c r="Y404" s="22"/>
      <c r="Z404" s="22"/>
    </row>
    <row r="405" spans="1:26" ht="16.149999999999999" customHeight="1" x14ac:dyDescent="0.25">
      <c r="A405" s="22"/>
      <c r="B405" s="22"/>
      <c r="C405" s="22"/>
      <c r="D405" s="22"/>
      <c r="E405" s="22"/>
      <c r="F405" s="22"/>
      <c r="G405" s="22"/>
      <c r="H405" s="22"/>
      <c r="I405" s="22"/>
      <c r="J405" s="22"/>
      <c r="K405" s="22"/>
      <c r="L405" s="22"/>
      <c r="M405" s="22"/>
      <c r="N405" s="22"/>
      <c r="O405" s="22"/>
      <c r="P405" s="22"/>
      <c r="Q405" s="22"/>
      <c r="R405" s="22"/>
      <c r="S405" s="22"/>
      <c r="T405" s="22"/>
      <c r="U405" s="22"/>
      <c r="V405" s="22"/>
      <c r="W405" s="22"/>
      <c r="X405" s="22"/>
      <c r="Y405" s="22"/>
      <c r="Z405" s="22"/>
    </row>
    <row r="406" spans="1:26" ht="16.149999999999999" customHeight="1" x14ac:dyDescent="0.25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2"/>
      <c r="X406" s="22"/>
      <c r="Y406" s="22"/>
      <c r="Z406" s="22"/>
    </row>
    <row r="407" spans="1:26" ht="16.149999999999999" customHeight="1" x14ac:dyDescent="0.25">
      <c r="A407" s="22"/>
      <c r="B407" s="22"/>
      <c r="C407" s="22"/>
      <c r="D407" s="22"/>
      <c r="E407" s="22"/>
      <c r="F407" s="22"/>
      <c r="G407" s="22"/>
      <c r="H407" s="22"/>
      <c r="I407" s="22"/>
      <c r="J407" s="22"/>
      <c r="K407" s="22"/>
      <c r="L407" s="22"/>
      <c r="M407" s="22"/>
      <c r="N407" s="22"/>
      <c r="O407" s="22"/>
      <c r="P407" s="22"/>
      <c r="Q407" s="22"/>
      <c r="R407" s="22"/>
      <c r="S407" s="22"/>
      <c r="T407" s="22"/>
      <c r="U407" s="22"/>
      <c r="V407" s="22"/>
      <c r="W407" s="22"/>
      <c r="X407" s="22"/>
      <c r="Y407" s="22"/>
      <c r="Z407" s="22"/>
    </row>
    <row r="408" spans="1:26" ht="16.149999999999999" customHeight="1" x14ac:dyDescent="0.25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2"/>
      <c r="X408" s="22"/>
      <c r="Y408" s="22"/>
      <c r="Z408" s="22"/>
    </row>
    <row r="409" spans="1:26" ht="16.149999999999999" customHeight="1" x14ac:dyDescent="0.25">
      <c r="A409" s="22"/>
      <c r="B409" s="22"/>
      <c r="C409" s="22"/>
      <c r="D409" s="22"/>
      <c r="E409" s="22"/>
      <c r="F409" s="22"/>
      <c r="G409" s="22"/>
      <c r="H409" s="22"/>
      <c r="I409" s="22"/>
      <c r="J409" s="22"/>
      <c r="K409" s="22"/>
      <c r="L409" s="22"/>
      <c r="M409" s="22"/>
      <c r="N409" s="22"/>
      <c r="O409" s="22"/>
      <c r="P409" s="22"/>
      <c r="Q409" s="22"/>
      <c r="R409" s="22"/>
      <c r="S409" s="22"/>
      <c r="T409" s="22"/>
      <c r="U409" s="22"/>
      <c r="V409" s="22"/>
      <c r="W409" s="22"/>
      <c r="X409" s="22"/>
      <c r="Y409" s="22"/>
      <c r="Z409" s="22"/>
    </row>
    <row r="410" spans="1:26" ht="16.149999999999999" customHeight="1" x14ac:dyDescent="0.25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2"/>
      <c r="X410" s="22"/>
      <c r="Y410" s="22"/>
      <c r="Z410" s="22"/>
    </row>
    <row r="411" spans="1:26" ht="16.149999999999999" customHeight="1" x14ac:dyDescent="0.25">
      <c r="A411" s="22"/>
      <c r="B411" s="22"/>
      <c r="C411" s="22"/>
      <c r="D411" s="22"/>
      <c r="E411" s="22"/>
      <c r="F411" s="22"/>
      <c r="G411" s="22"/>
      <c r="H411" s="22"/>
      <c r="I411" s="22"/>
      <c r="J411" s="22"/>
      <c r="K411" s="22"/>
      <c r="L411" s="22"/>
      <c r="M411" s="22"/>
      <c r="N411" s="22"/>
      <c r="O411" s="22"/>
      <c r="P411" s="22"/>
      <c r="Q411" s="22"/>
      <c r="R411" s="22"/>
      <c r="S411" s="22"/>
      <c r="T411" s="22"/>
      <c r="U411" s="22"/>
      <c r="V411" s="22"/>
      <c r="W411" s="22"/>
      <c r="X411" s="22"/>
      <c r="Y411" s="22"/>
      <c r="Z411" s="22"/>
    </row>
    <row r="412" spans="1:26" ht="16.149999999999999" customHeight="1" x14ac:dyDescent="0.25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2"/>
      <c r="X412" s="22"/>
      <c r="Y412" s="22"/>
      <c r="Z412" s="22"/>
    </row>
    <row r="413" spans="1:26" ht="16.149999999999999" customHeight="1" x14ac:dyDescent="0.25">
      <c r="A413" s="22"/>
      <c r="B413" s="22"/>
      <c r="C413" s="22"/>
      <c r="D413" s="22"/>
      <c r="E413" s="22"/>
      <c r="F413" s="22"/>
      <c r="G413" s="22"/>
      <c r="H413" s="22"/>
      <c r="I413" s="22"/>
      <c r="J413" s="22"/>
      <c r="K413" s="22"/>
      <c r="L413" s="22"/>
      <c r="M413" s="22"/>
      <c r="N413" s="22"/>
      <c r="O413" s="22"/>
      <c r="P413" s="22"/>
      <c r="Q413" s="22"/>
      <c r="R413" s="22"/>
      <c r="S413" s="22"/>
      <c r="T413" s="22"/>
      <c r="U413" s="22"/>
      <c r="V413" s="22"/>
      <c r="W413" s="22"/>
      <c r="X413" s="22"/>
      <c r="Y413" s="22"/>
      <c r="Z413" s="22"/>
    </row>
    <row r="414" spans="1:26" ht="16.149999999999999" customHeight="1" x14ac:dyDescent="0.25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2"/>
      <c r="X414" s="22"/>
      <c r="Y414" s="22"/>
      <c r="Z414" s="22"/>
    </row>
    <row r="415" spans="1:26" ht="16.149999999999999" customHeight="1" x14ac:dyDescent="0.25">
      <c r="A415" s="22"/>
      <c r="B415" s="22"/>
      <c r="C415" s="22"/>
      <c r="D415" s="22"/>
      <c r="E415" s="22"/>
      <c r="F415" s="22"/>
      <c r="G415" s="22"/>
      <c r="H415" s="22"/>
      <c r="I415" s="22"/>
      <c r="J415" s="22"/>
      <c r="K415" s="22"/>
      <c r="L415" s="22"/>
      <c r="M415" s="22"/>
      <c r="N415" s="22"/>
      <c r="O415" s="22"/>
      <c r="P415" s="22"/>
      <c r="Q415" s="22"/>
      <c r="R415" s="22"/>
      <c r="S415" s="22"/>
      <c r="T415" s="22"/>
      <c r="U415" s="22"/>
      <c r="V415" s="22"/>
      <c r="W415" s="22"/>
      <c r="X415" s="22"/>
      <c r="Y415" s="22"/>
      <c r="Z415" s="22"/>
    </row>
    <row r="416" spans="1:26" ht="16.149999999999999" customHeight="1" x14ac:dyDescent="0.25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2"/>
      <c r="X416" s="22"/>
      <c r="Y416" s="22"/>
      <c r="Z416" s="22"/>
    </row>
    <row r="417" spans="1:26" ht="16.149999999999999" customHeight="1" x14ac:dyDescent="0.25">
      <c r="A417" s="22"/>
      <c r="B417" s="22"/>
      <c r="C417" s="22"/>
      <c r="D417" s="22"/>
      <c r="E417" s="22"/>
      <c r="F417" s="22"/>
      <c r="G417" s="22"/>
      <c r="H417" s="22"/>
      <c r="I417" s="22"/>
      <c r="J417" s="22"/>
      <c r="K417" s="22"/>
      <c r="L417" s="22"/>
      <c r="M417" s="22"/>
      <c r="N417" s="22"/>
      <c r="O417" s="22"/>
      <c r="P417" s="22"/>
      <c r="Q417" s="22"/>
      <c r="R417" s="22"/>
      <c r="S417" s="22"/>
      <c r="T417" s="22"/>
      <c r="U417" s="22"/>
      <c r="V417" s="22"/>
      <c r="W417" s="22"/>
      <c r="X417" s="22"/>
      <c r="Y417" s="22"/>
      <c r="Z417" s="22"/>
    </row>
    <row r="418" spans="1:26" ht="16.149999999999999" customHeight="1" x14ac:dyDescent="0.25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2"/>
      <c r="X418" s="22"/>
      <c r="Y418" s="22"/>
      <c r="Z418" s="22"/>
    </row>
    <row r="419" spans="1:26" ht="16.149999999999999" customHeight="1" x14ac:dyDescent="0.25">
      <c r="A419" s="22"/>
      <c r="B419" s="22"/>
      <c r="C419" s="22"/>
      <c r="D419" s="22"/>
      <c r="E419" s="22"/>
      <c r="F419" s="22"/>
      <c r="G419" s="22"/>
      <c r="H419" s="22"/>
      <c r="I419" s="22"/>
      <c r="J419" s="22"/>
      <c r="K419" s="22"/>
      <c r="L419" s="22"/>
      <c r="M419" s="22"/>
      <c r="N419" s="22"/>
      <c r="O419" s="22"/>
      <c r="P419" s="22"/>
      <c r="Q419" s="22"/>
      <c r="R419" s="22"/>
      <c r="S419" s="22"/>
      <c r="T419" s="22"/>
      <c r="U419" s="22"/>
      <c r="V419" s="22"/>
      <c r="W419" s="22"/>
      <c r="X419" s="22"/>
      <c r="Y419" s="22"/>
      <c r="Z419" s="22"/>
    </row>
    <row r="420" spans="1:26" ht="16.149999999999999" customHeight="1" x14ac:dyDescent="0.25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2"/>
      <c r="X420" s="22"/>
      <c r="Y420" s="22"/>
      <c r="Z420" s="22"/>
    </row>
    <row r="421" spans="1:26" ht="16.149999999999999" customHeight="1" x14ac:dyDescent="0.25">
      <c r="A421" s="22"/>
      <c r="B421" s="22"/>
      <c r="C421" s="22"/>
      <c r="D421" s="22"/>
      <c r="E421" s="22"/>
      <c r="F421" s="22"/>
      <c r="G421" s="22"/>
      <c r="H421" s="22"/>
      <c r="I421" s="22"/>
      <c r="J421" s="22"/>
      <c r="K421" s="22"/>
      <c r="L421" s="22"/>
      <c r="M421" s="22"/>
      <c r="N421" s="22"/>
      <c r="O421" s="22"/>
      <c r="P421" s="22"/>
      <c r="Q421" s="22"/>
      <c r="R421" s="22"/>
      <c r="S421" s="22"/>
      <c r="T421" s="22"/>
      <c r="U421" s="22"/>
      <c r="V421" s="22"/>
      <c r="W421" s="22"/>
      <c r="X421" s="22"/>
      <c r="Y421" s="22"/>
      <c r="Z421" s="22"/>
    </row>
    <row r="422" spans="1:26" ht="16.149999999999999" customHeight="1" x14ac:dyDescent="0.25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2"/>
      <c r="X422" s="22"/>
      <c r="Y422" s="22"/>
      <c r="Z422" s="22"/>
    </row>
    <row r="423" spans="1:26" ht="16.149999999999999" customHeight="1" x14ac:dyDescent="0.25">
      <c r="A423" s="22"/>
      <c r="B423" s="22"/>
      <c r="C423" s="22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22"/>
      <c r="W423" s="22"/>
      <c r="X423" s="22"/>
      <c r="Y423" s="22"/>
      <c r="Z423" s="22"/>
    </row>
    <row r="424" spans="1:26" ht="16.149999999999999" customHeight="1" x14ac:dyDescent="0.25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2"/>
      <c r="X424" s="22"/>
      <c r="Y424" s="22"/>
      <c r="Z424" s="22"/>
    </row>
    <row r="425" spans="1:26" ht="16.149999999999999" customHeight="1" x14ac:dyDescent="0.25">
      <c r="A425" s="22"/>
      <c r="B425" s="22"/>
      <c r="C425" s="22"/>
      <c r="D425" s="22"/>
      <c r="E425" s="22"/>
      <c r="F425" s="22"/>
      <c r="G425" s="22"/>
      <c r="H425" s="22"/>
      <c r="I425" s="22"/>
      <c r="J425" s="22"/>
      <c r="K425" s="22"/>
      <c r="L425" s="22"/>
      <c r="M425" s="22"/>
      <c r="N425" s="22"/>
      <c r="O425" s="22"/>
      <c r="P425" s="22"/>
      <c r="Q425" s="22"/>
      <c r="R425" s="22"/>
      <c r="S425" s="22"/>
      <c r="T425" s="22"/>
      <c r="U425" s="22"/>
      <c r="V425" s="22"/>
      <c r="W425" s="22"/>
      <c r="X425" s="22"/>
      <c r="Y425" s="22"/>
      <c r="Z425" s="22"/>
    </row>
    <row r="426" spans="1:26" ht="16.149999999999999" customHeight="1" x14ac:dyDescent="0.25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2"/>
      <c r="X426" s="22"/>
      <c r="Y426" s="22"/>
      <c r="Z426" s="22"/>
    </row>
    <row r="427" spans="1:26" ht="16.149999999999999" customHeight="1" x14ac:dyDescent="0.25">
      <c r="A427" s="22"/>
      <c r="B427" s="22"/>
      <c r="C427" s="22"/>
      <c r="D427" s="22"/>
      <c r="E427" s="22"/>
      <c r="F427" s="22"/>
      <c r="G427" s="22"/>
      <c r="H427" s="22"/>
      <c r="I427" s="22"/>
      <c r="J427" s="22"/>
      <c r="K427" s="22"/>
      <c r="L427" s="22"/>
      <c r="M427" s="22"/>
      <c r="N427" s="22"/>
      <c r="O427" s="22"/>
      <c r="P427" s="22"/>
      <c r="Q427" s="22"/>
      <c r="R427" s="22"/>
      <c r="S427" s="22"/>
      <c r="T427" s="22"/>
      <c r="U427" s="22"/>
      <c r="V427" s="22"/>
      <c r="W427" s="22"/>
      <c r="X427" s="22"/>
      <c r="Y427" s="22"/>
      <c r="Z427" s="22"/>
    </row>
    <row r="428" spans="1:26" ht="16.149999999999999" customHeight="1" x14ac:dyDescent="0.25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2"/>
      <c r="X428" s="22"/>
      <c r="Y428" s="22"/>
      <c r="Z428" s="22"/>
    </row>
    <row r="429" spans="1:26" ht="16.149999999999999" customHeight="1" x14ac:dyDescent="0.25">
      <c r="A429" s="22"/>
      <c r="B429" s="22"/>
      <c r="C429" s="22"/>
      <c r="D429" s="22"/>
      <c r="E429" s="22"/>
      <c r="F429" s="22"/>
      <c r="G429" s="22"/>
      <c r="H429" s="22"/>
      <c r="I429" s="22"/>
      <c r="J429" s="22"/>
      <c r="K429" s="22"/>
      <c r="L429" s="22"/>
      <c r="M429" s="22"/>
      <c r="N429" s="22"/>
      <c r="O429" s="22"/>
      <c r="P429" s="22"/>
      <c r="Q429" s="22"/>
      <c r="R429" s="22"/>
      <c r="S429" s="22"/>
      <c r="T429" s="22"/>
      <c r="U429" s="22"/>
      <c r="V429" s="22"/>
      <c r="W429" s="22"/>
      <c r="X429" s="22"/>
      <c r="Y429" s="22"/>
      <c r="Z429" s="22"/>
    </row>
    <row r="430" spans="1:26" ht="16.149999999999999" customHeight="1" x14ac:dyDescent="0.25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2"/>
      <c r="X430" s="22"/>
      <c r="Y430" s="22"/>
      <c r="Z430" s="22"/>
    </row>
    <row r="431" spans="1:26" ht="16.149999999999999" customHeight="1" x14ac:dyDescent="0.25">
      <c r="A431" s="22"/>
      <c r="B431" s="22"/>
      <c r="C431" s="22"/>
      <c r="D431" s="22"/>
      <c r="E431" s="22"/>
      <c r="F431" s="22"/>
      <c r="G431" s="22"/>
      <c r="H431" s="22"/>
      <c r="I431" s="22"/>
      <c r="J431" s="22"/>
      <c r="K431" s="22"/>
      <c r="L431" s="22"/>
      <c r="M431" s="22"/>
      <c r="N431" s="22"/>
      <c r="O431" s="22"/>
      <c r="P431" s="22"/>
      <c r="Q431" s="22"/>
      <c r="R431" s="22"/>
      <c r="S431" s="22"/>
      <c r="T431" s="22"/>
      <c r="U431" s="22"/>
      <c r="V431" s="22"/>
      <c r="W431" s="22"/>
      <c r="X431" s="22"/>
      <c r="Y431" s="22"/>
      <c r="Z431" s="22"/>
    </row>
    <row r="432" spans="1:26" ht="16.149999999999999" customHeight="1" x14ac:dyDescent="0.25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2"/>
      <c r="X432" s="22"/>
      <c r="Y432" s="22"/>
      <c r="Z432" s="22"/>
    </row>
    <row r="433" spans="1:26" ht="16.149999999999999" customHeight="1" x14ac:dyDescent="0.25">
      <c r="A433" s="22"/>
      <c r="B433" s="22"/>
      <c r="C433" s="22"/>
      <c r="D433" s="22"/>
      <c r="E433" s="22"/>
      <c r="F433" s="22"/>
      <c r="G433" s="22"/>
      <c r="H433" s="22"/>
      <c r="I433" s="22"/>
      <c r="J433" s="22"/>
      <c r="K433" s="22"/>
      <c r="L433" s="22"/>
      <c r="M433" s="22"/>
      <c r="N433" s="22"/>
      <c r="O433" s="22"/>
      <c r="P433" s="22"/>
      <c r="Q433" s="22"/>
      <c r="R433" s="22"/>
      <c r="S433" s="22"/>
      <c r="T433" s="22"/>
      <c r="U433" s="22"/>
      <c r="V433" s="22"/>
      <c r="W433" s="22"/>
      <c r="X433" s="22"/>
      <c r="Y433" s="22"/>
      <c r="Z433" s="22"/>
    </row>
    <row r="434" spans="1:26" ht="16.149999999999999" customHeight="1" x14ac:dyDescent="0.25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2"/>
      <c r="X434" s="22"/>
      <c r="Y434" s="22"/>
      <c r="Z434" s="22"/>
    </row>
    <row r="435" spans="1:26" ht="16.149999999999999" customHeight="1" x14ac:dyDescent="0.25">
      <c r="A435" s="22"/>
      <c r="B435" s="22"/>
      <c r="C435" s="22"/>
      <c r="D435" s="22"/>
      <c r="E435" s="22"/>
      <c r="F435" s="22"/>
      <c r="G435" s="22"/>
      <c r="H435" s="22"/>
      <c r="I435" s="22"/>
      <c r="J435" s="22"/>
      <c r="K435" s="22"/>
      <c r="L435" s="22"/>
      <c r="M435" s="22"/>
      <c r="N435" s="22"/>
      <c r="O435" s="22"/>
      <c r="P435" s="22"/>
      <c r="Q435" s="22"/>
      <c r="R435" s="22"/>
      <c r="S435" s="22"/>
      <c r="T435" s="22"/>
      <c r="U435" s="22"/>
      <c r="V435" s="22"/>
      <c r="W435" s="22"/>
      <c r="X435" s="22"/>
      <c r="Y435" s="22"/>
      <c r="Z435" s="22"/>
    </row>
    <row r="436" spans="1:26" ht="16.149999999999999" customHeight="1" x14ac:dyDescent="0.25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2"/>
      <c r="X436" s="22"/>
      <c r="Y436" s="22"/>
      <c r="Z436" s="22"/>
    </row>
    <row r="437" spans="1:26" ht="16.149999999999999" customHeight="1" x14ac:dyDescent="0.25">
      <c r="A437" s="22"/>
      <c r="B437" s="22"/>
      <c r="C437" s="22"/>
      <c r="D437" s="22"/>
      <c r="E437" s="22"/>
      <c r="F437" s="22"/>
      <c r="G437" s="22"/>
      <c r="H437" s="22"/>
      <c r="I437" s="22"/>
      <c r="J437" s="22"/>
      <c r="K437" s="22"/>
      <c r="L437" s="22"/>
      <c r="M437" s="22"/>
      <c r="N437" s="22"/>
      <c r="O437" s="22"/>
      <c r="P437" s="22"/>
      <c r="Q437" s="22"/>
      <c r="R437" s="22"/>
      <c r="S437" s="22"/>
      <c r="T437" s="22"/>
      <c r="U437" s="22"/>
      <c r="V437" s="22"/>
      <c r="W437" s="22"/>
      <c r="X437" s="22"/>
      <c r="Y437" s="22"/>
      <c r="Z437" s="22"/>
    </row>
    <row r="438" spans="1:26" ht="16.149999999999999" customHeight="1" x14ac:dyDescent="0.25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2"/>
      <c r="X438" s="22"/>
      <c r="Y438" s="22"/>
      <c r="Z438" s="22"/>
    </row>
    <row r="439" spans="1:26" ht="16.149999999999999" customHeight="1" x14ac:dyDescent="0.25">
      <c r="A439" s="22"/>
      <c r="B439" s="22"/>
      <c r="C439" s="22"/>
      <c r="D439" s="22"/>
      <c r="E439" s="22"/>
      <c r="F439" s="22"/>
      <c r="G439" s="22"/>
      <c r="H439" s="22"/>
      <c r="I439" s="22"/>
      <c r="J439" s="22"/>
      <c r="K439" s="22"/>
      <c r="L439" s="22"/>
      <c r="M439" s="22"/>
      <c r="N439" s="22"/>
      <c r="O439" s="22"/>
      <c r="P439" s="22"/>
      <c r="Q439" s="22"/>
      <c r="R439" s="22"/>
      <c r="S439" s="22"/>
      <c r="T439" s="22"/>
      <c r="U439" s="22"/>
      <c r="V439" s="22"/>
      <c r="W439" s="22"/>
      <c r="X439" s="22"/>
      <c r="Y439" s="22"/>
      <c r="Z439" s="22"/>
    </row>
    <row r="440" spans="1:26" ht="16.149999999999999" customHeight="1" x14ac:dyDescent="0.25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2"/>
      <c r="X440" s="22"/>
      <c r="Y440" s="22"/>
      <c r="Z440" s="22"/>
    </row>
    <row r="441" spans="1:26" ht="16.149999999999999" customHeight="1" x14ac:dyDescent="0.25">
      <c r="A441" s="22"/>
      <c r="B441" s="22"/>
      <c r="C441" s="22"/>
      <c r="D441" s="22"/>
      <c r="E441" s="22"/>
      <c r="F441" s="22"/>
      <c r="G441" s="22"/>
      <c r="H441" s="22"/>
      <c r="I441" s="22"/>
      <c r="J441" s="22"/>
      <c r="K441" s="22"/>
      <c r="L441" s="22"/>
      <c r="M441" s="22"/>
      <c r="N441" s="22"/>
      <c r="O441" s="22"/>
      <c r="P441" s="22"/>
      <c r="Q441" s="22"/>
      <c r="R441" s="22"/>
      <c r="S441" s="22"/>
      <c r="T441" s="22"/>
      <c r="U441" s="22"/>
      <c r="V441" s="22"/>
      <c r="W441" s="22"/>
      <c r="X441" s="22"/>
      <c r="Y441" s="22"/>
      <c r="Z441" s="22"/>
    </row>
    <row r="442" spans="1:26" ht="16.149999999999999" customHeight="1" x14ac:dyDescent="0.25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2"/>
      <c r="X442" s="22"/>
      <c r="Y442" s="22"/>
      <c r="Z442" s="22"/>
    </row>
    <row r="443" spans="1:26" ht="16.149999999999999" customHeight="1" x14ac:dyDescent="0.25">
      <c r="A443" s="22"/>
      <c r="B443" s="22"/>
      <c r="C443" s="22"/>
      <c r="D443" s="22"/>
      <c r="E443" s="22"/>
      <c r="F443" s="22"/>
      <c r="G443" s="22"/>
      <c r="H443" s="22"/>
      <c r="I443" s="22"/>
      <c r="J443" s="22"/>
      <c r="K443" s="22"/>
      <c r="L443" s="22"/>
      <c r="M443" s="22"/>
      <c r="N443" s="22"/>
      <c r="O443" s="22"/>
      <c r="P443" s="22"/>
      <c r="Q443" s="22"/>
      <c r="R443" s="22"/>
      <c r="S443" s="22"/>
      <c r="T443" s="22"/>
      <c r="U443" s="22"/>
      <c r="V443" s="22"/>
      <c r="W443" s="22"/>
      <c r="X443" s="22"/>
      <c r="Y443" s="22"/>
      <c r="Z443" s="22"/>
    </row>
    <row r="444" spans="1:26" ht="16.149999999999999" customHeight="1" x14ac:dyDescent="0.25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2"/>
      <c r="X444" s="22"/>
      <c r="Y444" s="22"/>
      <c r="Z444" s="22"/>
    </row>
    <row r="445" spans="1:26" ht="16.149999999999999" customHeight="1" x14ac:dyDescent="0.25">
      <c r="A445" s="22"/>
      <c r="B445" s="22"/>
      <c r="C445" s="22"/>
      <c r="D445" s="22"/>
      <c r="E445" s="22"/>
      <c r="F445" s="22"/>
      <c r="G445" s="22"/>
      <c r="H445" s="22"/>
      <c r="I445" s="22"/>
      <c r="J445" s="22"/>
      <c r="K445" s="22"/>
      <c r="L445" s="22"/>
      <c r="M445" s="22"/>
      <c r="N445" s="22"/>
      <c r="O445" s="22"/>
      <c r="P445" s="22"/>
      <c r="Q445" s="22"/>
      <c r="R445" s="22"/>
      <c r="S445" s="22"/>
      <c r="T445" s="22"/>
      <c r="U445" s="22"/>
      <c r="V445" s="22"/>
      <c r="W445" s="22"/>
      <c r="X445" s="22"/>
      <c r="Y445" s="22"/>
      <c r="Z445" s="22"/>
    </row>
    <row r="446" spans="1:26" ht="16.149999999999999" customHeight="1" x14ac:dyDescent="0.25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2"/>
      <c r="X446" s="22"/>
      <c r="Y446" s="22"/>
      <c r="Z446" s="22"/>
    </row>
    <row r="447" spans="1:26" ht="16.149999999999999" customHeight="1" x14ac:dyDescent="0.25">
      <c r="A447" s="22"/>
      <c r="B447" s="22"/>
      <c r="C447" s="22"/>
      <c r="D447" s="22"/>
      <c r="E447" s="22"/>
      <c r="F447" s="22"/>
      <c r="G447" s="22"/>
      <c r="H447" s="22"/>
      <c r="I447" s="22"/>
      <c r="J447" s="22"/>
      <c r="K447" s="22"/>
      <c r="L447" s="22"/>
      <c r="M447" s="22"/>
      <c r="N447" s="22"/>
      <c r="O447" s="22"/>
      <c r="P447" s="22"/>
      <c r="Q447" s="22"/>
      <c r="R447" s="22"/>
      <c r="S447" s="22"/>
      <c r="T447" s="22"/>
      <c r="U447" s="22"/>
      <c r="V447" s="22"/>
      <c r="W447" s="22"/>
      <c r="X447" s="22"/>
      <c r="Y447" s="22"/>
      <c r="Z447" s="22"/>
    </row>
    <row r="448" spans="1:26" ht="16.149999999999999" customHeight="1" x14ac:dyDescent="0.25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2"/>
      <c r="X448" s="22"/>
      <c r="Y448" s="22"/>
      <c r="Z448" s="22"/>
    </row>
    <row r="449" spans="1:26" ht="16.149999999999999" customHeight="1" x14ac:dyDescent="0.25">
      <c r="A449" s="22"/>
      <c r="B449" s="22"/>
      <c r="C449" s="22"/>
      <c r="D449" s="22"/>
      <c r="E449" s="22"/>
      <c r="F449" s="22"/>
      <c r="G449" s="22"/>
      <c r="H449" s="22"/>
      <c r="I449" s="22"/>
      <c r="J449" s="22"/>
      <c r="K449" s="22"/>
      <c r="L449" s="22"/>
      <c r="M449" s="22"/>
      <c r="N449" s="22"/>
      <c r="O449" s="22"/>
      <c r="P449" s="22"/>
      <c r="Q449" s="22"/>
      <c r="R449" s="22"/>
      <c r="S449" s="22"/>
      <c r="T449" s="22"/>
      <c r="U449" s="22"/>
      <c r="V449" s="22"/>
      <c r="W449" s="22"/>
      <c r="X449" s="22"/>
      <c r="Y449" s="22"/>
      <c r="Z449" s="22"/>
    </row>
    <row r="450" spans="1:26" ht="16.149999999999999" customHeight="1" x14ac:dyDescent="0.25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2"/>
      <c r="X450" s="22"/>
      <c r="Y450" s="22"/>
      <c r="Z450" s="22"/>
    </row>
    <row r="451" spans="1:26" ht="16.149999999999999" customHeight="1" x14ac:dyDescent="0.25">
      <c r="A451" s="22"/>
      <c r="B451" s="22"/>
      <c r="C451" s="22"/>
      <c r="D451" s="22"/>
      <c r="E451" s="22"/>
      <c r="F451" s="22"/>
      <c r="G451" s="22"/>
      <c r="H451" s="22"/>
      <c r="I451" s="22"/>
      <c r="J451" s="22"/>
      <c r="K451" s="22"/>
      <c r="L451" s="22"/>
      <c r="M451" s="22"/>
      <c r="N451" s="22"/>
      <c r="O451" s="22"/>
      <c r="P451" s="22"/>
      <c r="Q451" s="22"/>
      <c r="R451" s="22"/>
      <c r="S451" s="22"/>
      <c r="T451" s="22"/>
      <c r="U451" s="22"/>
      <c r="V451" s="22"/>
      <c r="W451" s="22"/>
      <c r="X451" s="22"/>
      <c r="Y451" s="22"/>
      <c r="Z451" s="22"/>
    </row>
    <row r="452" spans="1:26" ht="16.149999999999999" customHeight="1" x14ac:dyDescent="0.25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2"/>
      <c r="X452" s="22"/>
      <c r="Y452" s="22"/>
      <c r="Z452" s="22"/>
    </row>
    <row r="453" spans="1:26" ht="16.149999999999999" customHeight="1" x14ac:dyDescent="0.25">
      <c r="A453" s="22"/>
      <c r="B453" s="22"/>
      <c r="C453" s="22"/>
      <c r="D453" s="22"/>
      <c r="E453" s="22"/>
      <c r="F453" s="22"/>
      <c r="G453" s="22"/>
      <c r="H453" s="22"/>
      <c r="I453" s="22"/>
      <c r="J453" s="22"/>
      <c r="K453" s="22"/>
      <c r="L453" s="22"/>
      <c r="M453" s="22"/>
      <c r="N453" s="22"/>
      <c r="O453" s="22"/>
      <c r="P453" s="22"/>
      <c r="Q453" s="22"/>
      <c r="R453" s="22"/>
      <c r="S453" s="22"/>
      <c r="T453" s="22"/>
      <c r="U453" s="22"/>
      <c r="V453" s="22"/>
      <c r="W453" s="22"/>
      <c r="X453" s="22"/>
      <c r="Y453" s="22"/>
      <c r="Z453" s="22"/>
    </row>
    <row r="454" spans="1:26" ht="16.149999999999999" customHeight="1" x14ac:dyDescent="0.25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2"/>
      <c r="X454" s="22"/>
      <c r="Y454" s="22"/>
      <c r="Z454" s="22"/>
    </row>
    <row r="455" spans="1:26" ht="16.149999999999999" customHeight="1" x14ac:dyDescent="0.25">
      <c r="A455" s="22"/>
      <c r="B455" s="22"/>
      <c r="C455" s="22"/>
      <c r="D455" s="22"/>
      <c r="E455" s="22"/>
      <c r="F455" s="22"/>
      <c r="G455" s="22"/>
      <c r="H455" s="22"/>
      <c r="I455" s="22"/>
      <c r="J455" s="22"/>
      <c r="K455" s="22"/>
      <c r="L455" s="22"/>
      <c r="M455" s="22"/>
      <c r="N455" s="22"/>
      <c r="O455" s="22"/>
      <c r="P455" s="22"/>
      <c r="Q455" s="22"/>
      <c r="R455" s="22"/>
      <c r="S455" s="22"/>
      <c r="T455" s="22"/>
      <c r="U455" s="22"/>
      <c r="V455" s="22"/>
      <c r="W455" s="22"/>
      <c r="X455" s="22"/>
      <c r="Y455" s="22"/>
      <c r="Z455" s="22"/>
    </row>
    <row r="456" spans="1:26" ht="16.149999999999999" customHeight="1" x14ac:dyDescent="0.25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2"/>
      <c r="X456" s="22"/>
      <c r="Y456" s="22"/>
      <c r="Z456" s="22"/>
    </row>
    <row r="457" spans="1:26" ht="16.149999999999999" customHeight="1" x14ac:dyDescent="0.25">
      <c r="A457" s="22"/>
      <c r="B457" s="22"/>
      <c r="C457" s="22"/>
      <c r="D457" s="22"/>
      <c r="E457" s="22"/>
      <c r="F457" s="22"/>
      <c r="G457" s="22"/>
      <c r="H457" s="22"/>
      <c r="I457" s="22"/>
      <c r="J457" s="22"/>
      <c r="K457" s="22"/>
      <c r="L457" s="22"/>
      <c r="M457" s="22"/>
      <c r="N457" s="22"/>
      <c r="O457" s="22"/>
      <c r="P457" s="22"/>
      <c r="Q457" s="22"/>
      <c r="R457" s="22"/>
      <c r="S457" s="22"/>
      <c r="T457" s="22"/>
      <c r="U457" s="22"/>
      <c r="V457" s="22"/>
      <c r="W457" s="22"/>
      <c r="X457" s="22"/>
      <c r="Y457" s="22"/>
      <c r="Z457" s="22"/>
    </row>
    <row r="458" spans="1:26" ht="16.149999999999999" customHeight="1" x14ac:dyDescent="0.25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2"/>
      <c r="X458" s="22"/>
      <c r="Y458" s="22"/>
      <c r="Z458" s="22"/>
    </row>
    <row r="459" spans="1:26" ht="16.149999999999999" customHeight="1" x14ac:dyDescent="0.25">
      <c r="A459" s="22"/>
      <c r="B459" s="22"/>
      <c r="C459" s="22"/>
      <c r="D459" s="22"/>
      <c r="E459" s="22"/>
      <c r="F459" s="22"/>
      <c r="G459" s="22"/>
      <c r="H459" s="22"/>
      <c r="I459" s="22"/>
      <c r="J459" s="22"/>
      <c r="K459" s="22"/>
      <c r="L459" s="22"/>
      <c r="M459" s="22"/>
      <c r="N459" s="22"/>
      <c r="O459" s="22"/>
      <c r="P459" s="22"/>
      <c r="Q459" s="22"/>
      <c r="R459" s="22"/>
      <c r="S459" s="22"/>
      <c r="T459" s="22"/>
      <c r="U459" s="22"/>
      <c r="V459" s="22"/>
      <c r="W459" s="22"/>
      <c r="X459" s="22"/>
      <c r="Y459" s="22"/>
      <c r="Z459" s="22"/>
    </row>
    <row r="460" spans="1:26" ht="16.149999999999999" customHeight="1" x14ac:dyDescent="0.25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2"/>
      <c r="X460" s="22"/>
      <c r="Y460" s="22"/>
      <c r="Z460" s="22"/>
    </row>
    <row r="461" spans="1:26" ht="16.149999999999999" customHeight="1" x14ac:dyDescent="0.25">
      <c r="A461" s="22"/>
      <c r="B461" s="22"/>
      <c r="C461" s="22"/>
      <c r="D461" s="22"/>
      <c r="E461" s="22"/>
      <c r="F461" s="22"/>
      <c r="G461" s="22"/>
      <c r="H461" s="22"/>
      <c r="I461" s="22"/>
      <c r="J461" s="22"/>
      <c r="K461" s="22"/>
      <c r="L461" s="22"/>
      <c r="M461" s="22"/>
      <c r="N461" s="22"/>
      <c r="O461" s="22"/>
      <c r="P461" s="22"/>
      <c r="Q461" s="22"/>
      <c r="R461" s="22"/>
      <c r="S461" s="22"/>
      <c r="T461" s="22"/>
      <c r="U461" s="22"/>
      <c r="V461" s="22"/>
      <c r="W461" s="22"/>
      <c r="X461" s="22"/>
      <c r="Y461" s="22"/>
      <c r="Z461" s="22"/>
    </row>
    <row r="462" spans="1:26" ht="16.149999999999999" customHeight="1" x14ac:dyDescent="0.25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2"/>
      <c r="X462" s="22"/>
      <c r="Y462" s="22"/>
      <c r="Z462" s="22"/>
    </row>
    <row r="463" spans="1:26" ht="16.149999999999999" customHeight="1" x14ac:dyDescent="0.25">
      <c r="A463" s="22"/>
      <c r="B463" s="22"/>
      <c r="C463" s="22"/>
      <c r="D463" s="22"/>
      <c r="E463" s="22"/>
      <c r="F463" s="22"/>
      <c r="G463" s="22"/>
      <c r="H463" s="22"/>
      <c r="I463" s="22"/>
      <c r="J463" s="22"/>
      <c r="K463" s="22"/>
      <c r="L463" s="22"/>
      <c r="M463" s="22"/>
      <c r="N463" s="22"/>
      <c r="O463" s="22"/>
      <c r="P463" s="22"/>
      <c r="Q463" s="22"/>
      <c r="R463" s="22"/>
      <c r="S463" s="22"/>
      <c r="T463" s="22"/>
      <c r="U463" s="22"/>
      <c r="V463" s="22"/>
      <c r="W463" s="22"/>
      <c r="X463" s="22"/>
      <c r="Y463" s="22"/>
      <c r="Z463" s="22"/>
    </row>
    <row r="464" spans="1:26" ht="16.149999999999999" customHeight="1" x14ac:dyDescent="0.25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2"/>
      <c r="X464" s="22"/>
      <c r="Y464" s="22"/>
      <c r="Z464" s="22"/>
    </row>
    <row r="465" spans="1:26" ht="16.149999999999999" customHeight="1" x14ac:dyDescent="0.25">
      <c r="A465" s="22"/>
      <c r="B465" s="22"/>
      <c r="C465" s="22"/>
      <c r="D465" s="22"/>
      <c r="E465" s="22"/>
      <c r="F465" s="22"/>
      <c r="G465" s="22"/>
      <c r="H465" s="22"/>
      <c r="I465" s="22"/>
      <c r="J465" s="22"/>
      <c r="K465" s="22"/>
      <c r="L465" s="22"/>
      <c r="M465" s="22"/>
      <c r="N465" s="22"/>
      <c r="O465" s="22"/>
      <c r="P465" s="22"/>
      <c r="Q465" s="22"/>
      <c r="R465" s="22"/>
      <c r="S465" s="22"/>
      <c r="T465" s="22"/>
      <c r="U465" s="22"/>
      <c r="V465" s="22"/>
      <c r="W465" s="22"/>
      <c r="X465" s="22"/>
      <c r="Y465" s="22"/>
      <c r="Z465" s="22"/>
    </row>
    <row r="466" spans="1:26" ht="16.149999999999999" customHeight="1" x14ac:dyDescent="0.25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2"/>
      <c r="X466" s="22"/>
      <c r="Y466" s="22"/>
      <c r="Z466" s="22"/>
    </row>
    <row r="467" spans="1:26" ht="16.149999999999999" customHeight="1" x14ac:dyDescent="0.25">
      <c r="A467" s="22"/>
      <c r="B467" s="22"/>
      <c r="C467" s="22"/>
      <c r="D467" s="22"/>
      <c r="E467" s="22"/>
      <c r="F467" s="22"/>
      <c r="G467" s="22"/>
      <c r="H467" s="22"/>
      <c r="I467" s="22"/>
      <c r="J467" s="22"/>
      <c r="K467" s="22"/>
      <c r="L467" s="22"/>
      <c r="M467" s="22"/>
      <c r="N467" s="22"/>
      <c r="O467" s="22"/>
      <c r="P467" s="22"/>
      <c r="Q467" s="22"/>
      <c r="R467" s="22"/>
      <c r="S467" s="22"/>
      <c r="T467" s="22"/>
      <c r="U467" s="22"/>
      <c r="V467" s="22"/>
      <c r="W467" s="22"/>
      <c r="X467" s="22"/>
      <c r="Y467" s="22"/>
      <c r="Z467" s="22"/>
    </row>
    <row r="468" spans="1:26" ht="16.149999999999999" customHeight="1" x14ac:dyDescent="0.25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2"/>
      <c r="X468" s="22"/>
      <c r="Y468" s="22"/>
      <c r="Z468" s="22"/>
    </row>
    <row r="469" spans="1:26" ht="16.149999999999999" customHeight="1" x14ac:dyDescent="0.25">
      <c r="A469" s="22"/>
      <c r="B469" s="22"/>
      <c r="C469" s="22"/>
      <c r="D469" s="22"/>
      <c r="E469" s="22"/>
      <c r="F469" s="22"/>
      <c r="G469" s="22"/>
      <c r="H469" s="22"/>
      <c r="I469" s="22"/>
      <c r="J469" s="22"/>
      <c r="K469" s="22"/>
      <c r="L469" s="22"/>
      <c r="M469" s="22"/>
      <c r="N469" s="22"/>
      <c r="O469" s="22"/>
      <c r="P469" s="22"/>
      <c r="Q469" s="22"/>
      <c r="R469" s="22"/>
      <c r="S469" s="22"/>
      <c r="T469" s="22"/>
      <c r="U469" s="22"/>
      <c r="V469" s="22"/>
      <c r="W469" s="22"/>
      <c r="X469" s="22"/>
      <c r="Y469" s="22"/>
      <c r="Z469" s="22"/>
    </row>
    <row r="470" spans="1:26" ht="16.149999999999999" customHeight="1" x14ac:dyDescent="0.25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2"/>
      <c r="X470" s="22"/>
      <c r="Y470" s="22"/>
      <c r="Z470" s="22"/>
    </row>
    <row r="471" spans="1:26" ht="16.149999999999999" customHeight="1" x14ac:dyDescent="0.25">
      <c r="A471" s="22"/>
      <c r="B471" s="22"/>
      <c r="C471" s="22"/>
      <c r="D471" s="22"/>
      <c r="E471" s="22"/>
      <c r="F471" s="22"/>
      <c r="G471" s="22"/>
      <c r="H471" s="22"/>
      <c r="I471" s="22"/>
      <c r="J471" s="22"/>
      <c r="K471" s="22"/>
      <c r="L471" s="22"/>
      <c r="M471" s="22"/>
      <c r="N471" s="22"/>
      <c r="O471" s="22"/>
      <c r="P471" s="22"/>
      <c r="Q471" s="22"/>
      <c r="R471" s="22"/>
      <c r="S471" s="22"/>
      <c r="T471" s="22"/>
      <c r="U471" s="22"/>
      <c r="V471" s="22"/>
      <c r="W471" s="22"/>
      <c r="X471" s="22"/>
      <c r="Y471" s="22"/>
      <c r="Z471" s="22"/>
    </row>
    <row r="472" spans="1:26" ht="16.149999999999999" customHeight="1" x14ac:dyDescent="0.25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2"/>
      <c r="X472" s="22"/>
      <c r="Y472" s="22"/>
      <c r="Z472" s="22"/>
    </row>
    <row r="473" spans="1:26" ht="16.149999999999999" customHeight="1" x14ac:dyDescent="0.25">
      <c r="A473" s="22"/>
      <c r="B473" s="22"/>
      <c r="C473" s="22"/>
      <c r="D473" s="22"/>
      <c r="E473" s="22"/>
      <c r="F473" s="22"/>
      <c r="G473" s="22"/>
      <c r="H473" s="22"/>
      <c r="I473" s="22"/>
      <c r="J473" s="22"/>
      <c r="K473" s="22"/>
      <c r="L473" s="22"/>
      <c r="M473" s="22"/>
      <c r="N473" s="22"/>
      <c r="O473" s="22"/>
      <c r="P473" s="22"/>
      <c r="Q473" s="22"/>
      <c r="R473" s="22"/>
      <c r="S473" s="22"/>
      <c r="T473" s="22"/>
      <c r="U473" s="22"/>
      <c r="V473" s="22"/>
      <c r="W473" s="22"/>
      <c r="X473" s="22"/>
      <c r="Y473" s="22"/>
      <c r="Z473" s="22"/>
    </row>
    <row r="474" spans="1:26" ht="16.149999999999999" customHeight="1" x14ac:dyDescent="0.25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2"/>
      <c r="X474" s="22"/>
      <c r="Y474" s="22"/>
      <c r="Z474" s="22"/>
    </row>
    <row r="475" spans="1:26" ht="16.149999999999999" customHeight="1" x14ac:dyDescent="0.25">
      <c r="A475" s="22"/>
      <c r="B475" s="22"/>
      <c r="C475" s="22"/>
      <c r="D475" s="22"/>
      <c r="E475" s="22"/>
      <c r="F475" s="22"/>
      <c r="G475" s="22"/>
      <c r="H475" s="22"/>
      <c r="I475" s="22"/>
      <c r="J475" s="22"/>
      <c r="K475" s="22"/>
      <c r="L475" s="22"/>
      <c r="M475" s="22"/>
      <c r="N475" s="22"/>
      <c r="O475" s="22"/>
      <c r="P475" s="22"/>
      <c r="Q475" s="22"/>
      <c r="R475" s="22"/>
      <c r="S475" s="22"/>
      <c r="T475" s="22"/>
      <c r="U475" s="22"/>
      <c r="V475" s="22"/>
      <c r="W475" s="22"/>
      <c r="X475" s="22"/>
      <c r="Y475" s="22"/>
      <c r="Z475" s="22"/>
    </row>
    <row r="476" spans="1:26" ht="16.149999999999999" customHeight="1" x14ac:dyDescent="0.25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2"/>
      <c r="X476" s="22"/>
      <c r="Y476" s="22"/>
      <c r="Z476" s="22"/>
    </row>
    <row r="477" spans="1:26" ht="16.149999999999999" customHeight="1" x14ac:dyDescent="0.25">
      <c r="A477" s="22"/>
      <c r="B477" s="22"/>
      <c r="C477" s="22"/>
      <c r="D477" s="22"/>
      <c r="E477" s="22"/>
      <c r="F477" s="22"/>
      <c r="G477" s="22"/>
      <c r="H477" s="22"/>
      <c r="I477" s="22"/>
      <c r="J477" s="22"/>
      <c r="K477" s="22"/>
      <c r="L477" s="22"/>
      <c r="M477" s="22"/>
      <c r="N477" s="22"/>
      <c r="O477" s="22"/>
      <c r="P477" s="22"/>
      <c r="Q477" s="22"/>
      <c r="R477" s="22"/>
      <c r="S477" s="22"/>
      <c r="T477" s="22"/>
      <c r="U477" s="22"/>
      <c r="V477" s="22"/>
      <c r="W477" s="22"/>
      <c r="X477" s="22"/>
      <c r="Y477" s="22"/>
      <c r="Z477" s="22"/>
    </row>
    <row r="478" spans="1:26" ht="16.149999999999999" customHeight="1" x14ac:dyDescent="0.25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2"/>
      <c r="X478" s="22"/>
      <c r="Y478" s="22"/>
      <c r="Z478" s="22"/>
    </row>
    <row r="479" spans="1:26" ht="16.149999999999999" customHeight="1" x14ac:dyDescent="0.25">
      <c r="A479" s="22"/>
      <c r="B479" s="22"/>
      <c r="C479" s="22"/>
      <c r="D479" s="22"/>
      <c r="E479" s="22"/>
      <c r="F479" s="22"/>
      <c r="G479" s="22"/>
      <c r="H479" s="22"/>
      <c r="I479" s="22"/>
      <c r="J479" s="22"/>
      <c r="K479" s="22"/>
      <c r="L479" s="22"/>
      <c r="M479" s="22"/>
      <c r="N479" s="22"/>
      <c r="O479" s="22"/>
      <c r="P479" s="22"/>
      <c r="Q479" s="22"/>
      <c r="R479" s="22"/>
      <c r="S479" s="22"/>
      <c r="T479" s="22"/>
      <c r="U479" s="22"/>
      <c r="V479" s="22"/>
      <c r="W479" s="22"/>
      <c r="X479" s="22"/>
      <c r="Y479" s="22"/>
      <c r="Z479" s="22"/>
    </row>
    <row r="480" spans="1:26" ht="16.149999999999999" customHeight="1" x14ac:dyDescent="0.25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2"/>
      <c r="X480" s="22"/>
      <c r="Y480" s="22"/>
      <c r="Z480" s="22"/>
    </row>
    <row r="481" spans="1:26" ht="16.149999999999999" customHeight="1" x14ac:dyDescent="0.25">
      <c r="A481" s="22"/>
      <c r="B481" s="22"/>
      <c r="C481" s="22"/>
      <c r="D481" s="22"/>
      <c r="E481" s="22"/>
      <c r="F481" s="22"/>
      <c r="G481" s="22"/>
      <c r="H481" s="22"/>
      <c r="I481" s="22"/>
      <c r="J481" s="22"/>
      <c r="K481" s="22"/>
      <c r="L481" s="22"/>
      <c r="M481" s="22"/>
      <c r="N481" s="22"/>
      <c r="O481" s="22"/>
      <c r="P481" s="22"/>
      <c r="Q481" s="22"/>
      <c r="R481" s="22"/>
      <c r="S481" s="22"/>
      <c r="T481" s="22"/>
      <c r="U481" s="22"/>
      <c r="V481" s="22"/>
      <c r="W481" s="22"/>
      <c r="X481" s="22"/>
      <c r="Y481" s="22"/>
      <c r="Z481" s="22"/>
    </row>
    <row r="482" spans="1:26" ht="16.149999999999999" customHeight="1" x14ac:dyDescent="0.25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2"/>
      <c r="X482" s="22"/>
      <c r="Y482" s="22"/>
      <c r="Z482" s="22"/>
    </row>
    <row r="483" spans="1:26" ht="16.149999999999999" customHeight="1" x14ac:dyDescent="0.25">
      <c r="A483" s="22"/>
      <c r="B483" s="22"/>
      <c r="C483" s="22"/>
      <c r="D483" s="22"/>
      <c r="E483" s="22"/>
      <c r="F483" s="22"/>
      <c r="G483" s="22"/>
      <c r="H483" s="22"/>
      <c r="I483" s="22"/>
      <c r="J483" s="22"/>
      <c r="K483" s="22"/>
      <c r="L483" s="22"/>
      <c r="M483" s="22"/>
      <c r="N483" s="22"/>
      <c r="O483" s="22"/>
      <c r="P483" s="22"/>
      <c r="Q483" s="22"/>
      <c r="R483" s="22"/>
      <c r="S483" s="22"/>
      <c r="T483" s="22"/>
      <c r="U483" s="22"/>
      <c r="V483" s="22"/>
      <c r="W483" s="22"/>
      <c r="X483" s="22"/>
      <c r="Y483" s="22"/>
      <c r="Z483" s="22"/>
    </row>
    <row r="484" spans="1:26" ht="16.149999999999999" customHeight="1" x14ac:dyDescent="0.25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2"/>
      <c r="X484" s="22"/>
      <c r="Y484" s="22"/>
      <c r="Z484" s="22"/>
    </row>
    <row r="485" spans="1:26" ht="16.149999999999999" customHeight="1" x14ac:dyDescent="0.25">
      <c r="A485" s="22"/>
      <c r="B485" s="22"/>
      <c r="C485" s="22"/>
      <c r="D485" s="22"/>
      <c r="E485" s="22"/>
      <c r="F485" s="22"/>
      <c r="G485" s="22"/>
      <c r="H485" s="22"/>
      <c r="I485" s="22"/>
      <c r="J485" s="22"/>
      <c r="K485" s="22"/>
      <c r="L485" s="22"/>
      <c r="M485" s="22"/>
      <c r="N485" s="22"/>
      <c r="O485" s="22"/>
      <c r="P485" s="22"/>
      <c r="Q485" s="22"/>
      <c r="R485" s="22"/>
      <c r="S485" s="22"/>
      <c r="T485" s="22"/>
      <c r="U485" s="22"/>
      <c r="V485" s="22"/>
      <c r="W485" s="22"/>
      <c r="X485" s="22"/>
      <c r="Y485" s="22"/>
      <c r="Z485" s="22"/>
    </row>
    <row r="486" spans="1:26" ht="16.149999999999999" customHeight="1" x14ac:dyDescent="0.25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2"/>
      <c r="X486" s="22"/>
      <c r="Y486" s="22"/>
      <c r="Z486" s="22"/>
    </row>
    <row r="487" spans="1:26" ht="16.149999999999999" customHeight="1" x14ac:dyDescent="0.25">
      <c r="A487" s="22"/>
      <c r="B487" s="22"/>
      <c r="C487" s="22"/>
      <c r="D487" s="22"/>
      <c r="E487" s="22"/>
      <c r="F487" s="22"/>
      <c r="G487" s="22"/>
      <c r="H487" s="22"/>
      <c r="I487" s="22"/>
      <c r="J487" s="22"/>
      <c r="K487" s="22"/>
      <c r="L487" s="22"/>
      <c r="M487" s="22"/>
      <c r="N487" s="22"/>
      <c r="O487" s="22"/>
      <c r="P487" s="22"/>
      <c r="Q487" s="22"/>
      <c r="R487" s="22"/>
      <c r="S487" s="22"/>
      <c r="T487" s="22"/>
      <c r="U487" s="22"/>
      <c r="V487" s="22"/>
      <c r="W487" s="22"/>
      <c r="X487" s="22"/>
      <c r="Y487" s="22"/>
      <c r="Z487" s="22"/>
    </row>
    <row r="488" spans="1:26" ht="16.149999999999999" customHeight="1" x14ac:dyDescent="0.25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2"/>
      <c r="X488" s="22"/>
      <c r="Y488" s="22"/>
      <c r="Z488" s="22"/>
    </row>
    <row r="489" spans="1:26" ht="16.149999999999999" customHeight="1" x14ac:dyDescent="0.25">
      <c r="A489" s="22"/>
      <c r="B489" s="22"/>
      <c r="C489" s="22"/>
      <c r="D489" s="22"/>
      <c r="E489" s="22"/>
      <c r="F489" s="22"/>
      <c r="G489" s="22"/>
      <c r="H489" s="22"/>
      <c r="I489" s="22"/>
      <c r="J489" s="22"/>
      <c r="K489" s="22"/>
      <c r="L489" s="22"/>
      <c r="M489" s="22"/>
      <c r="N489" s="22"/>
      <c r="O489" s="22"/>
      <c r="P489" s="22"/>
      <c r="Q489" s="22"/>
      <c r="R489" s="22"/>
      <c r="S489" s="22"/>
      <c r="T489" s="22"/>
      <c r="U489" s="22"/>
      <c r="V489" s="22"/>
      <c r="W489" s="22"/>
      <c r="X489" s="22"/>
      <c r="Y489" s="22"/>
      <c r="Z489" s="22"/>
    </row>
    <row r="490" spans="1:26" ht="16.149999999999999" customHeight="1" x14ac:dyDescent="0.25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2"/>
      <c r="X490" s="22"/>
      <c r="Y490" s="22"/>
      <c r="Z490" s="22"/>
    </row>
    <row r="491" spans="1:26" ht="16.149999999999999" customHeight="1" x14ac:dyDescent="0.25">
      <c r="A491" s="22"/>
      <c r="B491" s="22"/>
      <c r="C491" s="22"/>
      <c r="D491" s="22"/>
      <c r="E491" s="22"/>
      <c r="F491" s="22"/>
      <c r="G491" s="22"/>
      <c r="H491" s="22"/>
      <c r="I491" s="22"/>
      <c r="J491" s="22"/>
      <c r="K491" s="22"/>
      <c r="L491" s="22"/>
      <c r="M491" s="22"/>
      <c r="N491" s="22"/>
      <c r="O491" s="22"/>
      <c r="P491" s="22"/>
      <c r="Q491" s="22"/>
      <c r="R491" s="22"/>
      <c r="S491" s="22"/>
      <c r="T491" s="22"/>
      <c r="U491" s="22"/>
      <c r="V491" s="22"/>
      <c r="W491" s="22"/>
      <c r="X491" s="22"/>
      <c r="Y491" s="22"/>
      <c r="Z491" s="22"/>
    </row>
    <row r="492" spans="1:26" ht="16.149999999999999" customHeight="1" x14ac:dyDescent="0.25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2"/>
      <c r="X492" s="22"/>
      <c r="Y492" s="22"/>
      <c r="Z492" s="22"/>
    </row>
    <row r="493" spans="1:26" ht="16.149999999999999" customHeight="1" x14ac:dyDescent="0.25">
      <c r="A493" s="22"/>
      <c r="B493" s="22"/>
      <c r="C493" s="22"/>
      <c r="D493" s="22"/>
      <c r="E493" s="22"/>
      <c r="F493" s="22"/>
      <c r="G493" s="22"/>
      <c r="H493" s="22"/>
      <c r="I493" s="22"/>
      <c r="J493" s="22"/>
      <c r="K493" s="22"/>
      <c r="L493" s="22"/>
      <c r="M493" s="22"/>
      <c r="N493" s="22"/>
      <c r="O493" s="22"/>
      <c r="P493" s="22"/>
      <c r="Q493" s="22"/>
      <c r="R493" s="22"/>
      <c r="S493" s="22"/>
      <c r="T493" s="22"/>
      <c r="U493" s="22"/>
      <c r="V493" s="22"/>
      <c r="W493" s="22"/>
      <c r="X493" s="22"/>
      <c r="Y493" s="22"/>
      <c r="Z493" s="22"/>
    </row>
    <row r="494" spans="1:26" ht="16.149999999999999" customHeight="1" x14ac:dyDescent="0.25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2"/>
      <c r="X494" s="22"/>
      <c r="Y494" s="22"/>
      <c r="Z494" s="22"/>
    </row>
    <row r="495" spans="1:26" ht="16.149999999999999" customHeight="1" x14ac:dyDescent="0.25">
      <c r="A495" s="22"/>
      <c r="B495" s="22"/>
      <c r="C495" s="22"/>
      <c r="D495" s="22"/>
      <c r="E495" s="22"/>
      <c r="F495" s="22"/>
      <c r="G495" s="22"/>
      <c r="H495" s="22"/>
      <c r="I495" s="22"/>
      <c r="J495" s="22"/>
      <c r="K495" s="22"/>
      <c r="L495" s="22"/>
      <c r="M495" s="22"/>
      <c r="N495" s="22"/>
      <c r="O495" s="22"/>
      <c r="P495" s="22"/>
      <c r="Q495" s="22"/>
      <c r="R495" s="22"/>
      <c r="S495" s="22"/>
      <c r="T495" s="22"/>
      <c r="U495" s="22"/>
      <c r="V495" s="22"/>
      <c r="W495" s="22"/>
      <c r="X495" s="22"/>
      <c r="Y495" s="22"/>
      <c r="Z495" s="22"/>
    </row>
    <row r="496" spans="1:26" ht="16.149999999999999" customHeight="1" x14ac:dyDescent="0.25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2"/>
      <c r="X496" s="22"/>
      <c r="Y496" s="22"/>
      <c r="Z496" s="22"/>
    </row>
    <row r="497" spans="1:26" ht="16.149999999999999" customHeight="1" x14ac:dyDescent="0.25">
      <c r="A497" s="22"/>
      <c r="B497" s="22"/>
      <c r="C497" s="22"/>
      <c r="D497" s="22"/>
      <c r="E497" s="22"/>
      <c r="F497" s="22"/>
      <c r="G497" s="22"/>
      <c r="H497" s="22"/>
      <c r="I497" s="22"/>
      <c r="J497" s="22"/>
      <c r="K497" s="22"/>
      <c r="L497" s="22"/>
      <c r="M497" s="22"/>
      <c r="N497" s="22"/>
      <c r="O497" s="22"/>
      <c r="P497" s="22"/>
      <c r="Q497" s="22"/>
      <c r="R497" s="22"/>
      <c r="S497" s="22"/>
      <c r="T497" s="22"/>
      <c r="U497" s="22"/>
      <c r="V497" s="22"/>
      <c r="W497" s="22"/>
      <c r="X497" s="22"/>
      <c r="Y497" s="22"/>
      <c r="Z497" s="22"/>
    </row>
    <row r="498" spans="1:26" ht="16.149999999999999" customHeight="1" x14ac:dyDescent="0.25">
      <c r="A498" s="22"/>
      <c r="B498" s="22"/>
      <c r="C498" s="22"/>
      <c r="D498" s="22"/>
      <c r="E498" s="22"/>
      <c r="F498" s="22"/>
      <c r="G498" s="22"/>
      <c r="H498" s="22"/>
      <c r="I498" s="22"/>
      <c r="J498" s="22"/>
      <c r="K498" s="22"/>
      <c r="L498" s="22"/>
      <c r="M498" s="22"/>
      <c r="N498" s="22"/>
      <c r="O498" s="22"/>
      <c r="P498" s="22"/>
      <c r="Q498" s="22"/>
      <c r="R498" s="22"/>
      <c r="S498" s="22"/>
      <c r="T498" s="22"/>
      <c r="U498" s="22"/>
      <c r="V498" s="22"/>
      <c r="W498" s="22"/>
      <c r="X498" s="22"/>
      <c r="Y498" s="22"/>
      <c r="Z498" s="22"/>
    </row>
    <row r="499" spans="1:26" ht="16.149999999999999" customHeight="1" x14ac:dyDescent="0.25">
      <c r="A499" s="22"/>
      <c r="B499" s="22"/>
      <c r="C499" s="22"/>
      <c r="D499" s="22"/>
      <c r="E499" s="22"/>
      <c r="F499" s="22"/>
      <c r="G499" s="22"/>
      <c r="H499" s="22"/>
      <c r="I499" s="22"/>
      <c r="J499" s="22"/>
      <c r="K499" s="22"/>
      <c r="L499" s="22"/>
      <c r="M499" s="22"/>
      <c r="N499" s="22"/>
      <c r="O499" s="22"/>
      <c r="P499" s="22"/>
      <c r="Q499" s="22"/>
      <c r="R499" s="22"/>
      <c r="S499" s="22"/>
      <c r="T499" s="22"/>
      <c r="U499" s="22"/>
      <c r="V499" s="22"/>
      <c r="W499" s="22"/>
      <c r="X499" s="22"/>
      <c r="Y499" s="22"/>
      <c r="Z499" s="22"/>
    </row>
    <row r="500" spans="1:26" ht="16.149999999999999" customHeight="1" x14ac:dyDescent="0.25">
      <c r="A500" s="22"/>
      <c r="B500" s="22"/>
      <c r="C500" s="22"/>
      <c r="D500" s="22"/>
      <c r="E500" s="22"/>
      <c r="F500" s="22"/>
      <c r="G500" s="22"/>
      <c r="H500" s="22"/>
      <c r="I500" s="22"/>
      <c r="J500" s="22"/>
      <c r="K500" s="22"/>
      <c r="L500" s="22"/>
      <c r="M500" s="22"/>
      <c r="N500" s="22"/>
      <c r="O500" s="22"/>
      <c r="P500" s="22"/>
      <c r="Q500" s="22"/>
      <c r="R500" s="22"/>
      <c r="S500" s="22"/>
      <c r="T500" s="22"/>
      <c r="U500" s="22"/>
      <c r="V500" s="22"/>
      <c r="W500" s="22"/>
      <c r="X500" s="22"/>
      <c r="Y500" s="22"/>
      <c r="Z500" s="22"/>
    </row>
    <row r="501" spans="1:26" ht="16.149999999999999" customHeight="1" x14ac:dyDescent="0.25">
      <c r="A501" s="22"/>
      <c r="B501" s="22"/>
      <c r="C501" s="22"/>
      <c r="D501" s="22"/>
      <c r="E501" s="22"/>
      <c r="F501" s="22"/>
      <c r="G501" s="22"/>
      <c r="H501" s="22"/>
      <c r="I501" s="22"/>
      <c r="J501" s="22"/>
      <c r="K501" s="22"/>
      <c r="L501" s="22"/>
      <c r="M501" s="22"/>
      <c r="N501" s="22"/>
      <c r="O501" s="22"/>
      <c r="P501" s="22"/>
      <c r="Q501" s="22"/>
      <c r="R501" s="22"/>
      <c r="S501" s="22"/>
      <c r="T501" s="22"/>
      <c r="U501" s="22"/>
      <c r="V501" s="22"/>
      <c r="W501" s="22"/>
      <c r="X501" s="22"/>
      <c r="Y501" s="22"/>
      <c r="Z501" s="22"/>
    </row>
    <row r="502" spans="1:26" ht="16.149999999999999" customHeight="1" x14ac:dyDescent="0.25">
      <c r="A502" s="22"/>
      <c r="B502" s="22"/>
      <c r="C502" s="22"/>
      <c r="D502" s="22"/>
      <c r="E502" s="22"/>
      <c r="F502" s="22"/>
      <c r="G502" s="22"/>
      <c r="H502" s="22"/>
      <c r="I502" s="22"/>
      <c r="J502" s="22"/>
      <c r="K502" s="22"/>
      <c r="L502" s="22"/>
      <c r="M502" s="22"/>
      <c r="N502" s="22"/>
      <c r="O502" s="22"/>
      <c r="P502" s="22"/>
      <c r="Q502" s="22"/>
      <c r="R502" s="22"/>
      <c r="S502" s="22"/>
      <c r="T502" s="22"/>
      <c r="U502" s="22"/>
      <c r="V502" s="22"/>
      <c r="W502" s="22"/>
      <c r="X502" s="22"/>
      <c r="Y502" s="22"/>
      <c r="Z502" s="22"/>
    </row>
    <row r="503" spans="1:26" ht="16.149999999999999" customHeight="1" x14ac:dyDescent="0.25">
      <c r="A503" s="22"/>
      <c r="B503" s="22"/>
      <c r="C503" s="22"/>
      <c r="D503" s="22"/>
      <c r="E503" s="22"/>
      <c r="F503" s="22"/>
      <c r="G503" s="22"/>
      <c r="H503" s="22"/>
      <c r="I503" s="22"/>
      <c r="J503" s="22"/>
      <c r="K503" s="22"/>
      <c r="L503" s="22"/>
      <c r="M503" s="22"/>
      <c r="N503" s="22"/>
      <c r="O503" s="22"/>
      <c r="P503" s="22"/>
      <c r="Q503" s="22"/>
      <c r="R503" s="22"/>
      <c r="S503" s="22"/>
      <c r="T503" s="22"/>
      <c r="U503" s="22"/>
      <c r="V503" s="22"/>
      <c r="W503" s="22"/>
      <c r="X503" s="22"/>
      <c r="Y503" s="22"/>
      <c r="Z503" s="22"/>
    </row>
    <row r="504" spans="1:26" ht="16.149999999999999" customHeight="1" x14ac:dyDescent="0.25">
      <c r="A504" s="22"/>
      <c r="B504" s="22"/>
      <c r="C504" s="22"/>
      <c r="D504" s="22"/>
      <c r="E504" s="22"/>
      <c r="F504" s="22"/>
      <c r="G504" s="22"/>
      <c r="H504" s="22"/>
      <c r="I504" s="22"/>
      <c r="J504" s="22"/>
      <c r="K504" s="22"/>
      <c r="L504" s="22"/>
      <c r="M504" s="22"/>
      <c r="N504" s="22"/>
      <c r="O504" s="22"/>
      <c r="P504" s="22"/>
      <c r="Q504" s="22"/>
      <c r="R504" s="22"/>
      <c r="S504" s="22"/>
      <c r="T504" s="22"/>
      <c r="U504" s="22"/>
      <c r="V504" s="22"/>
      <c r="W504" s="22"/>
      <c r="X504" s="22"/>
      <c r="Y504" s="22"/>
      <c r="Z504" s="22"/>
    </row>
    <row r="505" spans="1:26" ht="16.149999999999999" customHeight="1" x14ac:dyDescent="0.25">
      <c r="A505" s="22"/>
      <c r="B505" s="22"/>
      <c r="C505" s="22"/>
      <c r="D505" s="22"/>
      <c r="E505" s="22"/>
      <c r="F505" s="22"/>
      <c r="G505" s="22"/>
      <c r="H505" s="22"/>
      <c r="I505" s="22"/>
      <c r="J505" s="22"/>
      <c r="K505" s="22"/>
      <c r="L505" s="22"/>
      <c r="M505" s="22"/>
      <c r="N505" s="22"/>
      <c r="O505" s="22"/>
      <c r="P505" s="22"/>
      <c r="Q505" s="22"/>
      <c r="R505" s="22"/>
      <c r="S505" s="22"/>
      <c r="T505" s="22"/>
      <c r="U505" s="22"/>
      <c r="V505" s="22"/>
      <c r="W505" s="22"/>
      <c r="X505" s="22"/>
      <c r="Y505" s="22"/>
      <c r="Z505" s="22"/>
    </row>
    <row r="506" spans="1:26" ht="16.149999999999999" customHeight="1" x14ac:dyDescent="0.25">
      <c r="A506" s="22"/>
      <c r="B506" s="22"/>
      <c r="C506" s="22"/>
      <c r="D506" s="22"/>
      <c r="E506" s="22"/>
      <c r="F506" s="22"/>
      <c r="G506" s="22"/>
      <c r="H506" s="22"/>
      <c r="I506" s="22"/>
      <c r="J506" s="22"/>
      <c r="K506" s="22"/>
      <c r="L506" s="22"/>
      <c r="M506" s="22"/>
      <c r="N506" s="22"/>
      <c r="O506" s="22"/>
      <c r="P506" s="22"/>
      <c r="Q506" s="22"/>
      <c r="R506" s="22"/>
      <c r="S506" s="22"/>
      <c r="T506" s="22"/>
      <c r="U506" s="22"/>
      <c r="V506" s="22"/>
      <c r="W506" s="22"/>
      <c r="X506" s="22"/>
      <c r="Y506" s="22"/>
      <c r="Z506" s="22"/>
    </row>
    <row r="507" spans="1:26" ht="16.149999999999999" customHeight="1" x14ac:dyDescent="0.25">
      <c r="A507" s="22"/>
      <c r="B507" s="22"/>
      <c r="C507" s="22"/>
      <c r="D507" s="22"/>
      <c r="E507" s="22"/>
      <c r="F507" s="22"/>
      <c r="G507" s="22"/>
      <c r="H507" s="22"/>
      <c r="I507" s="22"/>
      <c r="J507" s="22"/>
      <c r="K507" s="22"/>
      <c r="L507" s="22"/>
      <c r="M507" s="22"/>
      <c r="N507" s="22"/>
      <c r="O507" s="22"/>
      <c r="P507" s="22"/>
      <c r="Q507" s="22"/>
      <c r="R507" s="22"/>
      <c r="S507" s="22"/>
      <c r="T507" s="22"/>
      <c r="U507" s="22"/>
      <c r="V507" s="22"/>
      <c r="W507" s="22"/>
      <c r="X507" s="22"/>
      <c r="Y507" s="22"/>
      <c r="Z507" s="22"/>
    </row>
    <row r="508" spans="1:26" ht="16.149999999999999" customHeight="1" x14ac:dyDescent="0.25">
      <c r="A508" s="22"/>
      <c r="B508" s="22"/>
      <c r="C508" s="22"/>
      <c r="D508" s="22"/>
      <c r="E508" s="22"/>
      <c r="F508" s="22"/>
      <c r="G508" s="22"/>
      <c r="H508" s="22"/>
      <c r="I508" s="22"/>
      <c r="J508" s="22"/>
      <c r="K508" s="22"/>
      <c r="L508" s="22"/>
      <c r="M508" s="22"/>
      <c r="N508" s="22"/>
      <c r="O508" s="22"/>
      <c r="P508" s="22"/>
      <c r="Q508" s="22"/>
      <c r="R508" s="22"/>
      <c r="S508" s="22"/>
      <c r="T508" s="22"/>
      <c r="U508" s="22"/>
      <c r="V508" s="22"/>
      <c r="W508" s="22"/>
      <c r="X508" s="22"/>
      <c r="Y508" s="22"/>
      <c r="Z508" s="22"/>
    </row>
    <row r="509" spans="1:26" ht="16.149999999999999" customHeight="1" x14ac:dyDescent="0.25">
      <c r="A509" s="22"/>
      <c r="B509" s="22"/>
      <c r="C509" s="22"/>
      <c r="D509" s="22"/>
      <c r="E509" s="22"/>
      <c r="F509" s="22"/>
      <c r="G509" s="22"/>
      <c r="H509" s="22"/>
      <c r="I509" s="22"/>
      <c r="J509" s="22"/>
      <c r="K509" s="22"/>
      <c r="L509" s="22"/>
      <c r="M509" s="22"/>
      <c r="N509" s="22"/>
      <c r="O509" s="22"/>
      <c r="P509" s="22"/>
      <c r="Q509" s="22"/>
      <c r="R509" s="22"/>
      <c r="S509" s="22"/>
      <c r="T509" s="22"/>
      <c r="U509" s="22"/>
      <c r="V509" s="22"/>
      <c r="W509" s="22"/>
      <c r="X509" s="22"/>
      <c r="Y509" s="22"/>
      <c r="Z509" s="22"/>
    </row>
    <row r="510" spans="1:26" ht="16.149999999999999" customHeight="1" x14ac:dyDescent="0.25">
      <c r="A510" s="22"/>
      <c r="B510" s="22"/>
      <c r="C510" s="22"/>
      <c r="D510" s="22"/>
      <c r="E510" s="22"/>
      <c r="F510" s="22"/>
      <c r="G510" s="22"/>
      <c r="H510" s="22"/>
      <c r="I510" s="22"/>
      <c r="J510" s="22"/>
      <c r="K510" s="22"/>
      <c r="L510" s="22"/>
      <c r="M510" s="22"/>
      <c r="N510" s="22"/>
      <c r="O510" s="22"/>
      <c r="P510" s="22"/>
      <c r="Q510" s="22"/>
      <c r="R510" s="22"/>
      <c r="S510" s="22"/>
      <c r="T510" s="22"/>
      <c r="U510" s="22"/>
      <c r="V510" s="22"/>
      <c r="W510" s="22"/>
      <c r="X510" s="22"/>
      <c r="Y510" s="22"/>
      <c r="Z510" s="22"/>
    </row>
    <row r="511" spans="1:26" ht="16.149999999999999" customHeight="1" x14ac:dyDescent="0.25">
      <c r="A511" s="22"/>
      <c r="B511" s="22"/>
      <c r="C511" s="22"/>
      <c r="D511" s="22"/>
      <c r="E511" s="22"/>
      <c r="F511" s="22"/>
      <c r="G511" s="22"/>
      <c r="H511" s="22"/>
      <c r="I511" s="22"/>
      <c r="J511" s="22"/>
      <c r="K511" s="22"/>
      <c r="L511" s="22"/>
      <c r="M511" s="22"/>
      <c r="N511" s="22"/>
      <c r="O511" s="22"/>
      <c r="P511" s="22"/>
      <c r="Q511" s="22"/>
      <c r="R511" s="22"/>
      <c r="S511" s="22"/>
      <c r="T511" s="22"/>
      <c r="U511" s="22"/>
      <c r="V511" s="22"/>
      <c r="W511" s="22"/>
      <c r="X511" s="22"/>
      <c r="Y511" s="22"/>
      <c r="Z511" s="22"/>
    </row>
    <row r="512" spans="1:26" ht="16.149999999999999" customHeight="1" x14ac:dyDescent="0.25">
      <c r="A512" s="22"/>
      <c r="B512" s="22"/>
      <c r="C512" s="22"/>
      <c r="D512" s="22"/>
      <c r="E512" s="22"/>
      <c r="F512" s="22"/>
      <c r="G512" s="22"/>
      <c r="H512" s="22"/>
      <c r="I512" s="22"/>
      <c r="J512" s="22"/>
      <c r="K512" s="22"/>
      <c r="L512" s="22"/>
      <c r="M512" s="22"/>
      <c r="N512" s="22"/>
      <c r="O512" s="22"/>
      <c r="P512" s="22"/>
      <c r="Q512" s="22"/>
      <c r="R512" s="22"/>
      <c r="S512" s="22"/>
      <c r="T512" s="22"/>
      <c r="U512" s="22"/>
      <c r="V512" s="22"/>
      <c r="W512" s="22"/>
      <c r="X512" s="22"/>
      <c r="Y512" s="22"/>
      <c r="Z512" s="22"/>
    </row>
    <row r="513" spans="1:26" ht="16.149999999999999" customHeight="1" x14ac:dyDescent="0.25">
      <c r="A513" s="22"/>
      <c r="B513" s="22"/>
      <c r="C513" s="22"/>
      <c r="D513" s="22"/>
      <c r="E513" s="22"/>
      <c r="F513" s="22"/>
      <c r="G513" s="22"/>
      <c r="H513" s="22"/>
      <c r="I513" s="22"/>
      <c r="J513" s="22"/>
      <c r="K513" s="22"/>
      <c r="L513" s="22"/>
      <c r="M513" s="22"/>
      <c r="N513" s="22"/>
      <c r="O513" s="22"/>
      <c r="P513" s="22"/>
      <c r="Q513" s="22"/>
      <c r="R513" s="22"/>
      <c r="S513" s="22"/>
      <c r="T513" s="22"/>
      <c r="U513" s="22"/>
      <c r="V513" s="22"/>
      <c r="W513" s="22"/>
      <c r="X513" s="22"/>
      <c r="Y513" s="22"/>
      <c r="Z513" s="22"/>
    </row>
    <row r="514" spans="1:26" ht="16.149999999999999" customHeight="1" x14ac:dyDescent="0.25">
      <c r="A514" s="22"/>
      <c r="B514" s="22"/>
      <c r="C514" s="22"/>
      <c r="D514" s="22"/>
      <c r="E514" s="22"/>
      <c r="F514" s="22"/>
      <c r="G514" s="22"/>
      <c r="H514" s="22"/>
      <c r="I514" s="22"/>
      <c r="J514" s="22"/>
      <c r="K514" s="22"/>
      <c r="L514" s="22"/>
      <c r="M514" s="22"/>
      <c r="N514" s="22"/>
      <c r="O514" s="22"/>
      <c r="P514" s="22"/>
      <c r="Q514" s="22"/>
      <c r="R514" s="22"/>
      <c r="S514" s="22"/>
      <c r="T514" s="22"/>
      <c r="U514" s="22"/>
      <c r="V514" s="22"/>
      <c r="W514" s="22"/>
      <c r="X514" s="22"/>
      <c r="Y514" s="22"/>
      <c r="Z514" s="22"/>
    </row>
    <row r="515" spans="1:26" ht="16.149999999999999" customHeight="1" x14ac:dyDescent="0.25">
      <c r="A515" s="22"/>
      <c r="B515" s="22"/>
      <c r="C515" s="22"/>
      <c r="D515" s="22"/>
      <c r="E515" s="22"/>
      <c r="F515" s="22"/>
      <c r="G515" s="22"/>
      <c r="H515" s="22"/>
      <c r="I515" s="22"/>
      <c r="J515" s="22"/>
      <c r="K515" s="22"/>
      <c r="L515" s="22"/>
      <c r="M515" s="22"/>
      <c r="N515" s="22"/>
      <c r="O515" s="22"/>
      <c r="P515" s="22"/>
      <c r="Q515" s="22"/>
      <c r="R515" s="22"/>
      <c r="S515" s="22"/>
      <c r="T515" s="22"/>
      <c r="U515" s="22"/>
      <c r="V515" s="22"/>
      <c r="W515" s="22"/>
      <c r="X515" s="22"/>
      <c r="Y515" s="22"/>
      <c r="Z515" s="22"/>
    </row>
    <row r="516" spans="1:26" ht="16.149999999999999" customHeight="1" x14ac:dyDescent="0.25">
      <c r="A516" s="22"/>
      <c r="B516" s="22"/>
      <c r="C516" s="22"/>
      <c r="D516" s="22"/>
      <c r="E516" s="22"/>
      <c r="F516" s="22"/>
      <c r="G516" s="22"/>
      <c r="H516" s="22"/>
      <c r="I516" s="22"/>
      <c r="J516" s="22"/>
      <c r="K516" s="22"/>
      <c r="L516" s="22"/>
      <c r="M516" s="22"/>
      <c r="N516" s="22"/>
      <c r="O516" s="22"/>
      <c r="P516" s="22"/>
      <c r="Q516" s="22"/>
      <c r="R516" s="22"/>
      <c r="S516" s="22"/>
      <c r="T516" s="22"/>
      <c r="U516" s="22"/>
      <c r="V516" s="22"/>
      <c r="W516" s="22"/>
      <c r="X516" s="22"/>
      <c r="Y516" s="22"/>
      <c r="Z516" s="22"/>
    </row>
    <row r="517" spans="1:26" ht="16.149999999999999" customHeight="1" x14ac:dyDescent="0.25">
      <c r="A517" s="22"/>
      <c r="B517" s="22"/>
      <c r="C517" s="22"/>
      <c r="D517" s="22"/>
      <c r="E517" s="22"/>
      <c r="F517" s="22"/>
      <c r="G517" s="22"/>
      <c r="H517" s="22"/>
      <c r="I517" s="22"/>
      <c r="J517" s="22"/>
      <c r="K517" s="22"/>
      <c r="L517" s="22"/>
      <c r="M517" s="22"/>
      <c r="N517" s="22"/>
      <c r="O517" s="22"/>
      <c r="P517" s="22"/>
      <c r="Q517" s="22"/>
      <c r="R517" s="22"/>
      <c r="S517" s="22"/>
      <c r="T517" s="22"/>
      <c r="U517" s="22"/>
      <c r="V517" s="22"/>
      <c r="W517" s="22"/>
      <c r="X517" s="22"/>
      <c r="Y517" s="22"/>
      <c r="Z517" s="22"/>
    </row>
    <row r="518" spans="1:26" ht="16.149999999999999" customHeight="1" x14ac:dyDescent="0.25">
      <c r="A518" s="22"/>
      <c r="B518" s="22"/>
      <c r="C518" s="22"/>
      <c r="D518" s="22"/>
      <c r="E518" s="22"/>
      <c r="F518" s="22"/>
      <c r="G518" s="22"/>
      <c r="H518" s="22"/>
      <c r="I518" s="22"/>
      <c r="J518" s="22"/>
      <c r="K518" s="22"/>
      <c r="L518" s="22"/>
      <c r="M518" s="22"/>
      <c r="N518" s="22"/>
      <c r="O518" s="22"/>
      <c r="P518" s="22"/>
      <c r="Q518" s="22"/>
      <c r="R518" s="22"/>
      <c r="S518" s="22"/>
      <c r="T518" s="22"/>
      <c r="U518" s="22"/>
      <c r="V518" s="22"/>
      <c r="W518" s="22"/>
      <c r="X518" s="22"/>
      <c r="Y518" s="22"/>
      <c r="Z518" s="22"/>
    </row>
    <row r="519" spans="1:26" ht="16.149999999999999" customHeight="1" x14ac:dyDescent="0.25">
      <c r="A519" s="22"/>
      <c r="B519" s="22"/>
      <c r="C519" s="22"/>
      <c r="D519" s="22"/>
      <c r="E519" s="22"/>
      <c r="F519" s="22"/>
      <c r="G519" s="22"/>
      <c r="H519" s="22"/>
      <c r="I519" s="22"/>
      <c r="J519" s="22"/>
      <c r="K519" s="22"/>
      <c r="L519" s="22"/>
      <c r="M519" s="22"/>
      <c r="N519" s="22"/>
      <c r="O519" s="22"/>
      <c r="P519" s="22"/>
      <c r="Q519" s="22"/>
      <c r="R519" s="22"/>
      <c r="S519" s="22"/>
      <c r="T519" s="22"/>
      <c r="U519" s="22"/>
      <c r="V519" s="22"/>
      <c r="W519" s="22"/>
      <c r="X519" s="22"/>
      <c r="Y519" s="22"/>
      <c r="Z519" s="22"/>
    </row>
    <row r="520" spans="1:26" ht="16.149999999999999" customHeight="1" x14ac:dyDescent="0.25">
      <c r="A520" s="22"/>
      <c r="B520" s="22"/>
      <c r="C520" s="22"/>
      <c r="D520" s="22"/>
      <c r="E520" s="22"/>
      <c r="F520" s="22"/>
      <c r="G520" s="22"/>
      <c r="H520" s="22"/>
      <c r="I520" s="22"/>
      <c r="J520" s="22"/>
      <c r="K520" s="22"/>
      <c r="L520" s="22"/>
      <c r="M520" s="22"/>
      <c r="N520" s="22"/>
      <c r="O520" s="22"/>
      <c r="P520" s="22"/>
      <c r="Q520" s="22"/>
      <c r="R520" s="22"/>
      <c r="S520" s="22"/>
      <c r="T520" s="22"/>
      <c r="U520" s="22"/>
      <c r="V520" s="22"/>
      <c r="W520" s="22"/>
      <c r="X520" s="22"/>
      <c r="Y520" s="22"/>
      <c r="Z520" s="22"/>
    </row>
    <row r="521" spans="1:26" ht="16.149999999999999" customHeight="1" x14ac:dyDescent="0.25">
      <c r="A521" s="22"/>
      <c r="B521" s="22"/>
      <c r="C521" s="22"/>
      <c r="D521" s="22"/>
      <c r="E521" s="22"/>
      <c r="F521" s="22"/>
      <c r="G521" s="22"/>
      <c r="H521" s="22"/>
      <c r="I521" s="22"/>
      <c r="J521" s="22"/>
      <c r="K521" s="22"/>
      <c r="L521" s="22"/>
      <c r="M521" s="22"/>
      <c r="N521" s="22"/>
      <c r="O521" s="22"/>
      <c r="P521" s="22"/>
      <c r="Q521" s="22"/>
      <c r="R521" s="22"/>
      <c r="S521" s="22"/>
      <c r="T521" s="22"/>
      <c r="U521" s="22"/>
      <c r="V521" s="22"/>
      <c r="W521" s="22"/>
      <c r="X521" s="22"/>
      <c r="Y521" s="22"/>
      <c r="Z521" s="22"/>
    </row>
    <row r="522" spans="1:26" ht="16.149999999999999" customHeight="1" x14ac:dyDescent="0.25">
      <c r="A522" s="22"/>
      <c r="B522" s="22"/>
      <c r="C522" s="22"/>
      <c r="D522" s="22"/>
      <c r="E522" s="22"/>
      <c r="F522" s="22"/>
      <c r="G522" s="22"/>
      <c r="H522" s="22"/>
      <c r="I522" s="22"/>
      <c r="J522" s="22"/>
      <c r="K522" s="22"/>
      <c r="L522" s="22"/>
      <c r="M522" s="22"/>
      <c r="N522" s="22"/>
      <c r="O522" s="22"/>
      <c r="P522" s="22"/>
      <c r="Q522" s="22"/>
      <c r="R522" s="22"/>
      <c r="S522" s="22"/>
      <c r="T522" s="22"/>
      <c r="U522" s="22"/>
      <c r="V522" s="22"/>
      <c r="W522" s="22"/>
      <c r="X522" s="22"/>
      <c r="Y522" s="22"/>
      <c r="Z522" s="22"/>
    </row>
    <row r="523" spans="1:26" ht="16.149999999999999" customHeight="1" x14ac:dyDescent="0.25">
      <c r="A523" s="22"/>
      <c r="B523" s="22"/>
      <c r="C523" s="22"/>
      <c r="D523" s="22"/>
      <c r="E523" s="22"/>
      <c r="F523" s="22"/>
      <c r="G523" s="22"/>
      <c r="H523" s="22"/>
      <c r="I523" s="22"/>
      <c r="J523" s="22"/>
      <c r="K523" s="22"/>
      <c r="L523" s="22"/>
      <c r="M523" s="22"/>
      <c r="N523" s="22"/>
      <c r="O523" s="22"/>
      <c r="P523" s="22"/>
      <c r="Q523" s="22"/>
      <c r="R523" s="22"/>
      <c r="S523" s="22"/>
      <c r="T523" s="22"/>
      <c r="U523" s="22"/>
      <c r="V523" s="22"/>
      <c r="W523" s="22"/>
      <c r="X523" s="22"/>
      <c r="Y523" s="22"/>
      <c r="Z523" s="22"/>
    </row>
    <row r="524" spans="1:26" ht="16.149999999999999" customHeight="1" x14ac:dyDescent="0.25">
      <c r="A524" s="22"/>
      <c r="B524" s="22"/>
      <c r="C524" s="22"/>
      <c r="D524" s="22"/>
      <c r="E524" s="22"/>
      <c r="F524" s="22"/>
      <c r="G524" s="22"/>
      <c r="H524" s="22"/>
      <c r="I524" s="22"/>
      <c r="J524" s="22"/>
      <c r="K524" s="22"/>
      <c r="L524" s="22"/>
      <c r="M524" s="22"/>
      <c r="N524" s="22"/>
      <c r="O524" s="22"/>
      <c r="P524" s="22"/>
      <c r="Q524" s="22"/>
      <c r="R524" s="22"/>
      <c r="S524" s="22"/>
      <c r="T524" s="22"/>
      <c r="U524" s="22"/>
      <c r="V524" s="22"/>
      <c r="W524" s="22"/>
      <c r="X524" s="22"/>
      <c r="Y524" s="22"/>
      <c r="Z524" s="22"/>
    </row>
    <row r="525" spans="1:26" ht="16.149999999999999" customHeight="1" x14ac:dyDescent="0.25">
      <c r="A525" s="22"/>
      <c r="B525" s="22"/>
      <c r="C525" s="22"/>
      <c r="D525" s="22"/>
      <c r="E525" s="22"/>
      <c r="F525" s="22"/>
      <c r="G525" s="22"/>
      <c r="H525" s="22"/>
      <c r="I525" s="22"/>
      <c r="J525" s="22"/>
      <c r="K525" s="22"/>
      <c r="L525" s="22"/>
      <c r="M525" s="22"/>
      <c r="N525" s="22"/>
      <c r="O525" s="22"/>
      <c r="P525" s="22"/>
      <c r="Q525" s="22"/>
      <c r="R525" s="22"/>
      <c r="S525" s="22"/>
      <c r="T525" s="22"/>
      <c r="U525" s="22"/>
      <c r="V525" s="22"/>
      <c r="W525" s="22"/>
      <c r="X525" s="22"/>
      <c r="Y525" s="22"/>
      <c r="Z525" s="22"/>
    </row>
    <row r="526" spans="1:26" ht="16.149999999999999" customHeight="1" x14ac:dyDescent="0.25">
      <c r="A526" s="22"/>
      <c r="B526" s="22"/>
      <c r="C526" s="22"/>
      <c r="D526" s="22"/>
      <c r="E526" s="22"/>
      <c r="F526" s="22"/>
      <c r="G526" s="22"/>
      <c r="H526" s="22"/>
      <c r="I526" s="22"/>
      <c r="J526" s="22"/>
      <c r="K526" s="22"/>
      <c r="L526" s="22"/>
      <c r="M526" s="22"/>
      <c r="N526" s="22"/>
      <c r="O526" s="22"/>
      <c r="P526" s="22"/>
      <c r="Q526" s="22"/>
      <c r="R526" s="22"/>
      <c r="S526" s="22"/>
      <c r="T526" s="22"/>
      <c r="U526" s="22"/>
      <c r="V526" s="22"/>
      <c r="W526" s="22"/>
      <c r="X526" s="22"/>
      <c r="Y526" s="22"/>
      <c r="Z526" s="22"/>
    </row>
    <row r="527" spans="1:26" ht="16.149999999999999" customHeight="1" x14ac:dyDescent="0.25">
      <c r="A527" s="22"/>
      <c r="B527" s="22"/>
      <c r="C527" s="22"/>
      <c r="D527" s="22"/>
      <c r="E527" s="22"/>
      <c r="F527" s="22"/>
      <c r="G527" s="22"/>
      <c r="H527" s="22"/>
      <c r="I527" s="22"/>
      <c r="J527" s="22"/>
      <c r="K527" s="22"/>
      <c r="L527" s="22"/>
      <c r="M527" s="22"/>
      <c r="N527" s="22"/>
      <c r="O527" s="22"/>
      <c r="P527" s="22"/>
      <c r="Q527" s="22"/>
      <c r="R527" s="22"/>
      <c r="S527" s="22"/>
      <c r="T527" s="22"/>
      <c r="U527" s="22"/>
      <c r="V527" s="22"/>
      <c r="W527" s="22"/>
      <c r="X527" s="22"/>
      <c r="Y527" s="22"/>
      <c r="Z527" s="22"/>
    </row>
    <row r="528" spans="1:26" ht="16.149999999999999" customHeight="1" x14ac:dyDescent="0.25">
      <c r="A528" s="22"/>
      <c r="B528" s="22"/>
      <c r="C528" s="22"/>
      <c r="D528" s="22"/>
      <c r="E528" s="22"/>
      <c r="F528" s="22"/>
      <c r="G528" s="22"/>
      <c r="H528" s="22"/>
      <c r="I528" s="22"/>
      <c r="J528" s="22"/>
      <c r="K528" s="22"/>
      <c r="L528" s="22"/>
      <c r="M528" s="22"/>
      <c r="N528" s="22"/>
      <c r="O528" s="22"/>
      <c r="P528" s="22"/>
      <c r="Q528" s="22"/>
      <c r="R528" s="22"/>
      <c r="S528" s="22"/>
      <c r="T528" s="22"/>
      <c r="U528" s="22"/>
      <c r="V528" s="22"/>
      <c r="W528" s="22"/>
      <c r="X528" s="22"/>
      <c r="Y528" s="22"/>
      <c r="Z528" s="22"/>
    </row>
    <row r="529" spans="1:26" ht="16.149999999999999" customHeight="1" x14ac:dyDescent="0.25">
      <c r="A529" s="22"/>
      <c r="B529" s="22"/>
      <c r="C529" s="22"/>
      <c r="D529" s="22"/>
      <c r="E529" s="22"/>
      <c r="F529" s="22"/>
      <c r="G529" s="22"/>
      <c r="H529" s="22"/>
      <c r="I529" s="22"/>
      <c r="J529" s="22"/>
      <c r="K529" s="22"/>
      <c r="L529" s="22"/>
      <c r="M529" s="22"/>
      <c r="N529" s="22"/>
      <c r="O529" s="22"/>
      <c r="P529" s="22"/>
      <c r="Q529" s="22"/>
      <c r="R529" s="22"/>
      <c r="S529" s="22"/>
      <c r="T529" s="22"/>
      <c r="U529" s="22"/>
      <c r="V529" s="22"/>
      <c r="W529" s="22"/>
      <c r="X529" s="22"/>
      <c r="Y529" s="22"/>
      <c r="Z529" s="22"/>
    </row>
    <row r="530" spans="1:26" ht="16.149999999999999" customHeight="1" x14ac:dyDescent="0.25">
      <c r="A530" s="22"/>
      <c r="B530" s="22"/>
      <c r="C530" s="22"/>
      <c r="D530" s="22"/>
      <c r="E530" s="22"/>
      <c r="F530" s="22"/>
      <c r="G530" s="22"/>
      <c r="H530" s="22"/>
      <c r="I530" s="22"/>
      <c r="J530" s="22"/>
      <c r="K530" s="22"/>
      <c r="L530" s="22"/>
      <c r="M530" s="22"/>
      <c r="N530" s="22"/>
      <c r="O530" s="22"/>
      <c r="P530" s="22"/>
      <c r="Q530" s="22"/>
      <c r="R530" s="22"/>
      <c r="S530" s="22"/>
      <c r="T530" s="22"/>
      <c r="U530" s="22"/>
      <c r="V530" s="22"/>
      <c r="W530" s="22"/>
      <c r="X530" s="22"/>
      <c r="Y530" s="22"/>
      <c r="Z530" s="22"/>
    </row>
    <row r="531" spans="1:26" ht="16.149999999999999" customHeight="1" x14ac:dyDescent="0.25">
      <c r="A531" s="22"/>
      <c r="B531" s="22"/>
      <c r="C531" s="22"/>
      <c r="D531" s="22"/>
      <c r="E531" s="22"/>
      <c r="F531" s="22"/>
      <c r="G531" s="22"/>
      <c r="H531" s="22"/>
      <c r="I531" s="22"/>
      <c r="J531" s="22"/>
      <c r="K531" s="22"/>
      <c r="L531" s="22"/>
      <c r="M531" s="22"/>
      <c r="N531" s="22"/>
      <c r="O531" s="22"/>
      <c r="P531" s="22"/>
      <c r="Q531" s="22"/>
      <c r="R531" s="22"/>
      <c r="S531" s="22"/>
      <c r="T531" s="22"/>
      <c r="U531" s="22"/>
      <c r="V531" s="22"/>
      <c r="W531" s="22"/>
      <c r="X531" s="22"/>
      <c r="Y531" s="22"/>
      <c r="Z531" s="22"/>
    </row>
    <row r="532" spans="1:26" ht="16.149999999999999" customHeight="1" x14ac:dyDescent="0.25">
      <c r="A532" s="22"/>
      <c r="B532" s="22"/>
      <c r="C532" s="22"/>
      <c r="D532" s="22"/>
      <c r="E532" s="22"/>
      <c r="F532" s="22"/>
      <c r="G532" s="22"/>
      <c r="H532" s="22"/>
      <c r="I532" s="22"/>
      <c r="J532" s="22"/>
      <c r="K532" s="22"/>
      <c r="L532" s="22"/>
      <c r="M532" s="22"/>
      <c r="N532" s="22"/>
      <c r="O532" s="22"/>
      <c r="P532" s="22"/>
      <c r="Q532" s="22"/>
      <c r="R532" s="22"/>
      <c r="S532" s="22"/>
      <c r="T532" s="22"/>
      <c r="U532" s="22"/>
      <c r="V532" s="22"/>
      <c r="W532" s="22"/>
      <c r="X532" s="22"/>
      <c r="Y532" s="22"/>
      <c r="Z532" s="22"/>
    </row>
    <row r="533" spans="1:26" ht="16.149999999999999" customHeight="1" x14ac:dyDescent="0.25">
      <c r="A533" s="22"/>
      <c r="B533" s="22"/>
      <c r="C533" s="22"/>
      <c r="D533" s="22"/>
      <c r="E533" s="22"/>
      <c r="F533" s="22"/>
      <c r="G533" s="22"/>
      <c r="H533" s="22"/>
      <c r="I533" s="22"/>
      <c r="J533" s="22"/>
      <c r="K533" s="22"/>
      <c r="L533" s="22"/>
      <c r="M533" s="22"/>
      <c r="N533" s="22"/>
      <c r="O533" s="22"/>
      <c r="P533" s="22"/>
      <c r="Q533" s="22"/>
      <c r="R533" s="22"/>
      <c r="S533" s="22"/>
      <c r="T533" s="22"/>
      <c r="U533" s="22"/>
      <c r="V533" s="22"/>
      <c r="W533" s="22"/>
      <c r="X533" s="22"/>
      <c r="Y533" s="22"/>
      <c r="Z533" s="22"/>
    </row>
    <row r="534" spans="1:26" ht="16.149999999999999" customHeight="1" x14ac:dyDescent="0.25">
      <c r="A534" s="22"/>
      <c r="B534" s="22"/>
      <c r="C534" s="22"/>
      <c r="D534" s="22"/>
      <c r="E534" s="22"/>
      <c r="F534" s="22"/>
      <c r="G534" s="22"/>
      <c r="H534" s="22"/>
      <c r="I534" s="22"/>
      <c r="J534" s="22"/>
      <c r="K534" s="22"/>
      <c r="L534" s="22"/>
      <c r="M534" s="22"/>
      <c r="N534" s="22"/>
      <c r="O534" s="22"/>
      <c r="P534" s="22"/>
      <c r="Q534" s="22"/>
      <c r="R534" s="22"/>
      <c r="S534" s="22"/>
      <c r="T534" s="22"/>
      <c r="U534" s="22"/>
      <c r="V534" s="22"/>
      <c r="W534" s="22"/>
      <c r="X534" s="22"/>
      <c r="Y534" s="22"/>
      <c r="Z534" s="22"/>
    </row>
    <row r="535" spans="1:26" ht="16.149999999999999" customHeight="1" x14ac:dyDescent="0.25">
      <c r="A535" s="22"/>
      <c r="B535" s="22"/>
      <c r="C535" s="22"/>
      <c r="D535" s="22"/>
      <c r="E535" s="22"/>
      <c r="F535" s="22"/>
      <c r="G535" s="22"/>
      <c r="H535" s="22"/>
      <c r="I535" s="22"/>
      <c r="J535" s="22"/>
      <c r="K535" s="22"/>
      <c r="L535" s="22"/>
      <c r="M535" s="22"/>
      <c r="N535" s="22"/>
      <c r="O535" s="22"/>
      <c r="P535" s="22"/>
      <c r="Q535" s="22"/>
      <c r="R535" s="22"/>
      <c r="S535" s="22"/>
      <c r="T535" s="22"/>
      <c r="U535" s="22"/>
      <c r="V535" s="22"/>
      <c r="W535" s="22"/>
      <c r="X535" s="22"/>
      <c r="Y535" s="22"/>
      <c r="Z535" s="22"/>
    </row>
    <row r="536" spans="1:26" ht="16.149999999999999" customHeight="1" x14ac:dyDescent="0.25">
      <c r="A536" s="22"/>
      <c r="B536" s="22"/>
      <c r="C536" s="22"/>
      <c r="D536" s="22"/>
      <c r="E536" s="22"/>
      <c r="F536" s="22"/>
      <c r="G536" s="22"/>
      <c r="H536" s="22"/>
      <c r="I536" s="22"/>
      <c r="J536" s="22"/>
      <c r="K536" s="22"/>
      <c r="L536" s="22"/>
      <c r="M536" s="22"/>
      <c r="N536" s="22"/>
      <c r="O536" s="22"/>
      <c r="P536" s="22"/>
      <c r="Q536" s="22"/>
      <c r="R536" s="22"/>
      <c r="S536" s="22"/>
      <c r="T536" s="22"/>
      <c r="U536" s="22"/>
      <c r="V536" s="22"/>
      <c r="W536" s="22"/>
      <c r="X536" s="22"/>
      <c r="Y536" s="22"/>
      <c r="Z536" s="22"/>
    </row>
    <row r="537" spans="1:26" ht="16.149999999999999" customHeight="1" x14ac:dyDescent="0.25">
      <c r="A537" s="22"/>
      <c r="B537" s="22"/>
      <c r="C537" s="22"/>
      <c r="D537" s="22"/>
      <c r="E537" s="22"/>
      <c r="F537" s="22"/>
      <c r="G537" s="22"/>
      <c r="H537" s="22"/>
      <c r="I537" s="22"/>
      <c r="J537" s="22"/>
      <c r="K537" s="22"/>
      <c r="L537" s="22"/>
      <c r="M537" s="22"/>
      <c r="N537" s="22"/>
      <c r="O537" s="22"/>
      <c r="P537" s="22"/>
      <c r="Q537" s="22"/>
      <c r="R537" s="22"/>
      <c r="S537" s="22"/>
      <c r="T537" s="22"/>
      <c r="U537" s="22"/>
      <c r="V537" s="22"/>
      <c r="W537" s="22"/>
      <c r="X537" s="22"/>
      <c r="Y537" s="22"/>
      <c r="Z537" s="22"/>
    </row>
    <row r="538" spans="1:26" ht="16.149999999999999" customHeight="1" x14ac:dyDescent="0.25">
      <c r="A538" s="22"/>
      <c r="B538" s="22"/>
      <c r="C538" s="22"/>
      <c r="D538" s="22"/>
      <c r="E538" s="22"/>
      <c r="F538" s="22"/>
      <c r="G538" s="22"/>
      <c r="H538" s="22"/>
      <c r="I538" s="22"/>
      <c r="J538" s="22"/>
      <c r="K538" s="22"/>
      <c r="L538" s="22"/>
      <c r="M538" s="22"/>
      <c r="N538" s="22"/>
      <c r="O538" s="22"/>
      <c r="P538" s="22"/>
      <c r="Q538" s="22"/>
      <c r="R538" s="22"/>
      <c r="S538" s="22"/>
      <c r="T538" s="22"/>
      <c r="U538" s="22"/>
      <c r="V538" s="22"/>
      <c r="W538" s="22"/>
      <c r="X538" s="22"/>
      <c r="Y538" s="22"/>
      <c r="Z538" s="22"/>
    </row>
    <row r="539" spans="1:26" ht="16.149999999999999" customHeight="1" x14ac:dyDescent="0.25">
      <c r="A539" s="22"/>
      <c r="B539" s="22"/>
      <c r="C539" s="22"/>
      <c r="D539" s="22"/>
      <c r="E539" s="22"/>
      <c r="F539" s="22"/>
      <c r="G539" s="22"/>
      <c r="H539" s="22"/>
      <c r="I539" s="22"/>
      <c r="J539" s="22"/>
      <c r="K539" s="22"/>
      <c r="L539" s="22"/>
      <c r="M539" s="22"/>
      <c r="N539" s="22"/>
      <c r="O539" s="22"/>
      <c r="P539" s="22"/>
      <c r="Q539" s="22"/>
      <c r="R539" s="22"/>
      <c r="S539" s="22"/>
      <c r="T539" s="22"/>
      <c r="U539" s="22"/>
      <c r="V539" s="22"/>
      <c r="W539" s="22"/>
      <c r="X539" s="22"/>
      <c r="Y539" s="22"/>
      <c r="Z539" s="22"/>
    </row>
    <row r="540" spans="1:26" ht="16.149999999999999" customHeight="1" x14ac:dyDescent="0.25">
      <c r="A540" s="22"/>
      <c r="B540" s="22"/>
      <c r="C540" s="22"/>
      <c r="D540" s="22"/>
      <c r="E540" s="22"/>
      <c r="F540" s="22"/>
      <c r="G540" s="22"/>
      <c r="H540" s="22"/>
      <c r="I540" s="22"/>
      <c r="J540" s="22"/>
      <c r="K540" s="22"/>
      <c r="L540" s="22"/>
      <c r="M540" s="22"/>
      <c r="N540" s="22"/>
      <c r="O540" s="22"/>
      <c r="P540" s="22"/>
      <c r="Q540" s="22"/>
      <c r="R540" s="22"/>
      <c r="S540" s="22"/>
      <c r="T540" s="22"/>
      <c r="U540" s="22"/>
      <c r="V540" s="22"/>
      <c r="W540" s="22"/>
      <c r="X540" s="22"/>
      <c r="Y540" s="22"/>
      <c r="Z540" s="22"/>
    </row>
    <row r="541" spans="1:26" ht="16.149999999999999" customHeight="1" x14ac:dyDescent="0.25">
      <c r="A541" s="22"/>
      <c r="B541" s="22"/>
      <c r="C541" s="22"/>
      <c r="D541" s="22"/>
      <c r="E541" s="22"/>
      <c r="F541" s="22"/>
      <c r="G541" s="22"/>
      <c r="H541" s="22"/>
      <c r="I541" s="22"/>
      <c r="J541" s="22"/>
      <c r="K541" s="22"/>
      <c r="L541" s="22"/>
      <c r="M541" s="22"/>
      <c r="N541" s="22"/>
      <c r="O541" s="22"/>
      <c r="P541" s="22"/>
      <c r="Q541" s="22"/>
      <c r="R541" s="22"/>
      <c r="S541" s="22"/>
      <c r="T541" s="22"/>
      <c r="U541" s="22"/>
      <c r="V541" s="22"/>
      <c r="W541" s="22"/>
      <c r="X541" s="22"/>
      <c r="Y541" s="22"/>
      <c r="Z541" s="22"/>
    </row>
    <row r="542" spans="1:26" ht="16.149999999999999" customHeight="1" x14ac:dyDescent="0.25">
      <c r="A542" s="22"/>
      <c r="B542" s="22"/>
      <c r="C542" s="22"/>
      <c r="D542" s="22"/>
      <c r="E542" s="22"/>
      <c r="F542" s="22"/>
      <c r="G542" s="22"/>
      <c r="H542" s="22"/>
      <c r="I542" s="22"/>
      <c r="J542" s="22"/>
      <c r="K542" s="22"/>
      <c r="L542" s="22"/>
      <c r="M542" s="22"/>
      <c r="N542" s="22"/>
      <c r="O542" s="22"/>
      <c r="P542" s="22"/>
      <c r="Q542" s="22"/>
      <c r="R542" s="22"/>
      <c r="S542" s="22"/>
      <c r="T542" s="22"/>
      <c r="U542" s="22"/>
      <c r="V542" s="22"/>
      <c r="W542" s="22"/>
      <c r="X542" s="22"/>
      <c r="Y542" s="22"/>
      <c r="Z542" s="22"/>
    </row>
    <row r="543" spans="1:26" ht="16.149999999999999" customHeight="1" x14ac:dyDescent="0.25">
      <c r="A543" s="22"/>
      <c r="B543" s="22"/>
      <c r="C543" s="22"/>
      <c r="D543" s="22"/>
      <c r="E543" s="22"/>
      <c r="F543" s="22"/>
      <c r="G543" s="22"/>
      <c r="H543" s="22"/>
      <c r="I543" s="22"/>
      <c r="J543" s="22"/>
      <c r="K543" s="22"/>
      <c r="L543" s="22"/>
      <c r="M543" s="22"/>
      <c r="N543" s="22"/>
      <c r="O543" s="22"/>
      <c r="P543" s="22"/>
      <c r="Q543" s="22"/>
      <c r="R543" s="22"/>
      <c r="S543" s="22"/>
      <c r="T543" s="22"/>
      <c r="U543" s="22"/>
      <c r="V543" s="22"/>
      <c r="W543" s="22"/>
      <c r="X543" s="22"/>
      <c r="Y543" s="22"/>
      <c r="Z543" s="22"/>
    </row>
    <row r="544" spans="1:26" ht="16.149999999999999" customHeight="1" x14ac:dyDescent="0.25">
      <c r="A544" s="22"/>
      <c r="B544" s="22"/>
      <c r="C544" s="22"/>
      <c r="D544" s="22"/>
      <c r="E544" s="22"/>
      <c r="F544" s="22"/>
      <c r="G544" s="22"/>
      <c r="H544" s="22"/>
      <c r="I544" s="22"/>
      <c r="J544" s="22"/>
      <c r="K544" s="22"/>
      <c r="L544" s="22"/>
      <c r="M544" s="22"/>
      <c r="N544" s="22"/>
      <c r="O544" s="22"/>
      <c r="P544" s="22"/>
      <c r="Q544" s="22"/>
      <c r="R544" s="22"/>
      <c r="S544" s="22"/>
      <c r="T544" s="22"/>
      <c r="U544" s="22"/>
      <c r="V544" s="22"/>
      <c r="W544" s="22"/>
      <c r="X544" s="22"/>
      <c r="Y544" s="22"/>
      <c r="Z544" s="22"/>
    </row>
    <row r="545" spans="1:26" ht="16.149999999999999" customHeight="1" x14ac:dyDescent="0.25">
      <c r="A545" s="22"/>
      <c r="B545" s="22"/>
      <c r="C545" s="22"/>
      <c r="D545" s="22"/>
      <c r="E545" s="22"/>
      <c r="F545" s="22"/>
      <c r="G545" s="22"/>
      <c r="H545" s="22"/>
      <c r="I545" s="22"/>
      <c r="J545" s="22"/>
      <c r="K545" s="22"/>
      <c r="L545" s="22"/>
      <c r="M545" s="22"/>
      <c r="N545" s="22"/>
      <c r="O545" s="22"/>
      <c r="P545" s="22"/>
      <c r="Q545" s="22"/>
      <c r="R545" s="22"/>
      <c r="S545" s="22"/>
      <c r="T545" s="22"/>
      <c r="U545" s="22"/>
      <c r="V545" s="22"/>
      <c r="W545" s="22"/>
      <c r="X545" s="22"/>
      <c r="Y545" s="22"/>
      <c r="Z545" s="22"/>
    </row>
    <row r="546" spans="1:26" ht="16.149999999999999" customHeight="1" x14ac:dyDescent="0.25">
      <c r="A546" s="22"/>
      <c r="B546" s="22"/>
      <c r="C546" s="22"/>
      <c r="D546" s="22"/>
      <c r="E546" s="22"/>
      <c r="F546" s="22"/>
      <c r="G546" s="22"/>
      <c r="H546" s="22"/>
      <c r="I546" s="22"/>
      <c r="J546" s="22"/>
      <c r="K546" s="22"/>
      <c r="L546" s="22"/>
      <c r="M546" s="22"/>
      <c r="N546" s="22"/>
      <c r="O546" s="22"/>
      <c r="P546" s="22"/>
      <c r="Q546" s="22"/>
      <c r="R546" s="22"/>
      <c r="S546" s="22"/>
      <c r="T546" s="22"/>
      <c r="U546" s="22"/>
      <c r="V546" s="22"/>
      <c r="W546" s="22"/>
      <c r="X546" s="22"/>
      <c r="Y546" s="22"/>
      <c r="Z546" s="22"/>
    </row>
    <row r="547" spans="1:26" ht="16.149999999999999" customHeight="1" x14ac:dyDescent="0.25">
      <c r="A547" s="22"/>
      <c r="B547" s="22"/>
      <c r="C547" s="22"/>
      <c r="D547" s="22"/>
      <c r="E547" s="22"/>
      <c r="F547" s="22"/>
      <c r="G547" s="22"/>
      <c r="H547" s="22"/>
      <c r="I547" s="22"/>
      <c r="J547" s="22"/>
      <c r="K547" s="22"/>
      <c r="L547" s="22"/>
      <c r="M547" s="22"/>
      <c r="N547" s="22"/>
      <c r="O547" s="22"/>
      <c r="P547" s="22"/>
      <c r="Q547" s="22"/>
      <c r="R547" s="22"/>
      <c r="S547" s="22"/>
      <c r="T547" s="22"/>
      <c r="U547" s="22"/>
      <c r="V547" s="22"/>
      <c r="W547" s="22"/>
      <c r="X547" s="22"/>
      <c r="Y547" s="22"/>
      <c r="Z547" s="22"/>
    </row>
    <row r="548" spans="1:26" ht="16.149999999999999" customHeight="1" x14ac:dyDescent="0.25">
      <c r="A548" s="22"/>
      <c r="B548" s="22"/>
      <c r="C548" s="22"/>
      <c r="D548" s="22"/>
      <c r="E548" s="22"/>
      <c r="F548" s="22"/>
      <c r="G548" s="22"/>
      <c r="H548" s="22"/>
      <c r="I548" s="22"/>
      <c r="J548" s="22"/>
      <c r="K548" s="22"/>
      <c r="L548" s="22"/>
      <c r="M548" s="22"/>
      <c r="N548" s="22"/>
      <c r="O548" s="22"/>
      <c r="P548" s="22"/>
      <c r="Q548" s="22"/>
      <c r="R548" s="22"/>
      <c r="S548" s="22"/>
      <c r="T548" s="22"/>
      <c r="U548" s="22"/>
      <c r="V548" s="22"/>
      <c r="W548" s="22"/>
      <c r="X548" s="22"/>
      <c r="Y548" s="22"/>
      <c r="Z548" s="22"/>
    </row>
    <row r="549" spans="1:26" ht="16.149999999999999" customHeight="1" x14ac:dyDescent="0.25">
      <c r="A549" s="22"/>
      <c r="B549" s="22"/>
      <c r="C549" s="22"/>
      <c r="D549" s="22"/>
      <c r="E549" s="22"/>
      <c r="F549" s="22"/>
      <c r="G549" s="22"/>
      <c r="H549" s="22"/>
      <c r="I549" s="22"/>
      <c r="J549" s="22"/>
      <c r="K549" s="22"/>
      <c r="L549" s="22"/>
      <c r="M549" s="22"/>
      <c r="N549" s="22"/>
      <c r="O549" s="22"/>
      <c r="P549" s="22"/>
      <c r="Q549" s="22"/>
      <c r="R549" s="22"/>
      <c r="S549" s="22"/>
      <c r="T549" s="22"/>
      <c r="U549" s="22"/>
      <c r="V549" s="22"/>
      <c r="W549" s="22"/>
      <c r="X549" s="22"/>
      <c r="Y549" s="22"/>
      <c r="Z549" s="22"/>
    </row>
    <row r="550" spans="1:26" ht="16.149999999999999" customHeight="1" x14ac:dyDescent="0.25">
      <c r="A550" s="22"/>
      <c r="B550" s="22"/>
      <c r="C550" s="22"/>
      <c r="D550" s="22"/>
      <c r="E550" s="22"/>
      <c r="F550" s="22"/>
      <c r="G550" s="22"/>
      <c r="H550" s="22"/>
      <c r="I550" s="22"/>
      <c r="J550" s="22"/>
      <c r="K550" s="22"/>
      <c r="L550" s="22"/>
      <c r="M550" s="22"/>
      <c r="N550" s="22"/>
      <c r="O550" s="22"/>
      <c r="P550" s="22"/>
      <c r="Q550" s="22"/>
      <c r="R550" s="22"/>
      <c r="S550" s="22"/>
      <c r="T550" s="22"/>
      <c r="U550" s="22"/>
      <c r="V550" s="22"/>
      <c r="W550" s="22"/>
      <c r="X550" s="22"/>
      <c r="Y550" s="22"/>
      <c r="Z550" s="22"/>
    </row>
    <row r="551" spans="1:26" ht="16.149999999999999" customHeight="1" x14ac:dyDescent="0.25">
      <c r="A551" s="22"/>
      <c r="B551" s="22"/>
      <c r="C551" s="22"/>
      <c r="D551" s="22"/>
      <c r="E551" s="22"/>
      <c r="F551" s="22"/>
      <c r="G551" s="22"/>
      <c r="H551" s="22"/>
      <c r="I551" s="22"/>
      <c r="J551" s="22"/>
      <c r="K551" s="22"/>
      <c r="L551" s="22"/>
      <c r="M551" s="22"/>
      <c r="N551" s="22"/>
      <c r="O551" s="22"/>
      <c r="P551" s="22"/>
      <c r="Q551" s="22"/>
      <c r="R551" s="22"/>
      <c r="S551" s="22"/>
      <c r="T551" s="22"/>
      <c r="U551" s="22"/>
      <c r="V551" s="22"/>
      <c r="W551" s="22"/>
      <c r="X551" s="22"/>
      <c r="Y551" s="22"/>
      <c r="Z551" s="22"/>
    </row>
    <row r="552" spans="1:26" ht="16.149999999999999" customHeight="1" x14ac:dyDescent="0.25">
      <c r="A552" s="22"/>
      <c r="B552" s="22"/>
      <c r="C552" s="22"/>
      <c r="D552" s="22"/>
      <c r="E552" s="22"/>
      <c r="F552" s="22"/>
      <c r="G552" s="22"/>
      <c r="H552" s="22"/>
      <c r="I552" s="22"/>
      <c r="J552" s="22"/>
      <c r="K552" s="22"/>
      <c r="L552" s="22"/>
      <c r="M552" s="22"/>
      <c r="N552" s="22"/>
      <c r="O552" s="22"/>
      <c r="P552" s="22"/>
      <c r="Q552" s="22"/>
      <c r="R552" s="22"/>
      <c r="S552" s="22"/>
      <c r="T552" s="22"/>
      <c r="U552" s="22"/>
      <c r="V552" s="22"/>
      <c r="W552" s="22"/>
      <c r="X552" s="22"/>
      <c r="Y552" s="22"/>
      <c r="Z552" s="22"/>
    </row>
    <row r="553" spans="1:26" ht="16.149999999999999" customHeight="1" x14ac:dyDescent="0.25">
      <c r="A553" s="22"/>
      <c r="B553" s="22"/>
      <c r="C553" s="22"/>
      <c r="D553" s="22"/>
      <c r="E553" s="22"/>
      <c r="F553" s="22"/>
      <c r="G553" s="22"/>
      <c r="H553" s="22"/>
      <c r="I553" s="22"/>
      <c r="J553" s="22"/>
      <c r="K553" s="22"/>
      <c r="L553" s="22"/>
      <c r="M553" s="22"/>
      <c r="N553" s="22"/>
      <c r="O553" s="22"/>
      <c r="P553" s="22"/>
      <c r="Q553" s="22"/>
      <c r="R553" s="22"/>
      <c r="S553" s="22"/>
      <c r="T553" s="22"/>
      <c r="U553" s="22"/>
      <c r="V553" s="22"/>
      <c r="W553" s="22"/>
      <c r="X553" s="22"/>
      <c r="Y553" s="22"/>
      <c r="Z553" s="22"/>
    </row>
    <row r="554" spans="1:26" ht="16.149999999999999" customHeight="1" x14ac:dyDescent="0.25">
      <c r="A554" s="22"/>
      <c r="B554" s="22"/>
      <c r="C554" s="22"/>
      <c r="D554" s="22"/>
      <c r="E554" s="22"/>
      <c r="F554" s="22"/>
      <c r="G554" s="22"/>
      <c r="H554" s="22"/>
      <c r="I554" s="22"/>
      <c r="J554" s="22"/>
      <c r="K554" s="22"/>
      <c r="L554" s="22"/>
      <c r="M554" s="22"/>
      <c r="N554" s="22"/>
      <c r="O554" s="22"/>
      <c r="P554" s="22"/>
      <c r="Q554" s="22"/>
      <c r="R554" s="22"/>
      <c r="S554" s="22"/>
      <c r="T554" s="22"/>
      <c r="U554" s="22"/>
      <c r="V554" s="22"/>
      <c r="W554" s="22"/>
      <c r="X554" s="22"/>
      <c r="Y554" s="22"/>
      <c r="Z554" s="22"/>
    </row>
    <row r="555" spans="1:26" ht="16.149999999999999" customHeight="1" x14ac:dyDescent="0.25">
      <c r="A555" s="22"/>
      <c r="B555" s="22"/>
      <c r="C555" s="22"/>
      <c r="D555" s="22"/>
      <c r="E555" s="22"/>
      <c r="F555" s="22"/>
      <c r="G555" s="22"/>
      <c r="H555" s="22"/>
      <c r="I555" s="22"/>
      <c r="J555" s="22"/>
      <c r="K555" s="22"/>
      <c r="L555" s="22"/>
      <c r="M555" s="22"/>
      <c r="N555" s="22"/>
      <c r="O555" s="22"/>
      <c r="P555" s="22"/>
      <c r="Q555" s="22"/>
      <c r="R555" s="22"/>
      <c r="S555" s="22"/>
      <c r="T555" s="22"/>
      <c r="U555" s="22"/>
      <c r="V555" s="22"/>
      <c r="W555" s="22"/>
      <c r="X555" s="22"/>
      <c r="Y555" s="22"/>
      <c r="Z555" s="22"/>
    </row>
    <row r="556" spans="1:26" ht="16.149999999999999" customHeight="1" x14ac:dyDescent="0.25">
      <c r="A556" s="22"/>
      <c r="B556" s="22"/>
      <c r="C556" s="22"/>
      <c r="D556" s="22"/>
      <c r="E556" s="22"/>
      <c r="F556" s="22"/>
      <c r="G556" s="22"/>
      <c r="H556" s="22"/>
      <c r="I556" s="22"/>
      <c r="J556" s="22"/>
      <c r="K556" s="22"/>
      <c r="L556" s="22"/>
      <c r="M556" s="22"/>
      <c r="N556" s="22"/>
      <c r="O556" s="22"/>
      <c r="P556" s="22"/>
      <c r="Q556" s="22"/>
      <c r="R556" s="22"/>
      <c r="S556" s="22"/>
      <c r="T556" s="22"/>
      <c r="U556" s="22"/>
      <c r="V556" s="22"/>
      <c r="W556" s="22"/>
      <c r="X556" s="22"/>
      <c r="Y556" s="22"/>
      <c r="Z556" s="22"/>
    </row>
    <row r="557" spans="1:26" ht="16.149999999999999" customHeight="1" x14ac:dyDescent="0.25">
      <c r="A557" s="22"/>
      <c r="B557" s="22"/>
      <c r="C557" s="22"/>
      <c r="D557" s="22"/>
      <c r="E557" s="22"/>
      <c r="F557" s="22"/>
      <c r="G557" s="22"/>
      <c r="H557" s="22"/>
      <c r="I557" s="22"/>
      <c r="J557" s="22"/>
      <c r="K557" s="22"/>
      <c r="L557" s="22"/>
      <c r="M557" s="22"/>
      <c r="N557" s="22"/>
      <c r="O557" s="22"/>
      <c r="P557" s="22"/>
      <c r="Q557" s="22"/>
      <c r="R557" s="22"/>
      <c r="S557" s="22"/>
      <c r="T557" s="22"/>
      <c r="U557" s="22"/>
      <c r="V557" s="22"/>
      <c r="W557" s="22"/>
      <c r="X557" s="22"/>
      <c r="Y557" s="22"/>
      <c r="Z557" s="22"/>
    </row>
    <row r="558" spans="1:26" ht="16.149999999999999" customHeight="1" x14ac:dyDescent="0.25">
      <c r="A558" s="22"/>
      <c r="B558" s="22"/>
      <c r="C558" s="22"/>
      <c r="D558" s="22"/>
      <c r="E558" s="22"/>
      <c r="F558" s="22"/>
      <c r="G558" s="22"/>
      <c r="H558" s="22"/>
      <c r="I558" s="22"/>
      <c r="J558" s="22"/>
      <c r="K558" s="22"/>
      <c r="L558" s="22"/>
      <c r="M558" s="22"/>
      <c r="N558" s="22"/>
      <c r="O558" s="22"/>
      <c r="P558" s="22"/>
      <c r="Q558" s="22"/>
      <c r="R558" s="22"/>
      <c r="S558" s="22"/>
      <c r="T558" s="22"/>
      <c r="U558" s="22"/>
      <c r="V558" s="22"/>
      <c r="W558" s="22"/>
      <c r="X558" s="22"/>
      <c r="Y558" s="22"/>
      <c r="Z558" s="22"/>
    </row>
    <row r="559" spans="1:26" ht="16.149999999999999" customHeight="1" x14ac:dyDescent="0.25">
      <c r="A559" s="22"/>
      <c r="B559" s="22"/>
      <c r="C559" s="22"/>
      <c r="D559" s="22"/>
      <c r="E559" s="22"/>
      <c r="F559" s="22"/>
      <c r="G559" s="22"/>
      <c r="H559" s="22"/>
      <c r="I559" s="22"/>
      <c r="J559" s="22"/>
      <c r="K559" s="22"/>
      <c r="L559" s="22"/>
      <c r="M559" s="22"/>
      <c r="N559" s="22"/>
      <c r="O559" s="22"/>
      <c r="P559" s="22"/>
      <c r="Q559" s="22"/>
      <c r="R559" s="22"/>
      <c r="S559" s="22"/>
      <c r="T559" s="22"/>
      <c r="U559" s="22"/>
      <c r="V559" s="22"/>
      <c r="W559" s="22"/>
      <c r="X559" s="22"/>
      <c r="Y559" s="22"/>
      <c r="Z559" s="22"/>
    </row>
    <row r="560" spans="1:26" ht="16.149999999999999" customHeight="1" x14ac:dyDescent="0.25">
      <c r="A560" s="22"/>
      <c r="B560" s="22"/>
      <c r="C560" s="22"/>
      <c r="D560" s="22"/>
      <c r="E560" s="22"/>
      <c r="F560" s="22"/>
      <c r="G560" s="22"/>
      <c r="H560" s="22"/>
      <c r="I560" s="22"/>
      <c r="J560" s="22"/>
      <c r="K560" s="22"/>
      <c r="L560" s="22"/>
      <c r="M560" s="22"/>
      <c r="N560" s="22"/>
      <c r="O560" s="22"/>
      <c r="P560" s="22"/>
      <c r="Q560" s="22"/>
      <c r="R560" s="22"/>
      <c r="S560" s="22"/>
      <c r="T560" s="22"/>
      <c r="U560" s="22"/>
      <c r="V560" s="22"/>
      <c r="W560" s="22"/>
      <c r="X560" s="22"/>
      <c r="Y560" s="22"/>
      <c r="Z560" s="22"/>
    </row>
    <row r="561" spans="1:26" ht="16.149999999999999" customHeight="1" x14ac:dyDescent="0.25">
      <c r="A561" s="22"/>
      <c r="B561" s="22"/>
      <c r="C561" s="22"/>
      <c r="D561" s="22"/>
      <c r="E561" s="22"/>
      <c r="F561" s="22"/>
      <c r="G561" s="22"/>
      <c r="H561" s="22"/>
      <c r="I561" s="22"/>
      <c r="J561" s="22"/>
      <c r="K561" s="22"/>
      <c r="L561" s="22"/>
      <c r="M561" s="22"/>
      <c r="N561" s="22"/>
      <c r="O561" s="22"/>
      <c r="P561" s="22"/>
      <c r="Q561" s="22"/>
      <c r="R561" s="22"/>
      <c r="S561" s="22"/>
      <c r="T561" s="22"/>
      <c r="U561" s="22"/>
      <c r="V561" s="22"/>
      <c r="W561" s="22"/>
      <c r="X561" s="22"/>
      <c r="Y561" s="22"/>
      <c r="Z561" s="22"/>
    </row>
    <row r="562" spans="1:26" ht="16.149999999999999" customHeight="1" x14ac:dyDescent="0.25">
      <c r="A562" s="22"/>
      <c r="B562" s="22"/>
      <c r="C562" s="22"/>
      <c r="D562" s="22"/>
      <c r="E562" s="22"/>
      <c r="F562" s="22"/>
      <c r="G562" s="22"/>
      <c r="H562" s="22"/>
      <c r="I562" s="22"/>
      <c r="J562" s="22"/>
      <c r="K562" s="22"/>
      <c r="L562" s="22"/>
      <c r="M562" s="22"/>
      <c r="N562" s="22"/>
      <c r="O562" s="22"/>
      <c r="P562" s="22"/>
      <c r="Q562" s="22"/>
      <c r="R562" s="22"/>
      <c r="S562" s="22"/>
      <c r="T562" s="22"/>
      <c r="U562" s="22"/>
      <c r="V562" s="22"/>
      <c r="W562" s="22"/>
      <c r="X562" s="22"/>
      <c r="Y562" s="22"/>
      <c r="Z562" s="22"/>
    </row>
    <row r="563" spans="1:26" ht="16.149999999999999" customHeight="1" x14ac:dyDescent="0.25">
      <c r="A563" s="22"/>
      <c r="B563" s="22"/>
      <c r="C563" s="22"/>
      <c r="D563" s="22"/>
      <c r="E563" s="22"/>
      <c r="F563" s="22"/>
      <c r="G563" s="22"/>
      <c r="H563" s="22"/>
      <c r="I563" s="22"/>
      <c r="J563" s="22"/>
      <c r="K563" s="22"/>
      <c r="L563" s="22"/>
      <c r="M563" s="22"/>
      <c r="N563" s="22"/>
      <c r="O563" s="22"/>
      <c r="P563" s="22"/>
      <c r="Q563" s="22"/>
      <c r="R563" s="22"/>
      <c r="S563" s="22"/>
      <c r="T563" s="22"/>
      <c r="U563" s="22"/>
      <c r="V563" s="22"/>
      <c r="W563" s="22"/>
      <c r="X563" s="22"/>
      <c r="Y563" s="22"/>
      <c r="Z563" s="22"/>
    </row>
    <row r="564" spans="1:26" ht="16.149999999999999" customHeight="1" x14ac:dyDescent="0.25">
      <c r="A564" s="22"/>
      <c r="B564" s="22"/>
      <c r="C564" s="22"/>
      <c r="D564" s="22"/>
      <c r="E564" s="22"/>
      <c r="F564" s="22"/>
      <c r="G564" s="22"/>
      <c r="H564" s="22"/>
      <c r="I564" s="22"/>
      <c r="J564" s="22"/>
      <c r="K564" s="22"/>
      <c r="L564" s="22"/>
      <c r="M564" s="22"/>
      <c r="N564" s="22"/>
      <c r="O564" s="22"/>
      <c r="P564" s="22"/>
      <c r="Q564" s="22"/>
      <c r="R564" s="22"/>
      <c r="S564" s="22"/>
      <c r="T564" s="22"/>
      <c r="U564" s="22"/>
      <c r="V564" s="22"/>
      <c r="W564" s="22"/>
      <c r="X564" s="22"/>
      <c r="Y564" s="22"/>
      <c r="Z564" s="22"/>
    </row>
    <row r="565" spans="1:26" ht="16.149999999999999" customHeight="1" x14ac:dyDescent="0.25">
      <c r="A565" s="22"/>
      <c r="B565" s="22"/>
      <c r="C565" s="22"/>
      <c r="D565" s="22"/>
      <c r="E565" s="22"/>
      <c r="F565" s="22"/>
      <c r="G565" s="22"/>
      <c r="H565" s="22"/>
      <c r="I565" s="22"/>
      <c r="J565" s="22"/>
      <c r="K565" s="22"/>
      <c r="L565" s="22"/>
      <c r="M565" s="22"/>
      <c r="N565" s="22"/>
      <c r="O565" s="22"/>
      <c r="P565" s="22"/>
      <c r="Q565" s="22"/>
      <c r="R565" s="22"/>
      <c r="S565" s="22"/>
      <c r="T565" s="22"/>
      <c r="U565" s="22"/>
      <c r="V565" s="22"/>
      <c r="W565" s="22"/>
      <c r="X565" s="22"/>
      <c r="Y565" s="22"/>
      <c r="Z565" s="22"/>
    </row>
    <row r="566" spans="1:26" ht="16.149999999999999" customHeight="1" x14ac:dyDescent="0.25">
      <c r="A566" s="22"/>
      <c r="B566" s="22"/>
      <c r="C566" s="22"/>
      <c r="D566" s="22"/>
      <c r="E566" s="22"/>
      <c r="F566" s="22"/>
      <c r="G566" s="22"/>
      <c r="H566" s="22"/>
      <c r="I566" s="22"/>
      <c r="J566" s="22"/>
      <c r="K566" s="22"/>
      <c r="L566" s="22"/>
      <c r="M566" s="22"/>
      <c r="N566" s="22"/>
      <c r="O566" s="22"/>
      <c r="P566" s="22"/>
      <c r="Q566" s="22"/>
      <c r="R566" s="22"/>
      <c r="S566" s="22"/>
      <c r="T566" s="22"/>
      <c r="U566" s="22"/>
      <c r="V566" s="22"/>
      <c r="W566" s="22"/>
      <c r="X566" s="22"/>
      <c r="Y566" s="22"/>
      <c r="Z566" s="22"/>
    </row>
    <row r="567" spans="1:26" ht="16.149999999999999" customHeight="1" x14ac:dyDescent="0.25">
      <c r="A567" s="22"/>
      <c r="B567" s="22"/>
      <c r="C567" s="22"/>
      <c r="D567" s="22"/>
      <c r="E567" s="22"/>
      <c r="F567" s="22"/>
      <c r="G567" s="22"/>
      <c r="H567" s="22"/>
      <c r="I567" s="22"/>
      <c r="J567" s="22"/>
      <c r="K567" s="22"/>
      <c r="L567" s="22"/>
      <c r="M567" s="22"/>
      <c r="N567" s="22"/>
      <c r="O567" s="22"/>
      <c r="P567" s="22"/>
      <c r="Q567" s="22"/>
      <c r="R567" s="22"/>
      <c r="S567" s="22"/>
      <c r="T567" s="22"/>
      <c r="U567" s="22"/>
      <c r="V567" s="22"/>
      <c r="W567" s="22"/>
      <c r="X567" s="22"/>
      <c r="Y567" s="22"/>
      <c r="Z567" s="22"/>
    </row>
    <row r="568" spans="1:26" ht="16.149999999999999" customHeight="1" x14ac:dyDescent="0.25">
      <c r="A568" s="22"/>
      <c r="B568" s="22"/>
      <c r="C568" s="22"/>
      <c r="D568" s="22"/>
      <c r="E568" s="22"/>
      <c r="F568" s="22"/>
      <c r="G568" s="22"/>
      <c r="H568" s="22"/>
      <c r="I568" s="22"/>
      <c r="J568" s="22"/>
      <c r="K568" s="22"/>
      <c r="L568" s="22"/>
      <c r="M568" s="22"/>
      <c r="N568" s="22"/>
      <c r="O568" s="22"/>
      <c r="P568" s="22"/>
      <c r="Q568" s="22"/>
      <c r="R568" s="22"/>
      <c r="S568" s="22"/>
      <c r="T568" s="22"/>
      <c r="U568" s="22"/>
      <c r="V568" s="22"/>
      <c r="W568" s="22"/>
      <c r="X568" s="22"/>
      <c r="Y568" s="22"/>
      <c r="Z568" s="22"/>
    </row>
    <row r="569" spans="1:26" ht="16.149999999999999" customHeight="1" x14ac:dyDescent="0.25">
      <c r="A569" s="22"/>
      <c r="B569" s="22"/>
      <c r="C569" s="22"/>
      <c r="D569" s="22"/>
      <c r="E569" s="22"/>
      <c r="F569" s="22"/>
      <c r="G569" s="22"/>
      <c r="H569" s="22"/>
      <c r="I569" s="22"/>
      <c r="J569" s="22"/>
      <c r="K569" s="22"/>
      <c r="L569" s="22"/>
      <c r="M569" s="22"/>
      <c r="N569" s="22"/>
      <c r="O569" s="22"/>
      <c r="P569" s="22"/>
      <c r="Q569" s="22"/>
      <c r="R569" s="22"/>
      <c r="S569" s="22"/>
      <c r="T569" s="22"/>
      <c r="U569" s="22"/>
      <c r="V569" s="22"/>
      <c r="W569" s="22"/>
      <c r="X569" s="22"/>
      <c r="Y569" s="22"/>
      <c r="Z569" s="22"/>
    </row>
    <row r="570" spans="1:26" ht="16.149999999999999" customHeight="1" x14ac:dyDescent="0.25">
      <c r="A570" s="22"/>
      <c r="B570" s="22"/>
      <c r="C570" s="22"/>
      <c r="D570" s="22"/>
      <c r="E570" s="22"/>
      <c r="F570" s="22"/>
      <c r="G570" s="22"/>
      <c r="H570" s="22"/>
      <c r="I570" s="22"/>
      <c r="J570" s="22"/>
      <c r="K570" s="22"/>
      <c r="L570" s="22"/>
      <c r="M570" s="22"/>
      <c r="N570" s="22"/>
      <c r="O570" s="22"/>
      <c r="P570" s="22"/>
      <c r="Q570" s="22"/>
      <c r="R570" s="22"/>
      <c r="S570" s="22"/>
      <c r="T570" s="22"/>
      <c r="U570" s="22"/>
      <c r="V570" s="22"/>
      <c r="W570" s="22"/>
      <c r="X570" s="22"/>
      <c r="Y570" s="22"/>
      <c r="Z570" s="22"/>
    </row>
    <row r="571" spans="1:26" ht="16.149999999999999" customHeight="1" x14ac:dyDescent="0.25">
      <c r="A571" s="22"/>
      <c r="B571" s="22"/>
      <c r="C571" s="22"/>
      <c r="D571" s="22"/>
      <c r="E571" s="22"/>
      <c r="F571" s="22"/>
      <c r="G571" s="22"/>
      <c r="H571" s="22"/>
      <c r="I571" s="22"/>
      <c r="J571" s="22"/>
      <c r="K571" s="22"/>
      <c r="L571" s="22"/>
      <c r="M571" s="22"/>
      <c r="N571" s="22"/>
      <c r="O571" s="22"/>
      <c r="P571" s="22"/>
      <c r="Q571" s="22"/>
      <c r="R571" s="22"/>
      <c r="S571" s="22"/>
      <c r="T571" s="22"/>
      <c r="U571" s="22"/>
      <c r="V571" s="22"/>
      <c r="W571" s="22"/>
      <c r="X571" s="22"/>
      <c r="Y571" s="22"/>
      <c r="Z571" s="22"/>
    </row>
    <row r="572" spans="1:26" ht="16.149999999999999" customHeight="1" x14ac:dyDescent="0.25">
      <c r="A572" s="22"/>
      <c r="B572" s="22"/>
      <c r="C572" s="22"/>
      <c r="D572" s="22"/>
      <c r="E572" s="22"/>
      <c r="F572" s="22"/>
      <c r="G572" s="22"/>
      <c r="H572" s="22"/>
      <c r="I572" s="22"/>
      <c r="J572" s="22"/>
      <c r="K572" s="22"/>
      <c r="L572" s="22"/>
      <c r="M572" s="22"/>
      <c r="N572" s="22"/>
      <c r="O572" s="22"/>
      <c r="P572" s="22"/>
      <c r="Q572" s="22"/>
      <c r="R572" s="22"/>
      <c r="S572" s="22"/>
      <c r="T572" s="22"/>
      <c r="U572" s="22"/>
      <c r="V572" s="22"/>
      <c r="W572" s="22"/>
      <c r="X572" s="22"/>
      <c r="Y572" s="22"/>
      <c r="Z572" s="22"/>
    </row>
    <row r="573" spans="1:26" ht="16.149999999999999" customHeight="1" x14ac:dyDescent="0.25">
      <c r="A573" s="22"/>
      <c r="B573" s="22"/>
      <c r="C573" s="22"/>
      <c r="D573" s="22"/>
      <c r="E573" s="22"/>
      <c r="F573" s="22"/>
      <c r="G573" s="22"/>
      <c r="H573" s="22"/>
      <c r="I573" s="22"/>
      <c r="J573" s="22"/>
      <c r="K573" s="22"/>
      <c r="L573" s="22"/>
      <c r="M573" s="22"/>
      <c r="N573" s="22"/>
      <c r="O573" s="22"/>
      <c r="P573" s="22"/>
      <c r="Q573" s="22"/>
      <c r="R573" s="22"/>
      <c r="S573" s="22"/>
      <c r="T573" s="22"/>
      <c r="U573" s="22"/>
      <c r="V573" s="22"/>
      <c r="W573" s="22"/>
      <c r="X573" s="22"/>
      <c r="Y573" s="22"/>
      <c r="Z573" s="22"/>
    </row>
    <row r="574" spans="1:26" ht="16.149999999999999" customHeight="1" x14ac:dyDescent="0.25">
      <c r="A574" s="22"/>
      <c r="B574" s="22"/>
      <c r="C574" s="22"/>
      <c r="D574" s="22"/>
      <c r="E574" s="22"/>
      <c r="F574" s="22"/>
      <c r="G574" s="22"/>
      <c r="H574" s="22"/>
      <c r="I574" s="22"/>
      <c r="J574" s="22"/>
      <c r="K574" s="22"/>
      <c r="L574" s="22"/>
      <c r="M574" s="22"/>
      <c r="N574" s="22"/>
      <c r="O574" s="22"/>
      <c r="P574" s="22"/>
      <c r="Q574" s="22"/>
      <c r="R574" s="22"/>
      <c r="S574" s="22"/>
      <c r="T574" s="22"/>
      <c r="U574" s="22"/>
      <c r="V574" s="22"/>
      <c r="W574" s="22"/>
      <c r="X574" s="22"/>
      <c r="Y574" s="22"/>
      <c r="Z574" s="22"/>
    </row>
    <row r="575" spans="1:26" ht="16.149999999999999" customHeight="1" x14ac:dyDescent="0.25">
      <c r="A575" s="22"/>
      <c r="B575" s="22"/>
      <c r="C575" s="22"/>
      <c r="D575" s="22"/>
      <c r="E575" s="22"/>
      <c r="F575" s="22"/>
      <c r="G575" s="22"/>
      <c r="H575" s="22"/>
      <c r="I575" s="22"/>
      <c r="J575" s="22"/>
      <c r="K575" s="22"/>
      <c r="L575" s="22"/>
      <c r="M575" s="22"/>
      <c r="N575" s="22"/>
      <c r="O575" s="22"/>
      <c r="P575" s="22"/>
      <c r="Q575" s="22"/>
      <c r="R575" s="22"/>
      <c r="S575" s="22"/>
      <c r="T575" s="22"/>
      <c r="U575" s="22"/>
      <c r="V575" s="22"/>
      <c r="W575" s="22"/>
      <c r="X575" s="22"/>
      <c r="Y575" s="22"/>
      <c r="Z575" s="22"/>
    </row>
    <row r="576" spans="1:26" ht="16.149999999999999" customHeight="1" x14ac:dyDescent="0.25">
      <c r="A576" s="22"/>
      <c r="B576" s="22"/>
      <c r="C576" s="22"/>
      <c r="D576" s="22"/>
      <c r="E576" s="22"/>
      <c r="F576" s="22"/>
      <c r="G576" s="22"/>
      <c r="H576" s="22"/>
      <c r="I576" s="22"/>
      <c r="J576" s="22"/>
      <c r="K576" s="22"/>
      <c r="L576" s="22"/>
      <c r="M576" s="22"/>
      <c r="N576" s="22"/>
      <c r="O576" s="22"/>
      <c r="P576" s="22"/>
      <c r="Q576" s="22"/>
      <c r="R576" s="22"/>
      <c r="S576" s="22"/>
      <c r="T576" s="22"/>
      <c r="U576" s="22"/>
      <c r="V576" s="22"/>
      <c r="W576" s="22"/>
      <c r="X576" s="22"/>
      <c r="Y576" s="22"/>
      <c r="Z576" s="22"/>
    </row>
    <row r="577" spans="1:26" ht="16.149999999999999" customHeight="1" x14ac:dyDescent="0.25">
      <c r="A577" s="22"/>
      <c r="B577" s="22"/>
      <c r="C577" s="22"/>
      <c r="D577" s="22"/>
      <c r="E577" s="22"/>
      <c r="F577" s="22"/>
      <c r="G577" s="22"/>
      <c r="H577" s="22"/>
      <c r="I577" s="22"/>
      <c r="J577" s="22"/>
      <c r="K577" s="22"/>
      <c r="L577" s="22"/>
      <c r="M577" s="22"/>
      <c r="N577" s="22"/>
      <c r="O577" s="22"/>
      <c r="P577" s="22"/>
      <c r="Q577" s="22"/>
      <c r="R577" s="22"/>
      <c r="S577" s="22"/>
      <c r="T577" s="22"/>
      <c r="U577" s="22"/>
      <c r="V577" s="22"/>
      <c r="W577" s="22"/>
      <c r="X577" s="22"/>
      <c r="Y577" s="22"/>
      <c r="Z577" s="22"/>
    </row>
    <row r="578" spans="1:26" ht="16.149999999999999" customHeight="1" x14ac:dyDescent="0.25">
      <c r="A578" s="22"/>
      <c r="B578" s="22"/>
      <c r="C578" s="22"/>
      <c r="D578" s="22"/>
      <c r="E578" s="22"/>
      <c r="F578" s="22"/>
      <c r="G578" s="22"/>
      <c r="H578" s="22"/>
      <c r="I578" s="22"/>
      <c r="J578" s="22"/>
      <c r="K578" s="22"/>
      <c r="L578" s="22"/>
      <c r="M578" s="22"/>
      <c r="N578" s="22"/>
      <c r="O578" s="22"/>
      <c r="P578" s="22"/>
      <c r="Q578" s="22"/>
      <c r="R578" s="22"/>
      <c r="S578" s="22"/>
      <c r="T578" s="22"/>
      <c r="U578" s="22"/>
      <c r="V578" s="22"/>
      <c r="W578" s="22"/>
      <c r="X578" s="22"/>
      <c r="Y578" s="22"/>
      <c r="Z578" s="22"/>
    </row>
    <row r="579" spans="1:26" ht="16.149999999999999" customHeight="1" x14ac:dyDescent="0.25">
      <c r="A579" s="22"/>
      <c r="B579" s="22"/>
      <c r="C579" s="22"/>
      <c r="D579" s="22"/>
      <c r="E579" s="22"/>
      <c r="F579" s="22"/>
      <c r="G579" s="22"/>
      <c r="H579" s="22"/>
      <c r="I579" s="22"/>
      <c r="J579" s="22"/>
      <c r="K579" s="22"/>
      <c r="L579" s="22"/>
      <c r="M579" s="22"/>
      <c r="N579" s="22"/>
      <c r="O579" s="22"/>
      <c r="P579" s="22"/>
      <c r="Q579" s="22"/>
      <c r="R579" s="22"/>
      <c r="S579" s="22"/>
      <c r="T579" s="22"/>
      <c r="U579" s="22"/>
      <c r="V579" s="22"/>
      <c r="W579" s="22"/>
      <c r="X579" s="22"/>
      <c r="Y579" s="22"/>
      <c r="Z579" s="22"/>
    </row>
    <row r="580" spans="1:26" ht="16.149999999999999" customHeight="1" x14ac:dyDescent="0.25">
      <c r="A580" s="22"/>
      <c r="B580" s="22"/>
      <c r="C580" s="22"/>
      <c r="D580" s="22"/>
      <c r="E580" s="22"/>
      <c r="F580" s="22"/>
      <c r="G580" s="22"/>
      <c r="H580" s="22"/>
      <c r="I580" s="22"/>
      <c r="J580" s="22"/>
      <c r="K580" s="22"/>
      <c r="L580" s="22"/>
      <c r="M580" s="22"/>
      <c r="N580" s="22"/>
      <c r="O580" s="22"/>
      <c r="P580" s="22"/>
      <c r="Q580" s="22"/>
      <c r="R580" s="22"/>
      <c r="S580" s="22"/>
      <c r="T580" s="22"/>
      <c r="U580" s="22"/>
      <c r="V580" s="22"/>
      <c r="W580" s="22"/>
      <c r="X580" s="22"/>
      <c r="Y580" s="22"/>
      <c r="Z580" s="22"/>
    </row>
    <row r="581" spans="1:26" ht="16.149999999999999" customHeight="1" x14ac:dyDescent="0.25">
      <c r="A581" s="22"/>
      <c r="B581" s="22"/>
      <c r="C581" s="22"/>
      <c r="D581" s="22"/>
      <c r="E581" s="22"/>
      <c r="F581" s="22"/>
      <c r="G581" s="22"/>
      <c r="H581" s="22"/>
      <c r="I581" s="22"/>
      <c r="J581" s="22"/>
      <c r="K581" s="22"/>
      <c r="L581" s="22"/>
      <c r="M581" s="22"/>
      <c r="N581" s="22"/>
      <c r="O581" s="22"/>
      <c r="P581" s="22"/>
      <c r="Q581" s="22"/>
      <c r="R581" s="22"/>
      <c r="S581" s="22"/>
      <c r="T581" s="22"/>
      <c r="U581" s="22"/>
      <c r="V581" s="22"/>
      <c r="W581" s="22"/>
      <c r="X581" s="22"/>
      <c r="Y581" s="22"/>
      <c r="Z581" s="22"/>
    </row>
    <row r="582" spans="1:26" ht="16.149999999999999" customHeight="1" x14ac:dyDescent="0.25">
      <c r="A582" s="22"/>
      <c r="B582" s="22"/>
      <c r="C582" s="22"/>
      <c r="D582" s="22"/>
      <c r="E582" s="22"/>
      <c r="F582" s="22"/>
      <c r="G582" s="22"/>
      <c r="H582" s="22"/>
      <c r="I582" s="22"/>
      <c r="J582" s="22"/>
      <c r="K582" s="22"/>
      <c r="L582" s="22"/>
      <c r="M582" s="22"/>
      <c r="N582" s="22"/>
      <c r="O582" s="22"/>
      <c r="P582" s="22"/>
      <c r="Q582" s="22"/>
      <c r="R582" s="22"/>
      <c r="S582" s="22"/>
      <c r="T582" s="22"/>
      <c r="U582" s="22"/>
      <c r="V582" s="22"/>
      <c r="W582" s="22"/>
      <c r="X582" s="22"/>
      <c r="Y582" s="22"/>
      <c r="Z582" s="22"/>
    </row>
    <row r="583" spans="1:26" ht="16.149999999999999" customHeight="1" x14ac:dyDescent="0.25">
      <c r="A583" s="22"/>
      <c r="B583" s="22"/>
      <c r="C583" s="22"/>
      <c r="D583" s="22"/>
      <c r="E583" s="22"/>
      <c r="F583" s="22"/>
      <c r="G583" s="22"/>
      <c r="H583" s="22"/>
      <c r="I583" s="22"/>
      <c r="J583" s="22"/>
      <c r="K583" s="22"/>
      <c r="L583" s="22"/>
      <c r="M583" s="22"/>
      <c r="N583" s="22"/>
      <c r="O583" s="22"/>
      <c r="P583" s="22"/>
      <c r="Q583" s="22"/>
      <c r="R583" s="22"/>
      <c r="S583" s="22"/>
      <c r="T583" s="22"/>
      <c r="U583" s="22"/>
      <c r="V583" s="22"/>
      <c r="W583" s="22"/>
      <c r="X583" s="22"/>
      <c r="Y583" s="22"/>
      <c r="Z583" s="22"/>
    </row>
    <row r="584" spans="1:26" ht="16.149999999999999" customHeight="1" x14ac:dyDescent="0.25">
      <c r="A584" s="22"/>
      <c r="B584" s="22"/>
      <c r="C584" s="22"/>
      <c r="D584" s="22"/>
      <c r="E584" s="22"/>
      <c r="F584" s="22"/>
      <c r="G584" s="22"/>
      <c r="H584" s="22"/>
      <c r="I584" s="22"/>
      <c r="J584" s="22"/>
      <c r="K584" s="22"/>
      <c r="L584" s="22"/>
      <c r="M584" s="22"/>
      <c r="N584" s="22"/>
      <c r="O584" s="22"/>
      <c r="P584" s="22"/>
      <c r="Q584" s="22"/>
      <c r="R584" s="22"/>
      <c r="S584" s="22"/>
      <c r="T584" s="22"/>
      <c r="U584" s="22"/>
      <c r="V584" s="22"/>
      <c r="W584" s="22"/>
      <c r="X584" s="22"/>
      <c r="Y584" s="22"/>
      <c r="Z584" s="22"/>
    </row>
    <row r="585" spans="1:26" ht="16.149999999999999" customHeight="1" x14ac:dyDescent="0.25">
      <c r="A585" s="22"/>
      <c r="B585" s="22"/>
      <c r="C585" s="22"/>
      <c r="D585" s="22"/>
      <c r="E585" s="22"/>
      <c r="F585" s="22"/>
      <c r="G585" s="22"/>
      <c r="H585" s="22"/>
      <c r="I585" s="22"/>
      <c r="J585" s="22"/>
      <c r="K585" s="22"/>
      <c r="L585" s="22"/>
      <c r="M585" s="22"/>
      <c r="N585" s="22"/>
      <c r="O585" s="22"/>
      <c r="P585" s="22"/>
      <c r="Q585" s="22"/>
      <c r="R585" s="22"/>
      <c r="S585" s="22"/>
      <c r="T585" s="22"/>
      <c r="U585" s="22"/>
      <c r="V585" s="22"/>
      <c r="W585" s="22"/>
      <c r="X585" s="22"/>
      <c r="Y585" s="22"/>
      <c r="Z585" s="22"/>
    </row>
    <row r="586" spans="1:26" ht="16.149999999999999" customHeight="1" x14ac:dyDescent="0.25">
      <c r="A586" s="22"/>
      <c r="B586" s="22"/>
      <c r="C586" s="22"/>
      <c r="D586" s="22"/>
      <c r="E586" s="22"/>
      <c r="F586" s="22"/>
      <c r="G586" s="22"/>
      <c r="H586" s="22"/>
      <c r="I586" s="22"/>
      <c r="J586" s="22"/>
      <c r="K586" s="22"/>
      <c r="L586" s="22"/>
      <c r="M586" s="22"/>
      <c r="N586" s="22"/>
      <c r="O586" s="22"/>
      <c r="P586" s="22"/>
      <c r="Q586" s="22"/>
      <c r="R586" s="22"/>
      <c r="S586" s="22"/>
      <c r="T586" s="22"/>
      <c r="U586" s="22"/>
      <c r="V586" s="22"/>
      <c r="W586" s="22"/>
      <c r="X586" s="22"/>
      <c r="Y586" s="22"/>
      <c r="Z586" s="22"/>
    </row>
    <row r="587" spans="1:26" ht="16.149999999999999" customHeight="1" x14ac:dyDescent="0.25">
      <c r="A587" s="22"/>
      <c r="B587" s="22"/>
      <c r="C587" s="22"/>
      <c r="D587" s="22"/>
      <c r="E587" s="22"/>
      <c r="F587" s="22"/>
      <c r="G587" s="22"/>
      <c r="H587" s="22"/>
      <c r="I587" s="22"/>
      <c r="J587" s="22"/>
      <c r="K587" s="22"/>
      <c r="L587" s="22"/>
      <c r="M587" s="22"/>
      <c r="N587" s="22"/>
      <c r="O587" s="22"/>
      <c r="P587" s="22"/>
      <c r="Q587" s="22"/>
      <c r="R587" s="22"/>
      <c r="S587" s="22"/>
      <c r="T587" s="22"/>
      <c r="U587" s="22"/>
      <c r="V587" s="22"/>
      <c r="W587" s="22"/>
      <c r="X587" s="22"/>
      <c r="Y587" s="22"/>
      <c r="Z587" s="22"/>
    </row>
    <row r="588" spans="1:26" ht="16.149999999999999" customHeight="1" x14ac:dyDescent="0.25">
      <c r="A588" s="22"/>
      <c r="B588" s="22"/>
      <c r="C588" s="22"/>
      <c r="D588" s="22"/>
      <c r="E588" s="22"/>
      <c r="F588" s="22"/>
      <c r="G588" s="22"/>
      <c r="H588" s="22"/>
      <c r="I588" s="22"/>
      <c r="J588" s="22"/>
      <c r="K588" s="22"/>
      <c r="L588" s="22"/>
      <c r="M588" s="22"/>
      <c r="N588" s="22"/>
      <c r="O588" s="22"/>
      <c r="P588" s="22"/>
      <c r="Q588" s="22"/>
      <c r="R588" s="22"/>
      <c r="S588" s="22"/>
      <c r="T588" s="22"/>
      <c r="U588" s="22"/>
      <c r="V588" s="22"/>
      <c r="W588" s="22"/>
      <c r="X588" s="22"/>
      <c r="Y588" s="22"/>
      <c r="Z588" s="22"/>
    </row>
    <row r="589" spans="1:26" ht="16.149999999999999" customHeight="1" x14ac:dyDescent="0.25">
      <c r="A589" s="22"/>
      <c r="B589" s="22"/>
      <c r="C589" s="22"/>
      <c r="D589" s="22"/>
      <c r="E589" s="22"/>
      <c r="F589" s="22"/>
      <c r="G589" s="22"/>
      <c r="H589" s="22"/>
      <c r="I589" s="22"/>
      <c r="J589" s="22"/>
      <c r="K589" s="22"/>
      <c r="L589" s="22"/>
      <c r="M589" s="22"/>
      <c r="N589" s="22"/>
      <c r="O589" s="22"/>
      <c r="P589" s="22"/>
      <c r="Q589" s="22"/>
      <c r="R589" s="22"/>
      <c r="S589" s="22"/>
      <c r="T589" s="22"/>
      <c r="U589" s="22"/>
      <c r="V589" s="22"/>
      <c r="W589" s="22"/>
      <c r="X589" s="22"/>
      <c r="Y589" s="22"/>
      <c r="Z589" s="22"/>
    </row>
    <row r="590" spans="1:26" ht="16.149999999999999" customHeight="1" x14ac:dyDescent="0.25">
      <c r="A590" s="22"/>
      <c r="B590" s="22"/>
      <c r="C590" s="22"/>
      <c r="D590" s="22"/>
      <c r="E590" s="22"/>
      <c r="F590" s="22"/>
      <c r="G590" s="22"/>
      <c r="H590" s="22"/>
      <c r="I590" s="22"/>
      <c r="J590" s="22"/>
      <c r="K590" s="22"/>
      <c r="L590" s="22"/>
      <c r="M590" s="22"/>
      <c r="N590" s="22"/>
      <c r="O590" s="22"/>
      <c r="P590" s="22"/>
      <c r="Q590" s="22"/>
      <c r="R590" s="22"/>
      <c r="S590" s="22"/>
      <c r="T590" s="22"/>
      <c r="U590" s="22"/>
      <c r="V590" s="22"/>
      <c r="W590" s="22"/>
      <c r="X590" s="22"/>
      <c r="Y590" s="22"/>
      <c r="Z590" s="22"/>
    </row>
    <row r="591" spans="1:26" ht="16.149999999999999" customHeight="1" x14ac:dyDescent="0.25">
      <c r="A591" s="22"/>
      <c r="B591" s="22"/>
      <c r="C591" s="22"/>
      <c r="D591" s="22"/>
      <c r="E591" s="22"/>
      <c r="F591" s="22"/>
      <c r="G591" s="22"/>
      <c r="H591" s="22"/>
      <c r="I591" s="22"/>
      <c r="J591" s="22"/>
      <c r="K591" s="22"/>
      <c r="L591" s="22"/>
      <c r="M591" s="22"/>
      <c r="N591" s="22"/>
      <c r="O591" s="22"/>
      <c r="P591" s="22"/>
      <c r="Q591" s="22"/>
      <c r="R591" s="22"/>
      <c r="S591" s="22"/>
      <c r="T591" s="22"/>
      <c r="U591" s="22"/>
      <c r="V591" s="22"/>
      <c r="W591" s="22"/>
      <c r="X591" s="22"/>
      <c r="Y591" s="22"/>
      <c r="Z591" s="22"/>
    </row>
    <row r="592" spans="1:26" ht="16.149999999999999" customHeight="1" x14ac:dyDescent="0.25">
      <c r="A592" s="22"/>
      <c r="B592" s="22"/>
      <c r="C592" s="22"/>
      <c r="D592" s="22"/>
      <c r="E592" s="22"/>
      <c r="F592" s="22"/>
      <c r="G592" s="22"/>
      <c r="H592" s="22"/>
      <c r="I592" s="22"/>
      <c r="J592" s="22"/>
      <c r="K592" s="22"/>
      <c r="L592" s="22"/>
      <c r="M592" s="22"/>
      <c r="N592" s="22"/>
      <c r="O592" s="22"/>
      <c r="P592" s="22"/>
      <c r="Q592" s="22"/>
      <c r="R592" s="22"/>
      <c r="S592" s="22"/>
      <c r="T592" s="22"/>
      <c r="U592" s="22"/>
      <c r="V592" s="22"/>
      <c r="W592" s="22"/>
      <c r="X592" s="22"/>
      <c r="Y592" s="22"/>
      <c r="Z592" s="22"/>
    </row>
    <row r="593" spans="1:26" ht="16.149999999999999" customHeight="1" x14ac:dyDescent="0.25">
      <c r="A593" s="22"/>
      <c r="B593" s="22"/>
      <c r="C593" s="22"/>
      <c r="D593" s="22"/>
      <c r="E593" s="22"/>
      <c r="F593" s="22"/>
      <c r="G593" s="22"/>
      <c r="H593" s="22"/>
      <c r="I593" s="22"/>
      <c r="J593" s="22"/>
      <c r="K593" s="22"/>
      <c r="L593" s="22"/>
      <c r="M593" s="22"/>
      <c r="N593" s="22"/>
      <c r="O593" s="22"/>
      <c r="P593" s="22"/>
      <c r="Q593" s="22"/>
      <c r="R593" s="22"/>
      <c r="S593" s="22"/>
      <c r="T593" s="22"/>
      <c r="U593" s="22"/>
      <c r="V593" s="22"/>
      <c r="W593" s="22"/>
      <c r="X593" s="22"/>
      <c r="Y593" s="22"/>
      <c r="Z593" s="22"/>
    </row>
    <row r="594" spans="1:26" ht="16.149999999999999" customHeight="1" x14ac:dyDescent="0.25">
      <c r="A594" s="22"/>
      <c r="B594" s="22"/>
      <c r="C594" s="22"/>
      <c r="D594" s="22"/>
      <c r="E594" s="22"/>
      <c r="F594" s="22"/>
      <c r="G594" s="22"/>
      <c r="H594" s="22"/>
      <c r="I594" s="22"/>
      <c r="J594" s="22"/>
      <c r="K594" s="22"/>
      <c r="L594" s="22"/>
      <c r="M594" s="22"/>
      <c r="N594" s="22"/>
      <c r="O594" s="22"/>
      <c r="P594" s="22"/>
      <c r="Q594" s="22"/>
      <c r="R594" s="22"/>
      <c r="S594" s="22"/>
      <c r="T594" s="22"/>
      <c r="U594" s="22"/>
      <c r="V594" s="22"/>
      <c r="W594" s="22"/>
      <c r="X594" s="22"/>
      <c r="Y594" s="22"/>
      <c r="Z594" s="22"/>
    </row>
    <row r="595" spans="1:26" ht="16.149999999999999" customHeight="1" x14ac:dyDescent="0.25">
      <c r="A595" s="22"/>
      <c r="B595" s="22"/>
      <c r="C595" s="22"/>
      <c r="D595" s="22"/>
      <c r="E595" s="22"/>
      <c r="F595" s="22"/>
      <c r="G595" s="22"/>
      <c r="H595" s="22"/>
      <c r="I595" s="22"/>
      <c r="J595" s="22"/>
      <c r="K595" s="22"/>
      <c r="L595" s="22"/>
      <c r="M595" s="22"/>
      <c r="N595" s="22"/>
      <c r="O595" s="22"/>
      <c r="P595" s="22"/>
      <c r="Q595" s="22"/>
      <c r="R595" s="22"/>
      <c r="S595" s="22"/>
      <c r="T595" s="22"/>
      <c r="U595" s="22"/>
      <c r="V595" s="22"/>
      <c r="W595" s="22"/>
      <c r="X595" s="22"/>
      <c r="Y595" s="22"/>
      <c r="Z595" s="22"/>
    </row>
    <row r="596" spans="1:26" ht="16.149999999999999" customHeight="1" x14ac:dyDescent="0.25">
      <c r="A596" s="22"/>
      <c r="B596" s="22"/>
      <c r="C596" s="22"/>
      <c r="D596" s="22"/>
      <c r="E596" s="22"/>
      <c r="F596" s="22"/>
      <c r="G596" s="22"/>
      <c r="H596" s="22"/>
      <c r="I596" s="22"/>
      <c r="J596" s="22"/>
      <c r="K596" s="22"/>
      <c r="L596" s="22"/>
      <c r="M596" s="22"/>
      <c r="N596" s="22"/>
      <c r="O596" s="22"/>
      <c r="P596" s="22"/>
      <c r="Q596" s="22"/>
      <c r="R596" s="22"/>
      <c r="S596" s="22"/>
      <c r="T596" s="22"/>
      <c r="U596" s="22"/>
      <c r="V596" s="22"/>
      <c r="W596" s="22"/>
      <c r="X596" s="22"/>
      <c r="Y596" s="22"/>
      <c r="Z596" s="22"/>
    </row>
    <row r="597" spans="1:26" ht="16.149999999999999" customHeight="1" x14ac:dyDescent="0.25">
      <c r="A597" s="22"/>
      <c r="B597" s="22"/>
      <c r="C597" s="22"/>
      <c r="D597" s="22"/>
      <c r="E597" s="22"/>
      <c r="F597" s="22"/>
      <c r="G597" s="22"/>
      <c r="H597" s="22"/>
      <c r="I597" s="22"/>
      <c r="J597" s="22"/>
      <c r="K597" s="22"/>
      <c r="L597" s="22"/>
      <c r="M597" s="22"/>
      <c r="N597" s="22"/>
      <c r="O597" s="22"/>
      <c r="P597" s="22"/>
      <c r="Q597" s="22"/>
      <c r="R597" s="22"/>
      <c r="S597" s="22"/>
      <c r="T597" s="22"/>
      <c r="U597" s="22"/>
      <c r="V597" s="22"/>
      <c r="W597" s="22"/>
      <c r="X597" s="22"/>
      <c r="Y597" s="22"/>
      <c r="Z597" s="22"/>
    </row>
    <row r="598" spans="1:26" ht="16.149999999999999" customHeight="1" x14ac:dyDescent="0.25">
      <c r="A598" s="22"/>
      <c r="B598" s="22"/>
      <c r="C598" s="22"/>
      <c r="D598" s="22"/>
      <c r="E598" s="22"/>
      <c r="F598" s="22"/>
      <c r="G598" s="22"/>
      <c r="H598" s="22"/>
      <c r="I598" s="22"/>
      <c r="J598" s="22"/>
      <c r="K598" s="22"/>
      <c r="L598" s="22"/>
      <c r="M598" s="22"/>
      <c r="N598" s="22"/>
      <c r="O598" s="22"/>
      <c r="P598" s="22"/>
      <c r="Q598" s="22"/>
      <c r="R598" s="22"/>
      <c r="S598" s="22"/>
      <c r="T598" s="22"/>
      <c r="U598" s="22"/>
      <c r="V598" s="22"/>
      <c r="W598" s="22"/>
      <c r="X598" s="22"/>
      <c r="Y598" s="22"/>
      <c r="Z598" s="22"/>
    </row>
    <row r="599" spans="1:26" ht="16.149999999999999" customHeight="1" x14ac:dyDescent="0.25">
      <c r="A599" s="22"/>
      <c r="B599" s="22"/>
      <c r="C599" s="22"/>
      <c r="D599" s="22"/>
      <c r="E599" s="22"/>
      <c r="F599" s="22"/>
      <c r="G599" s="22"/>
      <c r="H599" s="22"/>
      <c r="I599" s="22"/>
      <c r="J599" s="22"/>
      <c r="K599" s="22"/>
      <c r="L599" s="22"/>
      <c r="M599" s="22"/>
      <c r="N599" s="22"/>
      <c r="O599" s="22"/>
      <c r="P599" s="22"/>
      <c r="Q599" s="22"/>
      <c r="R599" s="22"/>
      <c r="S599" s="22"/>
      <c r="T599" s="22"/>
      <c r="U599" s="22"/>
      <c r="V599" s="22"/>
      <c r="W599" s="22"/>
      <c r="X599" s="22"/>
      <c r="Y599" s="22"/>
      <c r="Z599" s="22"/>
    </row>
    <row r="600" spans="1:26" ht="16.149999999999999" customHeight="1" x14ac:dyDescent="0.25">
      <c r="A600" s="22"/>
      <c r="B600" s="22"/>
      <c r="C600" s="22"/>
      <c r="D600" s="22"/>
      <c r="E600" s="22"/>
      <c r="F600" s="22"/>
      <c r="G600" s="22"/>
      <c r="H600" s="22"/>
      <c r="I600" s="22"/>
      <c r="J600" s="22"/>
      <c r="K600" s="22"/>
      <c r="L600" s="22"/>
      <c r="M600" s="22"/>
      <c r="N600" s="22"/>
      <c r="O600" s="22"/>
      <c r="P600" s="22"/>
      <c r="Q600" s="22"/>
      <c r="R600" s="22"/>
      <c r="S600" s="22"/>
      <c r="T600" s="22"/>
      <c r="U600" s="22"/>
      <c r="V600" s="22"/>
      <c r="W600" s="22"/>
      <c r="X600" s="22"/>
      <c r="Y600" s="22"/>
      <c r="Z600" s="22"/>
    </row>
    <row r="601" spans="1:26" ht="16.149999999999999" customHeight="1" x14ac:dyDescent="0.25">
      <c r="A601" s="22"/>
      <c r="B601" s="22"/>
      <c r="C601" s="22"/>
      <c r="D601" s="22"/>
      <c r="E601" s="22"/>
      <c r="F601" s="22"/>
      <c r="G601" s="22"/>
      <c r="H601" s="22"/>
      <c r="I601" s="22"/>
      <c r="J601" s="22"/>
      <c r="K601" s="22"/>
      <c r="L601" s="22"/>
      <c r="M601" s="22"/>
      <c r="N601" s="22"/>
      <c r="O601" s="22"/>
      <c r="P601" s="22"/>
      <c r="Q601" s="22"/>
      <c r="R601" s="22"/>
      <c r="S601" s="22"/>
      <c r="T601" s="22"/>
      <c r="U601" s="22"/>
      <c r="V601" s="22"/>
      <c r="W601" s="22"/>
      <c r="X601" s="22"/>
      <c r="Y601" s="22"/>
      <c r="Z601" s="22"/>
    </row>
    <row r="602" spans="1:26" ht="16.149999999999999" customHeight="1" x14ac:dyDescent="0.25">
      <c r="A602" s="22"/>
      <c r="B602" s="22"/>
      <c r="C602" s="22"/>
      <c r="D602" s="22"/>
      <c r="E602" s="22"/>
      <c r="F602" s="22"/>
      <c r="G602" s="22"/>
      <c r="H602" s="22"/>
      <c r="I602" s="22"/>
      <c r="J602" s="22"/>
      <c r="K602" s="22"/>
      <c r="L602" s="22"/>
      <c r="M602" s="22"/>
      <c r="N602" s="22"/>
      <c r="O602" s="22"/>
      <c r="P602" s="22"/>
      <c r="Q602" s="22"/>
      <c r="R602" s="22"/>
      <c r="S602" s="22"/>
      <c r="T602" s="22"/>
      <c r="U602" s="22"/>
      <c r="V602" s="22"/>
      <c r="W602" s="22"/>
      <c r="X602" s="22"/>
      <c r="Y602" s="22"/>
      <c r="Z602" s="22"/>
    </row>
    <row r="603" spans="1:26" ht="16.149999999999999" customHeight="1" x14ac:dyDescent="0.25">
      <c r="A603" s="22"/>
      <c r="B603" s="22"/>
      <c r="C603" s="22"/>
      <c r="D603" s="22"/>
      <c r="E603" s="22"/>
      <c r="F603" s="22"/>
      <c r="G603" s="22"/>
      <c r="H603" s="22"/>
      <c r="I603" s="22"/>
      <c r="J603" s="22"/>
      <c r="K603" s="22"/>
      <c r="L603" s="22"/>
      <c r="M603" s="22"/>
      <c r="N603" s="22"/>
      <c r="O603" s="22"/>
      <c r="P603" s="22"/>
      <c r="Q603" s="22"/>
      <c r="R603" s="22"/>
      <c r="S603" s="22"/>
      <c r="T603" s="22"/>
      <c r="U603" s="22"/>
      <c r="V603" s="22"/>
      <c r="W603" s="22"/>
      <c r="X603" s="22"/>
      <c r="Y603" s="22"/>
      <c r="Z603" s="22"/>
    </row>
    <row r="604" spans="1:26" ht="16.149999999999999" customHeight="1" x14ac:dyDescent="0.25">
      <c r="A604" s="22"/>
      <c r="B604" s="22"/>
      <c r="C604" s="22"/>
      <c r="D604" s="22"/>
      <c r="E604" s="22"/>
      <c r="F604" s="22"/>
      <c r="G604" s="22"/>
      <c r="H604" s="22"/>
      <c r="I604" s="22"/>
      <c r="J604" s="22"/>
      <c r="K604" s="22"/>
      <c r="L604" s="22"/>
      <c r="M604" s="22"/>
      <c r="N604" s="22"/>
      <c r="O604" s="22"/>
      <c r="P604" s="22"/>
      <c r="Q604" s="22"/>
      <c r="R604" s="22"/>
      <c r="S604" s="22"/>
      <c r="T604" s="22"/>
      <c r="U604" s="22"/>
      <c r="V604" s="22"/>
      <c r="W604" s="22"/>
      <c r="X604" s="22"/>
      <c r="Y604" s="22"/>
      <c r="Z604" s="22"/>
    </row>
    <row r="605" spans="1:26" ht="16.149999999999999" customHeight="1" x14ac:dyDescent="0.25">
      <c r="A605" s="22"/>
      <c r="B605" s="22"/>
      <c r="C605" s="22"/>
      <c r="D605" s="22"/>
      <c r="E605" s="22"/>
      <c r="F605" s="22"/>
      <c r="G605" s="22"/>
      <c r="H605" s="22"/>
      <c r="I605" s="22"/>
      <c r="J605" s="22"/>
      <c r="K605" s="22"/>
      <c r="L605" s="22"/>
      <c r="M605" s="22"/>
      <c r="N605" s="22"/>
      <c r="O605" s="22"/>
      <c r="P605" s="22"/>
      <c r="Q605" s="22"/>
      <c r="R605" s="22"/>
      <c r="S605" s="22"/>
      <c r="T605" s="22"/>
      <c r="U605" s="22"/>
      <c r="V605" s="22"/>
      <c r="W605" s="22"/>
      <c r="X605" s="22"/>
      <c r="Y605" s="22"/>
      <c r="Z605" s="22"/>
    </row>
    <row r="606" spans="1:26" ht="16.149999999999999" customHeight="1" x14ac:dyDescent="0.25">
      <c r="A606" s="22"/>
      <c r="B606" s="22"/>
      <c r="C606" s="22"/>
      <c r="D606" s="22"/>
      <c r="E606" s="22"/>
      <c r="F606" s="22"/>
      <c r="G606" s="22"/>
      <c r="H606" s="22"/>
      <c r="I606" s="22"/>
      <c r="J606" s="22"/>
      <c r="K606" s="22"/>
      <c r="L606" s="22"/>
      <c r="M606" s="22"/>
      <c r="N606" s="22"/>
      <c r="O606" s="22"/>
      <c r="P606" s="22"/>
      <c r="Q606" s="22"/>
      <c r="R606" s="22"/>
      <c r="S606" s="22"/>
      <c r="T606" s="22"/>
      <c r="U606" s="22"/>
      <c r="V606" s="22"/>
      <c r="W606" s="22"/>
      <c r="X606" s="22"/>
      <c r="Y606" s="22"/>
      <c r="Z606" s="22"/>
    </row>
    <row r="607" spans="1:26" ht="16.149999999999999" customHeight="1" x14ac:dyDescent="0.25">
      <c r="A607" s="22"/>
      <c r="B607" s="22"/>
      <c r="C607" s="22"/>
      <c r="D607" s="22"/>
      <c r="E607" s="22"/>
      <c r="F607" s="22"/>
      <c r="G607" s="22"/>
      <c r="H607" s="22"/>
      <c r="I607" s="22"/>
      <c r="J607" s="22"/>
      <c r="K607" s="22"/>
      <c r="L607" s="22"/>
      <c r="M607" s="22"/>
      <c r="N607" s="22"/>
      <c r="O607" s="22"/>
      <c r="P607" s="22"/>
      <c r="Q607" s="22"/>
      <c r="R607" s="22"/>
      <c r="S607" s="22"/>
      <c r="T607" s="22"/>
      <c r="U607" s="22"/>
      <c r="V607" s="22"/>
      <c r="W607" s="22"/>
      <c r="X607" s="22"/>
      <c r="Y607" s="22"/>
      <c r="Z607" s="22"/>
    </row>
    <row r="608" spans="1:26" ht="16.149999999999999" customHeight="1" x14ac:dyDescent="0.25">
      <c r="A608" s="22"/>
      <c r="B608" s="22"/>
      <c r="C608" s="22"/>
      <c r="D608" s="22"/>
      <c r="E608" s="22"/>
      <c r="F608" s="22"/>
      <c r="G608" s="22"/>
      <c r="H608" s="22"/>
      <c r="I608" s="22"/>
      <c r="J608" s="22"/>
      <c r="K608" s="22"/>
      <c r="L608" s="22"/>
      <c r="M608" s="22"/>
      <c r="N608" s="22"/>
      <c r="O608" s="22"/>
      <c r="P608" s="22"/>
      <c r="Q608" s="22"/>
      <c r="R608" s="22"/>
      <c r="S608" s="22"/>
      <c r="T608" s="22"/>
      <c r="U608" s="22"/>
      <c r="V608" s="22"/>
      <c r="W608" s="22"/>
      <c r="X608" s="22"/>
      <c r="Y608" s="22"/>
      <c r="Z608" s="22"/>
    </row>
    <row r="609" spans="1:26" ht="16.149999999999999" customHeight="1" x14ac:dyDescent="0.25">
      <c r="A609" s="22"/>
      <c r="B609" s="22"/>
      <c r="C609" s="22"/>
      <c r="D609" s="22"/>
      <c r="E609" s="22"/>
      <c r="F609" s="22"/>
      <c r="G609" s="22"/>
      <c r="H609" s="22"/>
      <c r="I609" s="22"/>
      <c r="J609" s="22"/>
      <c r="K609" s="22"/>
      <c r="L609" s="22"/>
      <c r="M609" s="22"/>
      <c r="N609" s="22"/>
      <c r="O609" s="22"/>
      <c r="P609" s="22"/>
      <c r="Q609" s="22"/>
      <c r="R609" s="22"/>
      <c r="S609" s="22"/>
      <c r="T609" s="22"/>
      <c r="U609" s="22"/>
      <c r="V609" s="22"/>
      <c r="W609" s="22"/>
      <c r="X609" s="22"/>
      <c r="Y609" s="22"/>
      <c r="Z609" s="22"/>
    </row>
    <row r="610" spans="1:26" ht="16.149999999999999" customHeight="1" x14ac:dyDescent="0.25">
      <c r="A610" s="22"/>
      <c r="B610" s="22"/>
      <c r="C610" s="22"/>
      <c r="D610" s="22"/>
      <c r="E610" s="22"/>
      <c r="F610" s="22"/>
      <c r="G610" s="22"/>
      <c r="H610" s="22"/>
      <c r="I610" s="22"/>
      <c r="J610" s="22"/>
      <c r="K610" s="22"/>
      <c r="L610" s="22"/>
      <c r="M610" s="22"/>
      <c r="N610" s="22"/>
      <c r="O610" s="22"/>
      <c r="P610" s="22"/>
      <c r="Q610" s="22"/>
      <c r="R610" s="22"/>
      <c r="S610" s="22"/>
      <c r="T610" s="22"/>
      <c r="U610" s="22"/>
      <c r="V610" s="22"/>
      <c r="W610" s="22"/>
      <c r="X610" s="22"/>
      <c r="Y610" s="22"/>
      <c r="Z610" s="22"/>
    </row>
    <row r="611" spans="1:26" ht="16.149999999999999" customHeight="1" x14ac:dyDescent="0.25">
      <c r="A611" s="22"/>
      <c r="B611" s="22"/>
      <c r="C611" s="22"/>
      <c r="D611" s="22"/>
      <c r="E611" s="22"/>
      <c r="F611" s="22"/>
      <c r="G611" s="22"/>
      <c r="H611" s="22"/>
      <c r="I611" s="22"/>
      <c r="J611" s="22"/>
      <c r="K611" s="22"/>
      <c r="L611" s="22"/>
      <c r="M611" s="22"/>
      <c r="N611" s="22"/>
      <c r="O611" s="22"/>
      <c r="P611" s="22"/>
      <c r="Q611" s="22"/>
      <c r="R611" s="22"/>
      <c r="S611" s="22"/>
      <c r="T611" s="22"/>
      <c r="U611" s="22"/>
      <c r="V611" s="22"/>
      <c r="W611" s="22"/>
      <c r="X611" s="22"/>
      <c r="Y611" s="22"/>
      <c r="Z611" s="22"/>
    </row>
    <row r="612" spans="1:26" ht="16.149999999999999" customHeight="1" x14ac:dyDescent="0.25">
      <c r="A612" s="22"/>
      <c r="B612" s="22"/>
      <c r="C612" s="22"/>
      <c r="D612" s="22"/>
      <c r="E612" s="22"/>
      <c r="F612" s="22"/>
      <c r="G612" s="22"/>
      <c r="H612" s="22"/>
      <c r="I612" s="22"/>
      <c r="J612" s="22"/>
      <c r="K612" s="22"/>
      <c r="L612" s="22"/>
      <c r="M612" s="22"/>
      <c r="N612" s="22"/>
      <c r="O612" s="22"/>
      <c r="P612" s="22"/>
      <c r="Q612" s="22"/>
      <c r="R612" s="22"/>
      <c r="S612" s="22"/>
      <c r="T612" s="22"/>
      <c r="U612" s="22"/>
      <c r="V612" s="22"/>
      <c r="W612" s="22"/>
      <c r="X612" s="22"/>
      <c r="Y612" s="22"/>
      <c r="Z612" s="22"/>
    </row>
    <row r="613" spans="1:26" ht="16.149999999999999" customHeight="1" x14ac:dyDescent="0.25">
      <c r="A613" s="22"/>
      <c r="B613" s="22"/>
      <c r="C613" s="22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22"/>
      <c r="X613" s="22"/>
      <c r="Y613" s="22"/>
      <c r="Z613" s="22"/>
    </row>
    <row r="614" spans="1:26" ht="16.149999999999999" customHeight="1" x14ac:dyDescent="0.25">
      <c r="A614" s="22"/>
      <c r="B614" s="22"/>
      <c r="C614" s="22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22"/>
      <c r="X614" s="22"/>
      <c r="Y614" s="22"/>
      <c r="Z614" s="22"/>
    </row>
    <row r="615" spans="1:26" ht="16.149999999999999" customHeight="1" x14ac:dyDescent="0.25">
      <c r="A615" s="22"/>
      <c r="B615" s="22"/>
      <c r="C615" s="22"/>
      <c r="D615" s="22"/>
      <c r="E615" s="22"/>
      <c r="F615" s="22"/>
      <c r="G615" s="22"/>
      <c r="H615" s="22"/>
      <c r="I615" s="22"/>
      <c r="J615" s="22"/>
      <c r="K615" s="22"/>
      <c r="L615" s="22"/>
      <c r="M615" s="22"/>
      <c r="N615" s="22"/>
      <c r="O615" s="22"/>
      <c r="P615" s="22"/>
      <c r="Q615" s="22"/>
      <c r="R615" s="22"/>
      <c r="S615" s="22"/>
      <c r="T615" s="22"/>
      <c r="U615" s="22"/>
      <c r="V615" s="22"/>
      <c r="W615" s="22"/>
      <c r="X615" s="22"/>
      <c r="Y615" s="22"/>
      <c r="Z615" s="22"/>
    </row>
    <row r="616" spans="1:26" ht="16.149999999999999" customHeight="1" x14ac:dyDescent="0.25">
      <c r="A616" s="22"/>
      <c r="B616" s="22"/>
      <c r="C616" s="22"/>
      <c r="D616" s="22"/>
      <c r="E616" s="22"/>
      <c r="F616" s="22"/>
      <c r="G616" s="22"/>
      <c r="H616" s="22"/>
      <c r="I616" s="22"/>
      <c r="J616" s="22"/>
      <c r="K616" s="22"/>
      <c r="L616" s="22"/>
      <c r="M616" s="22"/>
      <c r="N616" s="22"/>
      <c r="O616" s="22"/>
      <c r="P616" s="22"/>
      <c r="Q616" s="22"/>
      <c r="R616" s="22"/>
      <c r="S616" s="22"/>
      <c r="T616" s="22"/>
      <c r="U616" s="22"/>
      <c r="V616" s="22"/>
      <c r="W616" s="22"/>
      <c r="X616" s="22"/>
      <c r="Y616" s="22"/>
      <c r="Z616" s="22"/>
    </row>
    <row r="617" spans="1:26" ht="16.149999999999999" customHeight="1" x14ac:dyDescent="0.25">
      <c r="A617" s="22"/>
      <c r="B617" s="22"/>
      <c r="C617" s="22"/>
      <c r="D617" s="22"/>
      <c r="E617" s="22"/>
      <c r="F617" s="22"/>
      <c r="G617" s="22"/>
      <c r="H617" s="22"/>
      <c r="I617" s="22"/>
      <c r="J617" s="22"/>
      <c r="K617" s="22"/>
      <c r="L617" s="22"/>
      <c r="M617" s="22"/>
      <c r="N617" s="22"/>
      <c r="O617" s="22"/>
      <c r="P617" s="22"/>
      <c r="Q617" s="22"/>
      <c r="R617" s="22"/>
      <c r="S617" s="22"/>
      <c r="T617" s="22"/>
      <c r="U617" s="22"/>
      <c r="V617" s="22"/>
      <c r="W617" s="22"/>
      <c r="X617" s="22"/>
      <c r="Y617" s="22"/>
      <c r="Z617" s="22"/>
    </row>
    <row r="618" spans="1:26" ht="16.149999999999999" customHeight="1" x14ac:dyDescent="0.25">
      <c r="A618" s="22"/>
      <c r="B618" s="22"/>
      <c r="C618" s="22"/>
      <c r="D618" s="22"/>
      <c r="E618" s="22"/>
      <c r="F618" s="22"/>
      <c r="G618" s="22"/>
      <c r="H618" s="22"/>
      <c r="I618" s="22"/>
      <c r="J618" s="22"/>
      <c r="K618" s="22"/>
      <c r="L618" s="22"/>
      <c r="M618" s="22"/>
      <c r="N618" s="22"/>
      <c r="O618" s="22"/>
      <c r="P618" s="22"/>
      <c r="Q618" s="22"/>
      <c r="R618" s="22"/>
      <c r="S618" s="22"/>
      <c r="T618" s="22"/>
      <c r="U618" s="22"/>
      <c r="V618" s="22"/>
      <c r="W618" s="22"/>
      <c r="X618" s="22"/>
      <c r="Y618" s="22"/>
      <c r="Z618" s="22"/>
    </row>
    <row r="619" spans="1:26" ht="16.149999999999999" customHeight="1" x14ac:dyDescent="0.25">
      <c r="A619" s="22"/>
      <c r="B619" s="22"/>
      <c r="C619" s="22"/>
      <c r="D619" s="22"/>
      <c r="E619" s="22"/>
      <c r="F619" s="22"/>
      <c r="G619" s="22"/>
      <c r="H619" s="22"/>
      <c r="I619" s="22"/>
      <c r="J619" s="22"/>
      <c r="K619" s="22"/>
      <c r="L619" s="22"/>
      <c r="M619" s="22"/>
      <c r="N619" s="22"/>
      <c r="O619" s="22"/>
      <c r="P619" s="22"/>
      <c r="Q619" s="22"/>
      <c r="R619" s="22"/>
      <c r="S619" s="22"/>
      <c r="T619" s="22"/>
      <c r="U619" s="22"/>
      <c r="V619" s="22"/>
      <c r="W619" s="22"/>
      <c r="X619" s="22"/>
      <c r="Y619" s="22"/>
      <c r="Z619" s="22"/>
    </row>
    <row r="620" spans="1:26" ht="16.149999999999999" customHeight="1" x14ac:dyDescent="0.25">
      <c r="A620" s="22"/>
      <c r="B620" s="22"/>
      <c r="C620" s="22"/>
      <c r="D620" s="22"/>
      <c r="E620" s="22"/>
      <c r="F620" s="22"/>
      <c r="G620" s="22"/>
      <c r="H620" s="22"/>
      <c r="I620" s="22"/>
      <c r="J620" s="22"/>
      <c r="K620" s="22"/>
      <c r="L620" s="22"/>
      <c r="M620" s="22"/>
      <c r="N620" s="22"/>
      <c r="O620" s="22"/>
      <c r="P620" s="22"/>
      <c r="Q620" s="22"/>
      <c r="R620" s="22"/>
      <c r="S620" s="22"/>
      <c r="T620" s="22"/>
      <c r="U620" s="22"/>
      <c r="V620" s="22"/>
      <c r="W620" s="22"/>
      <c r="X620" s="22"/>
      <c r="Y620" s="22"/>
      <c r="Z620" s="22"/>
    </row>
    <row r="621" spans="1:26" ht="16.149999999999999" customHeight="1" x14ac:dyDescent="0.25">
      <c r="A621" s="22"/>
      <c r="B621" s="22"/>
      <c r="C621" s="22"/>
      <c r="D621" s="22"/>
      <c r="E621" s="22"/>
      <c r="F621" s="22"/>
      <c r="G621" s="22"/>
      <c r="H621" s="22"/>
      <c r="I621" s="22"/>
      <c r="J621" s="22"/>
      <c r="K621" s="22"/>
      <c r="L621" s="22"/>
      <c r="M621" s="22"/>
      <c r="N621" s="22"/>
      <c r="O621" s="22"/>
      <c r="P621" s="22"/>
      <c r="Q621" s="22"/>
      <c r="R621" s="22"/>
      <c r="S621" s="22"/>
      <c r="T621" s="22"/>
      <c r="U621" s="22"/>
      <c r="V621" s="22"/>
      <c r="W621" s="22"/>
      <c r="X621" s="22"/>
      <c r="Y621" s="22"/>
      <c r="Z621" s="22"/>
    </row>
    <row r="622" spans="1:26" ht="16.149999999999999" customHeight="1" x14ac:dyDescent="0.25">
      <c r="A622" s="22"/>
      <c r="B622" s="22"/>
      <c r="C622" s="22"/>
      <c r="D622" s="22"/>
      <c r="E622" s="22"/>
      <c r="F622" s="22"/>
      <c r="G622" s="22"/>
      <c r="H622" s="22"/>
      <c r="I622" s="22"/>
      <c r="J622" s="22"/>
      <c r="K622" s="22"/>
      <c r="L622" s="22"/>
      <c r="M622" s="22"/>
      <c r="N622" s="22"/>
      <c r="O622" s="22"/>
      <c r="P622" s="22"/>
      <c r="Q622" s="22"/>
      <c r="R622" s="22"/>
      <c r="S622" s="22"/>
      <c r="T622" s="22"/>
      <c r="U622" s="22"/>
      <c r="V622" s="22"/>
      <c r="W622" s="22"/>
      <c r="X622" s="22"/>
      <c r="Y622" s="22"/>
      <c r="Z622" s="22"/>
    </row>
    <row r="623" spans="1:26" ht="16.149999999999999" customHeight="1" x14ac:dyDescent="0.25">
      <c r="A623" s="22"/>
      <c r="B623" s="22"/>
      <c r="C623" s="22"/>
      <c r="D623" s="22"/>
      <c r="E623" s="22"/>
      <c r="F623" s="22"/>
      <c r="G623" s="22"/>
      <c r="H623" s="22"/>
      <c r="I623" s="22"/>
      <c r="J623" s="22"/>
      <c r="K623" s="22"/>
      <c r="L623" s="22"/>
      <c r="M623" s="22"/>
      <c r="N623" s="22"/>
      <c r="O623" s="22"/>
      <c r="P623" s="22"/>
      <c r="Q623" s="22"/>
      <c r="R623" s="22"/>
      <c r="S623" s="22"/>
      <c r="T623" s="22"/>
      <c r="U623" s="22"/>
      <c r="V623" s="22"/>
      <c r="W623" s="22"/>
      <c r="X623" s="22"/>
      <c r="Y623" s="22"/>
      <c r="Z623" s="22"/>
    </row>
    <row r="624" spans="1:26" ht="16.149999999999999" customHeight="1" x14ac:dyDescent="0.25">
      <c r="A624" s="22"/>
      <c r="B624" s="22"/>
      <c r="C624" s="22"/>
      <c r="D624" s="22"/>
      <c r="E624" s="22"/>
      <c r="F624" s="22"/>
      <c r="G624" s="22"/>
      <c r="H624" s="22"/>
      <c r="I624" s="22"/>
      <c r="J624" s="22"/>
      <c r="K624" s="22"/>
      <c r="L624" s="22"/>
      <c r="M624" s="22"/>
      <c r="N624" s="22"/>
      <c r="O624" s="22"/>
      <c r="P624" s="22"/>
      <c r="Q624" s="22"/>
      <c r="R624" s="22"/>
      <c r="S624" s="22"/>
      <c r="T624" s="22"/>
      <c r="U624" s="22"/>
      <c r="V624" s="22"/>
      <c r="W624" s="22"/>
      <c r="X624" s="22"/>
      <c r="Y624" s="22"/>
      <c r="Z624" s="22"/>
    </row>
    <row r="625" spans="1:26" ht="16.149999999999999" customHeight="1" x14ac:dyDescent="0.25">
      <c r="A625" s="22"/>
      <c r="B625" s="22"/>
      <c r="C625" s="22"/>
      <c r="D625" s="22"/>
      <c r="E625" s="22"/>
      <c r="F625" s="22"/>
      <c r="G625" s="22"/>
      <c r="H625" s="22"/>
      <c r="I625" s="22"/>
      <c r="J625" s="22"/>
      <c r="K625" s="22"/>
      <c r="L625" s="22"/>
      <c r="M625" s="22"/>
      <c r="N625" s="22"/>
      <c r="O625" s="22"/>
      <c r="P625" s="22"/>
      <c r="Q625" s="22"/>
      <c r="R625" s="22"/>
      <c r="S625" s="22"/>
      <c r="T625" s="22"/>
      <c r="U625" s="22"/>
      <c r="V625" s="22"/>
      <c r="W625" s="22"/>
      <c r="X625" s="22"/>
      <c r="Y625" s="22"/>
      <c r="Z625" s="22"/>
    </row>
    <row r="626" spans="1:26" ht="16.149999999999999" customHeight="1" x14ac:dyDescent="0.25">
      <c r="A626" s="22"/>
      <c r="B626" s="22"/>
      <c r="C626" s="22"/>
      <c r="D626" s="22"/>
      <c r="E626" s="22"/>
      <c r="F626" s="22"/>
      <c r="G626" s="22"/>
      <c r="H626" s="22"/>
      <c r="I626" s="22"/>
      <c r="J626" s="22"/>
      <c r="K626" s="22"/>
      <c r="L626" s="22"/>
      <c r="M626" s="22"/>
      <c r="N626" s="22"/>
      <c r="O626" s="22"/>
      <c r="P626" s="22"/>
      <c r="Q626" s="22"/>
      <c r="R626" s="22"/>
      <c r="S626" s="22"/>
      <c r="T626" s="22"/>
      <c r="U626" s="22"/>
      <c r="V626" s="22"/>
      <c r="W626" s="22"/>
      <c r="X626" s="22"/>
      <c r="Y626" s="22"/>
      <c r="Z626" s="22"/>
    </row>
    <row r="627" spans="1:26" ht="16.149999999999999" customHeight="1" x14ac:dyDescent="0.25">
      <c r="A627" s="22"/>
      <c r="B627" s="22"/>
      <c r="C627" s="22"/>
      <c r="D627" s="22"/>
      <c r="E627" s="22"/>
      <c r="F627" s="22"/>
      <c r="G627" s="22"/>
      <c r="H627" s="22"/>
      <c r="I627" s="22"/>
      <c r="J627" s="22"/>
      <c r="K627" s="22"/>
      <c r="L627" s="22"/>
      <c r="M627" s="22"/>
      <c r="N627" s="22"/>
      <c r="O627" s="22"/>
      <c r="P627" s="22"/>
      <c r="Q627" s="22"/>
      <c r="R627" s="22"/>
      <c r="S627" s="22"/>
      <c r="T627" s="22"/>
      <c r="U627" s="22"/>
      <c r="V627" s="22"/>
      <c r="W627" s="22"/>
      <c r="X627" s="22"/>
      <c r="Y627" s="22"/>
      <c r="Z627" s="22"/>
    </row>
    <row r="628" spans="1:26" ht="16.149999999999999" customHeight="1" x14ac:dyDescent="0.25">
      <c r="A628" s="22"/>
      <c r="B628" s="22"/>
      <c r="C628" s="22"/>
      <c r="D628" s="22"/>
      <c r="E628" s="22"/>
      <c r="F628" s="22"/>
      <c r="G628" s="22"/>
      <c r="H628" s="22"/>
      <c r="I628" s="22"/>
      <c r="J628" s="22"/>
      <c r="K628" s="22"/>
      <c r="L628" s="22"/>
      <c r="M628" s="22"/>
      <c r="N628" s="22"/>
      <c r="O628" s="22"/>
      <c r="P628" s="22"/>
      <c r="Q628" s="22"/>
      <c r="R628" s="22"/>
      <c r="S628" s="22"/>
      <c r="T628" s="22"/>
      <c r="U628" s="22"/>
      <c r="V628" s="22"/>
      <c r="W628" s="22"/>
      <c r="X628" s="22"/>
      <c r="Y628" s="22"/>
      <c r="Z628" s="22"/>
    </row>
    <row r="629" spans="1:26" ht="16.149999999999999" customHeight="1" x14ac:dyDescent="0.25">
      <c r="A629" s="22"/>
      <c r="B629" s="22"/>
      <c r="C629" s="22"/>
      <c r="D629" s="22"/>
      <c r="E629" s="22"/>
      <c r="F629" s="22"/>
      <c r="G629" s="22"/>
      <c r="H629" s="22"/>
      <c r="I629" s="22"/>
      <c r="J629" s="22"/>
      <c r="K629" s="22"/>
      <c r="L629" s="22"/>
      <c r="M629" s="22"/>
      <c r="N629" s="22"/>
      <c r="O629" s="22"/>
      <c r="P629" s="22"/>
      <c r="Q629" s="22"/>
      <c r="R629" s="22"/>
      <c r="S629" s="22"/>
      <c r="T629" s="22"/>
      <c r="U629" s="22"/>
      <c r="V629" s="22"/>
      <c r="W629" s="22"/>
      <c r="X629" s="22"/>
      <c r="Y629" s="22"/>
      <c r="Z629" s="22"/>
    </row>
    <row r="630" spans="1:26" ht="16.149999999999999" customHeight="1" x14ac:dyDescent="0.25">
      <c r="A630" s="22"/>
      <c r="B630" s="22"/>
      <c r="C630" s="22"/>
      <c r="D630" s="22"/>
      <c r="E630" s="22"/>
      <c r="F630" s="22"/>
      <c r="G630" s="22"/>
      <c r="H630" s="22"/>
      <c r="I630" s="22"/>
      <c r="J630" s="22"/>
      <c r="K630" s="22"/>
      <c r="L630" s="22"/>
      <c r="M630" s="22"/>
      <c r="N630" s="22"/>
      <c r="O630" s="22"/>
      <c r="P630" s="22"/>
      <c r="Q630" s="22"/>
      <c r="R630" s="22"/>
      <c r="S630" s="22"/>
      <c r="T630" s="22"/>
      <c r="U630" s="22"/>
      <c r="V630" s="22"/>
      <c r="W630" s="22"/>
      <c r="X630" s="22"/>
      <c r="Y630" s="22"/>
      <c r="Z630" s="22"/>
    </row>
    <row r="631" spans="1:26" ht="16.149999999999999" customHeight="1" x14ac:dyDescent="0.25">
      <c r="A631" s="22"/>
      <c r="B631" s="22"/>
      <c r="C631" s="22"/>
      <c r="D631" s="22"/>
      <c r="E631" s="22"/>
      <c r="F631" s="22"/>
      <c r="G631" s="22"/>
      <c r="H631" s="22"/>
      <c r="I631" s="22"/>
      <c r="J631" s="22"/>
      <c r="K631" s="22"/>
      <c r="L631" s="22"/>
      <c r="M631" s="22"/>
      <c r="N631" s="22"/>
      <c r="O631" s="22"/>
      <c r="P631" s="22"/>
      <c r="Q631" s="22"/>
      <c r="R631" s="22"/>
      <c r="S631" s="22"/>
      <c r="T631" s="22"/>
      <c r="U631" s="22"/>
      <c r="V631" s="22"/>
      <c r="W631" s="22"/>
      <c r="X631" s="22"/>
      <c r="Y631" s="22"/>
      <c r="Z631" s="22"/>
    </row>
    <row r="632" spans="1:26" ht="16.149999999999999" customHeight="1" x14ac:dyDescent="0.25">
      <c r="A632" s="22"/>
      <c r="B632" s="22"/>
      <c r="C632" s="22"/>
      <c r="D632" s="22"/>
      <c r="E632" s="22"/>
      <c r="F632" s="22"/>
      <c r="G632" s="22"/>
      <c r="H632" s="22"/>
      <c r="I632" s="22"/>
      <c r="J632" s="22"/>
      <c r="K632" s="22"/>
      <c r="L632" s="22"/>
      <c r="M632" s="22"/>
      <c r="N632" s="22"/>
      <c r="O632" s="22"/>
      <c r="P632" s="22"/>
      <c r="Q632" s="22"/>
      <c r="R632" s="22"/>
      <c r="S632" s="22"/>
      <c r="T632" s="22"/>
      <c r="U632" s="22"/>
      <c r="V632" s="22"/>
      <c r="W632" s="22"/>
      <c r="X632" s="22"/>
      <c r="Y632" s="22"/>
      <c r="Z632" s="22"/>
    </row>
    <row r="633" spans="1:26" ht="16.149999999999999" customHeight="1" x14ac:dyDescent="0.25">
      <c r="A633" s="22"/>
      <c r="B633" s="22"/>
      <c r="C633" s="22"/>
      <c r="D633" s="22"/>
      <c r="E633" s="22"/>
      <c r="F633" s="22"/>
      <c r="G633" s="22"/>
      <c r="H633" s="22"/>
      <c r="I633" s="22"/>
      <c r="J633" s="22"/>
      <c r="K633" s="22"/>
      <c r="L633" s="22"/>
      <c r="M633" s="22"/>
      <c r="N633" s="22"/>
      <c r="O633" s="22"/>
      <c r="P633" s="22"/>
      <c r="Q633" s="22"/>
      <c r="R633" s="22"/>
      <c r="S633" s="22"/>
      <c r="T633" s="22"/>
      <c r="U633" s="22"/>
      <c r="V633" s="22"/>
      <c r="W633" s="22"/>
      <c r="X633" s="22"/>
      <c r="Y633" s="22"/>
      <c r="Z633" s="22"/>
    </row>
    <row r="634" spans="1:26" ht="16.149999999999999" customHeight="1" x14ac:dyDescent="0.25">
      <c r="A634" s="22"/>
      <c r="B634" s="22"/>
      <c r="C634" s="22"/>
      <c r="D634" s="22"/>
      <c r="E634" s="22"/>
      <c r="F634" s="22"/>
      <c r="G634" s="22"/>
      <c r="H634" s="22"/>
      <c r="I634" s="22"/>
      <c r="J634" s="22"/>
      <c r="K634" s="22"/>
      <c r="L634" s="22"/>
      <c r="M634" s="22"/>
      <c r="N634" s="22"/>
      <c r="O634" s="22"/>
      <c r="P634" s="22"/>
      <c r="Q634" s="22"/>
      <c r="R634" s="22"/>
      <c r="S634" s="22"/>
      <c r="T634" s="22"/>
      <c r="U634" s="22"/>
      <c r="V634" s="22"/>
      <c r="W634" s="22"/>
      <c r="X634" s="22"/>
      <c r="Y634" s="22"/>
      <c r="Z634" s="22"/>
    </row>
    <row r="635" spans="1:26" ht="16.149999999999999" customHeight="1" x14ac:dyDescent="0.25">
      <c r="A635" s="22"/>
      <c r="B635" s="22"/>
      <c r="C635" s="22"/>
      <c r="D635" s="22"/>
      <c r="E635" s="22"/>
      <c r="F635" s="22"/>
      <c r="G635" s="22"/>
      <c r="H635" s="22"/>
      <c r="I635" s="22"/>
      <c r="J635" s="22"/>
      <c r="K635" s="22"/>
      <c r="L635" s="22"/>
      <c r="M635" s="22"/>
      <c r="N635" s="22"/>
      <c r="O635" s="22"/>
      <c r="P635" s="22"/>
      <c r="Q635" s="22"/>
      <c r="R635" s="22"/>
      <c r="S635" s="22"/>
      <c r="T635" s="22"/>
      <c r="U635" s="22"/>
      <c r="V635" s="22"/>
      <c r="W635" s="22"/>
      <c r="X635" s="22"/>
      <c r="Y635" s="22"/>
      <c r="Z635" s="22"/>
    </row>
    <row r="636" spans="1:26" ht="16.149999999999999" customHeight="1" x14ac:dyDescent="0.25">
      <c r="A636" s="22"/>
      <c r="B636" s="22"/>
      <c r="C636" s="22"/>
      <c r="D636" s="22"/>
      <c r="E636" s="22"/>
      <c r="F636" s="22"/>
      <c r="G636" s="22"/>
      <c r="H636" s="22"/>
      <c r="I636" s="22"/>
      <c r="J636" s="22"/>
      <c r="K636" s="22"/>
      <c r="L636" s="22"/>
      <c r="M636" s="22"/>
      <c r="N636" s="22"/>
      <c r="O636" s="22"/>
      <c r="P636" s="22"/>
      <c r="Q636" s="22"/>
      <c r="R636" s="22"/>
      <c r="S636" s="22"/>
      <c r="T636" s="22"/>
      <c r="U636" s="22"/>
      <c r="V636" s="22"/>
      <c r="W636" s="22"/>
      <c r="X636" s="22"/>
      <c r="Y636" s="22"/>
      <c r="Z636" s="22"/>
    </row>
    <row r="637" spans="1:26" ht="16.149999999999999" customHeight="1" x14ac:dyDescent="0.25">
      <c r="A637" s="22"/>
      <c r="B637" s="22"/>
      <c r="C637" s="22"/>
      <c r="D637" s="22"/>
      <c r="E637" s="22"/>
      <c r="F637" s="22"/>
      <c r="G637" s="22"/>
      <c r="H637" s="22"/>
      <c r="I637" s="22"/>
      <c r="J637" s="22"/>
      <c r="K637" s="22"/>
      <c r="L637" s="22"/>
      <c r="M637" s="22"/>
      <c r="N637" s="22"/>
      <c r="O637" s="22"/>
      <c r="P637" s="22"/>
      <c r="Q637" s="22"/>
      <c r="R637" s="22"/>
      <c r="S637" s="22"/>
      <c r="T637" s="22"/>
      <c r="U637" s="22"/>
      <c r="V637" s="22"/>
      <c r="W637" s="22"/>
      <c r="X637" s="22"/>
      <c r="Y637" s="22"/>
      <c r="Z637" s="22"/>
    </row>
    <row r="638" spans="1:26" ht="16.149999999999999" customHeight="1" x14ac:dyDescent="0.25">
      <c r="A638" s="22"/>
      <c r="B638" s="22"/>
      <c r="C638" s="22"/>
      <c r="D638" s="22"/>
      <c r="E638" s="22"/>
      <c r="F638" s="22"/>
      <c r="G638" s="22"/>
      <c r="H638" s="22"/>
      <c r="I638" s="22"/>
      <c r="J638" s="22"/>
      <c r="K638" s="22"/>
      <c r="L638" s="22"/>
      <c r="M638" s="22"/>
      <c r="N638" s="22"/>
      <c r="O638" s="22"/>
      <c r="P638" s="22"/>
      <c r="Q638" s="22"/>
      <c r="R638" s="22"/>
      <c r="S638" s="22"/>
      <c r="T638" s="22"/>
      <c r="U638" s="22"/>
      <c r="V638" s="22"/>
      <c r="W638" s="22"/>
      <c r="X638" s="22"/>
      <c r="Y638" s="22"/>
      <c r="Z638" s="22"/>
    </row>
    <row r="639" spans="1:26" ht="16.149999999999999" customHeight="1" x14ac:dyDescent="0.25">
      <c r="A639" s="22"/>
      <c r="B639" s="22"/>
      <c r="C639" s="22"/>
      <c r="D639" s="22"/>
      <c r="E639" s="22"/>
      <c r="F639" s="22"/>
      <c r="G639" s="22"/>
      <c r="H639" s="22"/>
      <c r="I639" s="22"/>
      <c r="J639" s="22"/>
      <c r="K639" s="22"/>
      <c r="L639" s="22"/>
      <c r="M639" s="22"/>
      <c r="N639" s="22"/>
      <c r="O639" s="22"/>
      <c r="P639" s="22"/>
      <c r="Q639" s="22"/>
      <c r="R639" s="22"/>
      <c r="S639" s="22"/>
      <c r="T639" s="22"/>
      <c r="U639" s="22"/>
      <c r="V639" s="22"/>
      <c r="W639" s="22"/>
      <c r="X639" s="22"/>
      <c r="Y639" s="22"/>
      <c r="Z639" s="22"/>
    </row>
    <row r="640" spans="1:26" ht="16.149999999999999" customHeight="1" x14ac:dyDescent="0.25">
      <c r="A640" s="22"/>
      <c r="B640" s="22"/>
      <c r="C640" s="22"/>
      <c r="D640" s="22"/>
      <c r="E640" s="22"/>
      <c r="F640" s="22"/>
      <c r="G640" s="22"/>
      <c r="H640" s="22"/>
      <c r="I640" s="22"/>
      <c r="J640" s="22"/>
      <c r="K640" s="22"/>
      <c r="L640" s="22"/>
      <c r="M640" s="22"/>
      <c r="N640" s="22"/>
      <c r="O640" s="22"/>
      <c r="P640" s="22"/>
      <c r="Q640" s="22"/>
      <c r="R640" s="22"/>
      <c r="S640" s="22"/>
      <c r="T640" s="22"/>
      <c r="U640" s="22"/>
      <c r="V640" s="22"/>
      <c r="W640" s="22"/>
      <c r="X640" s="22"/>
      <c r="Y640" s="22"/>
      <c r="Z640" s="22"/>
    </row>
    <row r="641" spans="1:26" ht="16.149999999999999" customHeight="1" x14ac:dyDescent="0.25">
      <c r="A641" s="22"/>
      <c r="B641" s="22"/>
      <c r="C641" s="22"/>
      <c r="D641" s="22"/>
      <c r="E641" s="22"/>
      <c r="F641" s="22"/>
      <c r="G641" s="22"/>
      <c r="H641" s="22"/>
      <c r="I641" s="22"/>
      <c r="J641" s="22"/>
      <c r="K641" s="22"/>
      <c r="L641" s="22"/>
      <c r="M641" s="22"/>
      <c r="N641" s="22"/>
      <c r="O641" s="22"/>
      <c r="P641" s="22"/>
      <c r="Q641" s="22"/>
      <c r="R641" s="22"/>
      <c r="S641" s="22"/>
      <c r="T641" s="22"/>
      <c r="U641" s="22"/>
      <c r="V641" s="22"/>
      <c r="W641" s="22"/>
      <c r="X641" s="22"/>
      <c r="Y641" s="22"/>
      <c r="Z641" s="22"/>
    </row>
    <row r="642" spans="1:26" ht="16.149999999999999" customHeight="1" x14ac:dyDescent="0.25">
      <c r="A642" s="22"/>
      <c r="B642" s="22"/>
      <c r="C642" s="22"/>
      <c r="D642" s="22"/>
      <c r="E642" s="22"/>
      <c r="F642" s="22"/>
      <c r="G642" s="22"/>
      <c r="H642" s="22"/>
      <c r="I642" s="22"/>
      <c r="J642" s="22"/>
      <c r="K642" s="22"/>
      <c r="L642" s="22"/>
      <c r="M642" s="22"/>
      <c r="N642" s="22"/>
      <c r="O642" s="22"/>
      <c r="P642" s="22"/>
      <c r="Q642" s="22"/>
      <c r="R642" s="22"/>
      <c r="S642" s="22"/>
      <c r="T642" s="22"/>
      <c r="U642" s="22"/>
      <c r="V642" s="22"/>
      <c r="W642" s="22"/>
      <c r="X642" s="22"/>
      <c r="Y642" s="22"/>
      <c r="Z642" s="22"/>
    </row>
    <row r="643" spans="1:26" ht="16.149999999999999" customHeight="1" x14ac:dyDescent="0.25">
      <c r="A643" s="22"/>
      <c r="B643" s="22"/>
      <c r="C643" s="22"/>
      <c r="D643" s="22"/>
      <c r="E643" s="22"/>
      <c r="F643" s="22"/>
      <c r="G643" s="22"/>
      <c r="H643" s="22"/>
      <c r="I643" s="22"/>
      <c r="J643" s="22"/>
      <c r="K643" s="22"/>
      <c r="L643" s="22"/>
      <c r="M643" s="22"/>
      <c r="N643" s="22"/>
      <c r="O643" s="22"/>
      <c r="P643" s="22"/>
      <c r="Q643" s="22"/>
      <c r="R643" s="22"/>
      <c r="S643" s="22"/>
      <c r="T643" s="22"/>
      <c r="U643" s="22"/>
      <c r="V643" s="22"/>
      <c r="W643" s="22"/>
      <c r="X643" s="22"/>
      <c r="Y643" s="22"/>
      <c r="Z643" s="22"/>
    </row>
    <row r="644" spans="1:26" ht="16.149999999999999" customHeight="1" x14ac:dyDescent="0.25">
      <c r="A644" s="22"/>
      <c r="B644" s="22"/>
      <c r="C644" s="22"/>
      <c r="D644" s="22"/>
      <c r="E644" s="22"/>
      <c r="F644" s="22"/>
      <c r="G644" s="22"/>
      <c r="H644" s="22"/>
      <c r="I644" s="22"/>
      <c r="J644" s="22"/>
      <c r="K644" s="22"/>
      <c r="L644" s="22"/>
      <c r="M644" s="22"/>
      <c r="N644" s="22"/>
      <c r="O644" s="22"/>
      <c r="P644" s="22"/>
      <c r="Q644" s="22"/>
      <c r="R644" s="22"/>
      <c r="S644" s="22"/>
      <c r="T644" s="22"/>
      <c r="U644" s="22"/>
      <c r="V644" s="22"/>
      <c r="W644" s="22"/>
      <c r="X644" s="22"/>
      <c r="Y644" s="22"/>
      <c r="Z644" s="22"/>
    </row>
    <row r="645" spans="1:26" ht="16.149999999999999" customHeight="1" x14ac:dyDescent="0.25">
      <c r="A645" s="22"/>
      <c r="B645" s="22"/>
      <c r="C645" s="22"/>
      <c r="D645" s="22"/>
      <c r="E645" s="22"/>
      <c r="F645" s="22"/>
      <c r="G645" s="22"/>
      <c r="H645" s="22"/>
      <c r="I645" s="22"/>
      <c r="J645" s="22"/>
      <c r="K645" s="22"/>
      <c r="L645" s="22"/>
      <c r="M645" s="22"/>
      <c r="N645" s="22"/>
      <c r="O645" s="22"/>
      <c r="P645" s="22"/>
      <c r="Q645" s="22"/>
      <c r="R645" s="22"/>
      <c r="S645" s="22"/>
      <c r="T645" s="22"/>
      <c r="U645" s="22"/>
      <c r="V645" s="22"/>
      <c r="W645" s="22"/>
      <c r="X645" s="22"/>
      <c r="Y645" s="22"/>
      <c r="Z645" s="22"/>
    </row>
    <row r="646" spans="1:26" ht="16.149999999999999" customHeight="1" x14ac:dyDescent="0.25">
      <c r="A646" s="22"/>
      <c r="B646" s="22"/>
      <c r="C646" s="22"/>
      <c r="D646" s="22"/>
      <c r="E646" s="22"/>
      <c r="F646" s="22"/>
      <c r="G646" s="22"/>
      <c r="H646" s="22"/>
      <c r="I646" s="22"/>
      <c r="J646" s="22"/>
      <c r="K646" s="22"/>
      <c r="L646" s="22"/>
      <c r="M646" s="22"/>
      <c r="N646" s="22"/>
      <c r="O646" s="22"/>
      <c r="P646" s="22"/>
      <c r="Q646" s="22"/>
      <c r="R646" s="22"/>
      <c r="S646" s="22"/>
      <c r="T646" s="22"/>
      <c r="U646" s="22"/>
      <c r="V646" s="22"/>
      <c r="W646" s="22"/>
      <c r="X646" s="22"/>
      <c r="Y646" s="22"/>
      <c r="Z646" s="22"/>
    </row>
    <row r="647" spans="1:26" ht="16.149999999999999" customHeight="1" x14ac:dyDescent="0.25">
      <c r="A647" s="22"/>
      <c r="B647" s="22"/>
      <c r="C647" s="22"/>
      <c r="D647" s="22"/>
      <c r="E647" s="22"/>
      <c r="F647" s="22"/>
      <c r="G647" s="22"/>
      <c r="H647" s="22"/>
      <c r="I647" s="22"/>
      <c r="J647" s="22"/>
      <c r="K647" s="22"/>
      <c r="L647" s="22"/>
      <c r="M647" s="22"/>
      <c r="N647" s="22"/>
      <c r="O647" s="22"/>
      <c r="P647" s="22"/>
      <c r="Q647" s="22"/>
      <c r="R647" s="22"/>
      <c r="S647" s="22"/>
      <c r="T647" s="22"/>
      <c r="U647" s="22"/>
      <c r="V647" s="22"/>
      <c r="W647" s="22"/>
      <c r="X647" s="22"/>
      <c r="Y647" s="22"/>
      <c r="Z647" s="22"/>
    </row>
    <row r="648" spans="1:26" ht="16.149999999999999" customHeight="1" x14ac:dyDescent="0.25">
      <c r="A648" s="22"/>
      <c r="B648" s="22"/>
      <c r="C648" s="22"/>
      <c r="D648" s="22"/>
      <c r="E648" s="22"/>
      <c r="F648" s="22"/>
      <c r="G648" s="22"/>
      <c r="H648" s="22"/>
      <c r="I648" s="22"/>
      <c r="J648" s="22"/>
      <c r="K648" s="22"/>
      <c r="L648" s="22"/>
      <c r="M648" s="22"/>
      <c r="N648" s="22"/>
      <c r="O648" s="22"/>
      <c r="P648" s="22"/>
      <c r="Q648" s="22"/>
      <c r="R648" s="22"/>
      <c r="S648" s="22"/>
      <c r="T648" s="22"/>
      <c r="U648" s="22"/>
      <c r="V648" s="22"/>
      <c r="W648" s="22"/>
      <c r="X648" s="22"/>
      <c r="Y648" s="22"/>
      <c r="Z648" s="22"/>
    </row>
    <row r="649" spans="1:26" ht="16.149999999999999" customHeight="1" x14ac:dyDescent="0.25">
      <c r="A649" s="22"/>
      <c r="B649" s="22"/>
      <c r="C649" s="22"/>
      <c r="D649" s="22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22"/>
      <c r="Q649" s="22"/>
      <c r="R649" s="22"/>
      <c r="S649" s="22"/>
      <c r="T649" s="22"/>
      <c r="U649" s="22"/>
      <c r="V649" s="22"/>
      <c r="W649" s="22"/>
      <c r="X649" s="22"/>
      <c r="Y649" s="22"/>
      <c r="Z649" s="22"/>
    </row>
    <row r="650" spans="1:26" ht="16.149999999999999" customHeight="1" x14ac:dyDescent="0.25">
      <c r="A650" s="22"/>
      <c r="B650" s="22"/>
      <c r="C650" s="22"/>
      <c r="D650" s="22"/>
      <c r="E650" s="22"/>
      <c r="F650" s="22"/>
      <c r="G650" s="22"/>
      <c r="H650" s="22"/>
      <c r="I650" s="22"/>
      <c r="J650" s="22"/>
      <c r="K650" s="22"/>
      <c r="L650" s="22"/>
      <c r="M650" s="22"/>
      <c r="N650" s="22"/>
      <c r="O650" s="22"/>
      <c r="P650" s="22"/>
      <c r="Q650" s="22"/>
      <c r="R650" s="22"/>
      <c r="S650" s="22"/>
      <c r="T650" s="22"/>
      <c r="U650" s="22"/>
      <c r="V650" s="22"/>
      <c r="W650" s="22"/>
      <c r="X650" s="22"/>
      <c r="Y650" s="22"/>
      <c r="Z650" s="22"/>
    </row>
    <row r="651" spans="1:26" ht="16.149999999999999" customHeight="1" x14ac:dyDescent="0.25">
      <c r="A651" s="22"/>
      <c r="B651" s="22"/>
      <c r="C651" s="22"/>
      <c r="D651" s="22"/>
      <c r="E651" s="22"/>
      <c r="F651" s="22"/>
      <c r="G651" s="22"/>
      <c r="H651" s="22"/>
      <c r="I651" s="22"/>
      <c r="J651" s="22"/>
      <c r="K651" s="22"/>
      <c r="L651" s="22"/>
      <c r="M651" s="22"/>
      <c r="N651" s="22"/>
      <c r="O651" s="22"/>
      <c r="P651" s="22"/>
      <c r="Q651" s="22"/>
      <c r="R651" s="22"/>
      <c r="S651" s="22"/>
      <c r="T651" s="22"/>
      <c r="U651" s="22"/>
      <c r="V651" s="22"/>
      <c r="W651" s="22"/>
      <c r="X651" s="22"/>
      <c r="Y651" s="22"/>
      <c r="Z651" s="22"/>
    </row>
    <row r="652" spans="1:26" ht="16.149999999999999" customHeight="1" x14ac:dyDescent="0.25">
      <c r="A652" s="22"/>
      <c r="B652" s="22"/>
      <c r="C652" s="22"/>
      <c r="D652" s="22"/>
      <c r="E652" s="22"/>
      <c r="F652" s="22"/>
      <c r="G652" s="22"/>
      <c r="H652" s="22"/>
      <c r="I652" s="22"/>
      <c r="J652" s="22"/>
      <c r="K652" s="22"/>
      <c r="L652" s="22"/>
      <c r="M652" s="22"/>
      <c r="N652" s="22"/>
      <c r="O652" s="22"/>
      <c r="P652" s="22"/>
      <c r="Q652" s="22"/>
      <c r="R652" s="22"/>
      <c r="S652" s="22"/>
      <c r="T652" s="22"/>
      <c r="U652" s="22"/>
      <c r="V652" s="22"/>
      <c r="W652" s="22"/>
      <c r="X652" s="22"/>
      <c r="Y652" s="22"/>
      <c r="Z652" s="22"/>
    </row>
    <row r="653" spans="1:26" ht="16.149999999999999" customHeight="1" x14ac:dyDescent="0.25">
      <c r="A653" s="22"/>
      <c r="B653" s="22"/>
      <c r="C653" s="22"/>
      <c r="D653" s="22"/>
      <c r="E653" s="22"/>
      <c r="F653" s="22"/>
      <c r="G653" s="22"/>
      <c r="H653" s="22"/>
      <c r="I653" s="22"/>
      <c r="J653" s="22"/>
      <c r="K653" s="22"/>
      <c r="L653" s="22"/>
      <c r="M653" s="22"/>
      <c r="N653" s="22"/>
      <c r="O653" s="22"/>
      <c r="P653" s="22"/>
      <c r="Q653" s="22"/>
      <c r="R653" s="22"/>
      <c r="S653" s="22"/>
      <c r="T653" s="22"/>
      <c r="U653" s="22"/>
      <c r="V653" s="22"/>
      <c r="W653" s="22"/>
      <c r="X653" s="22"/>
      <c r="Y653" s="22"/>
      <c r="Z653" s="22"/>
    </row>
    <row r="654" spans="1:26" ht="16.149999999999999" customHeight="1" x14ac:dyDescent="0.25">
      <c r="A654" s="22"/>
      <c r="B654" s="22"/>
      <c r="C654" s="22"/>
      <c r="D654" s="22"/>
      <c r="E654" s="22"/>
      <c r="F654" s="22"/>
      <c r="G654" s="22"/>
      <c r="H654" s="22"/>
      <c r="I654" s="22"/>
      <c r="J654" s="22"/>
      <c r="K654" s="22"/>
      <c r="L654" s="22"/>
      <c r="M654" s="22"/>
      <c r="N654" s="22"/>
      <c r="O654" s="22"/>
      <c r="P654" s="22"/>
      <c r="Q654" s="22"/>
      <c r="R654" s="22"/>
      <c r="S654" s="22"/>
      <c r="T654" s="22"/>
      <c r="U654" s="22"/>
      <c r="V654" s="22"/>
      <c r="W654" s="22"/>
      <c r="X654" s="22"/>
      <c r="Y654" s="22"/>
      <c r="Z654" s="22"/>
    </row>
    <row r="655" spans="1:26" ht="16.149999999999999" customHeight="1" x14ac:dyDescent="0.25">
      <c r="A655" s="22"/>
      <c r="B655" s="22"/>
      <c r="C655" s="22"/>
      <c r="D655" s="22"/>
      <c r="E655" s="22"/>
      <c r="F655" s="22"/>
      <c r="G655" s="22"/>
      <c r="H655" s="22"/>
      <c r="I655" s="22"/>
      <c r="J655" s="22"/>
      <c r="K655" s="22"/>
      <c r="L655" s="22"/>
      <c r="M655" s="22"/>
      <c r="N655" s="22"/>
      <c r="O655" s="22"/>
      <c r="P655" s="22"/>
      <c r="Q655" s="22"/>
      <c r="R655" s="22"/>
      <c r="S655" s="22"/>
      <c r="T655" s="22"/>
      <c r="U655" s="22"/>
      <c r="V655" s="22"/>
      <c r="W655" s="22"/>
      <c r="X655" s="22"/>
      <c r="Y655" s="22"/>
      <c r="Z655" s="22"/>
    </row>
    <row r="656" spans="1:26" ht="16.149999999999999" customHeight="1" x14ac:dyDescent="0.25">
      <c r="A656" s="22"/>
      <c r="B656" s="22"/>
      <c r="C656" s="22"/>
      <c r="D656" s="22"/>
      <c r="E656" s="22"/>
      <c r="F656" s="22"/>
      <c r="G656" s="22"/>
      <c r="H656" s="22"/>
      <c r="I656" s="22"/>
      <c r="J656" s="22"/>
      <c r="K656" s="22"/>
      <c r="L656" s="22"/>
      <c r="M656" s="22"/>
      <c r="N656" s="22"/>
      <c r="O656" s="22"/>
      <c r="P656" s="22"/>
      <c r="Q656" s="22"/>
      <c r="R656" s="22"/>
      <c r="S656" s="22"/>
      <c r="T656" s="22"/>
      <c r="U656" s="22"/>
      <c r="V656" s="22"/>
      <c r="W656" s="22"/>
      <c r="X656" s="22"/>
      <c r="Y656" s="22"/>
      <c r="Z656" s="22"/>
    </row>
    <row r="657" spans="1:26" ht="16.149999999999999" customHeight="1" x14ac:dyDescent="0.25">
      <c r="A657" s="22"/>
      <c r="B657" s="22"/>
      <c r="C657" s="22"/>
      <c r="D657" s="22"/>
      <c r="E657" s="22"/>
      <c r="F657" s="22"/>
      <c r="G657" s="22"/>
      <c r="H657" s="22"/>
      <c r="I657" s="22"/>
      <c r="J657" s="22"/>
      <c r="K657" s="22"/>
      <c r="L657" s="22"/>
      <c r="M657" s="22"/>
      <c r="N657" s="22"/>
      <c r="O657" s="22"/>
      <c r="P657" s="22"/>
      <c r="Q657" s="22"/>
      <c r="R657" s="22"/>
      <c r="S657" s="22"/>
      <c r="T657" s="22"/>
      <c r="U657" s="22"/>
      <c r="V657" s="22"/>
      <c r="W657" s="22"/>
      <c r="X657" s="22"/>
      <c r="Y657" s="22"/>
      <c r="Z657" s="22"/>
    </row>
    <row r="658" spans="1:26" ht="16.149999999999999" customHeight="1" x14ac:dyDescent="0.25">
      <c r="A658" s="22"/>
      <c r="B658" s="22"/>
      <c r="C658" s="22"/>
      <c r="D658" s="22"/>
      <c r="E658" s="22"/>
      <c r="F658" s="22"/>
      <c r="G658" s="22"/>
      <c r="H658" s="22"/>
      <c r="I658" s="22"/>
      <c r="J658" s="22"/>
      <c r="K658" s="22"/>
      <c r="L658" s="22"/>
      <c r="M658" s="22"/>
      <c r="N658" s="22"/>
      <c r="O658" s="22"/>
      <c r="P658" s="22"/>
      <c r="Q658" s="22"/>
      <c r="R658" s="22"/>
      <c r="S658" s="22"/>
      <c r="T658" s="22"/>
      <c r="U658" s="22"/>
      <c r="V658" s="22"/>
      <c r="W658" s="22"/>
      <c r="X658" s="22"/>
      <c r="Y658" s="22"/>
      <c r="Z658" s="22"/>
    </row>
    <row r="659" spans="1:26" ht="16.149999999999999" customHeight="1" x14ac:dyDescent="0.25">
      <c r="A659" s="22"/>
      <c r="B659" s="22"/>
      <c r="C659" s="22"/>
      <c r="D659" s="22"/>
      <c r="E659" s="22"/>
      <c r="F659" s="22"/>
      <c r="G659" s="22"/>
      <c r="H659" s="22"/>
      <c r="I659" s="22"/>
      <c r="J659" s="22"/>
      <c r="K659" s="22"/>
      <c r="L659" s="22"/>
      <c r="M659" s="22"/>
      <c r="N659" s="22"/>
      <c r="O659" s="22"/>
      <c r="P659" s="22"/>
      <c r="Q659" s="22"/>
      <c r="R659" s="22"/>
      <c r="S659" s="22"/>
      <c r="T659" s="22"/>
      <c r="U659" s="22"/>
      <c r="V659" s="22"/>
      <c r="W659" s="22"/>
      <c r="X659" s="22"/>
      <c r="Y659" s="22"/>
      <c r="Z659" s="22"/>
    </row>
    <row r="660" spans="1:26" ht="16.149999999999999" customHeight="1" x14ac:dyDescent="0.25">
      <c r="A660" s="22"/>
      <c r="B660" s="22"/>
      <c r="C660" s="22"/>
      <c r="D660" s="22"/>
      <c r="E660" s="22"/>
      <c r="F660" s="22"/>
      <c r="G660" s="22"/>
      <c r="H660" s="22"/>
      <c r="I660" s="22"/>
      <c r="J660" s="22"/>
      <c r="K660" s="22"/>
      <c r="L660" s="22"/>
      <c r="M660" s="22"/>
      <c r="N660" s="22"/>
      <c r="O660" s="22"/>
      <c r="P660" s="22"/>
      <c r="Q660" s="22"/>
      <c r="R660" s="22"/>
      <c r="S660" s="22"/>
      <c r="T660" s="22"/>
      <c r="U660" s="22"/>
      <c r="V660" s="22"/>
      <c r="W660" s="22"/>
      <c r="X660" s="22"/>
      <c r="Y660" s="22"/>
      <c r="Z660" s="22"/>
    </row>
    <row r="661" spans="1:26" ht="16.149999999999999" customHeight="1" x14ac:dyDescent="0.25">
      <c r="A661" s="22"/>
      <c r="B661" s="22"/>
      <c r="C661" s="22"/>
      <c r="D661" s="22"/>
      <c r="E661" s="22"/>
      <c r="F661" s="22"/>
      <c r="G661" s="22"/>
      <c r="H661" s="22"/>
      <c r="I661" s="22"/>
      <c r="J661" s="22"/>
      <c r="K661" s="22"/>
      <c r="L661" s="22"/>
      <c r="M661" s="22"/>
      <c r="N661" s="22"/>
      <c r="O661" s="22"/>
      <c r="P661" s="22"/>
      <c r="Q661" s="22"/>
      <c r="R661" s="22"/>
      <c r="S661" s="22"/>
      <c r="T661" s="22"/>
      <c r="U661" s="22"/>
      <c r="V661" s="22"/>
      <c r="W661" s="22"/>
      <c r="X661" s="22"/>
      <c r="Y661" s="22"/>
      <c r="Z661" s="22"/>
    </row>
    <row r="662" spans="1:26" ht="16.149999999999999" customHeight="1" x14ac:dyDescent="0.25">
      <c r="A662" s="22"/>
      <c r="B662" s="22"/>
      <c r="C662" s="22"/>
      <c r="D662" s="22"/>
      <c r="E662" s="22"/>
      <c r="F662" s="22"/>
      <c r="G662" s="22"/>
      <c r="H662" s="22"/>
      <c r="I662" s="22"/>
      <c r="J662" s="22"/>
      <c r="K662" s="22"/>
      <c r="L662" s="22"/>
      <c r="M662" s="22"/>
      <c r="N662" s="22"/>
      <c r="O662" s="22"/>
      <c r="P662" s="22"/>
      <c r="Q662" s="22"/>
      <c r="R662" s="22"/>
      <c r="S662" s="22"/>
      <c r="T662" s="22"/>
      <c r="U662" s="22"/>
      <c r="V662" s="22"/>
      <c r="W662" s="22"/>
      <c r="X662" s="22"/>
      <c r="Y662" s="22"/>
      <c r="Z662" s="22"/>
    </row>
    <row r="663" spans="1:26" ht="16.149999999999999" customHeight="1" x14ac:dyDescent="0.25">
      <c r="A663" s="22"/>
      <c r="B663" s="22"/>
      <c r="C663" s="22"/>
      <c r="D663" s="22"/>
      <c r="E663" s="22"/>
      <c r="F663" s="22"/>
      <c r="G663" s="22"/>
      <c r="H663" s="22"/>
      <c r="I663" s="22"/>
      <c r="J663" s="22"/>
      <c r="K663" s="22"/>
      <c r="L663" s="22"/>
      <c r="M663" s="22"/>
      <c r="N663" s="22"/>
      <c r="O663" s="22"/>
      <c r="P663" s="22"/>
      <c r="Q663" s="22"/>
      <c r="R663" s="22"/>
      <c r="S663" s="22"/>
      <c r="T663" s="22"/>
      <c r="U663" s="22"/>
      <c r="V663" s="22"/>
      <c r="W663" s="22"/>
      <c r="X663" s="22"/>
      <c r="Y663" s="22"/>
      <c r="Z663" s="22"/>
    </row>
    <row r="664" spans="1:26" ht="16.149999999999999" customHeight="1" x14ac:dyDescent="0.25">
      <c r="A664" s="22"/>
      <c r="B664" s="22"/>
      <c r="C664" s="22"/>
      <c r="D664" s="22"/>
      <c r="E664" s="22"/>
      <c r="F664" s="22"/>
      <c r="G664" s="22"/>
      <c r="H664" s="22"/>
      <c r="I664" s="22"/>
      <c r="J664" s="22"/>
      <c r="K664" s="22"/>
      <c r="L664" s="22"/>
      <c r="M664" s="22"/>
      <c r="N664" s="22"/>
      <c r="O664" s="22"/>
      <c r="P664" s="22"/>
      <c r="Q664" s="22"/>
      <c r="R664" s="22"/>
      <c r="S664" s="22"/>
      <c r="T664" s="22"/>
      <c r="U664" s="22"/>
      <c r="V664" s="22"/>
      <c r="W664" s="22"/>
      <c r="X664" s="22"/>
      <c r="Y664" s="22"/>
      <c r="Z664" s="22"/>
    </row>
    <row r="665" spans="1:26" ht="16.149999999999999" customHeight="1" x14ac:dyDescent="0.25">
      <c r="A665" s="22"/>
      <c r="B665" s="22"/>
      <c r="C665" s="22"/>
      <c r="D665" s="22"/>
      <c r="E665" s="22"/>
      <c r="F665" s="22"/>
      <c r="G665" s="22"/>
      <c r="H665" s="22"/>
      <c r="I665" s="22"/>
      <c r="J665" s="22"/>
      <c r="K665" s="22"/>
      <c r="L665" s="22"/>
      <c r="M665" s="22"/>
      <c r="N665" s="22"/>
      <c r="O665" s="22"/>
      <c r="P665" s="22"/>
      <c r="Q665" s="22"/>
      <c r="R665" s="22"/>
      <c r="S665" s="22"/>
      <c r="T665" s="22"/>
      <c r="U665" s="22"/>
      <c r="V665" s="22"/>
      <c r="W665" s="22"/>
      <c r="X665" s="22"/>
      <c r="Y665" s="22"/>
      <c r="Z665" s="22"/>
    </row>
    <row r="666" spans="1:26" ht="16.149999999999999" customHeight="1" x14ac:dyDescent="0.25">
      <c r="A666" s="22"/>
      <c r="B666" s="22"/>
      <c r="C666" s="22"/>
      <c r="D666" s="22"/>
      <c r="E666" s="22"/>
      <c r="F666" s="22"/>
      <c r="G666" s="22"/>
      <c r="H666" s="22"/>
      <c r="I666" s="22"/>
      <c r="J666" s="22"/>
      <c r="K666" s="22"/>
      <c r="L666" s="22"/>
      <c r="M666" s="22"/>
      <c r="N666" s="22"/>
      <c r="O666" s="22"/>
      <c r="P666" s="22"/>
      <c r="Q666" s="22"/>
      <c r="R666" s="22"/>
      <c r="S666" s="22"/>
      <c r="T666" s="22"/>
      <c r="U666" s="22"/>
      <c r="V666" s="22"/>
      <c r="W666" s="22"/>
      <c r="X666" s="22"/>
      <c r="Y666" s="22"/>
      <c r="Z666" s="22"/>
    </row>
    <row r="667" spans="1:26" ht="16.149999999999999" customHeight="1" x14ac:dyDescent="0.25">
      <c r="A667" s="22"/>
      <c r="B667" s="22"/>
      <c r="C667" s="22"/>
      <c r="D667" s="22"/>
      <c r="E667" s="22"/>
      <c r="F667" s="22"/>
      <c r="G667" s="22"/>
      <c r="H667" s="22"/>
      <c r="I667" s="22"/>
      <c r="J667" s="22"/>
      <c r="K667" s="22"/>
      <c r="L667" s="22"/>
      <c r="M667" s="22"/>
      <c r="N667" s="22"/>
      <c r="O667" s="22"/>
      <c r="P667" s="22"/>
      <c r="Q667" s="22"/>
      <c r="R667" s="22"/>
      <c r="S667" s="22"/>
      <c r="T667" s="22"/>
      <c r="U667" s="22"/>
      <c r="V667" s="22"/>
      <c r="W667" s="22"/>
      <c r="X667" s="22"/>
      <c r="Y667" s="22"/>
      <c r="Z667" s="22"/>
    </row>
    <row r="668" spans="1:26" ht="16.149999999999999" customHeight="1" x14ac:dyDescent="0.25">
      <c r="A668" s="22"/>
      <c r="B668" s="22"/>
      <c r="C668" s="22"/>
      <c r="D668" s="22"/>
      <c r="E668" s="22"/>
      <c r="F668" s="22"/>
      <c r="G668" s="22"/>
      <c r="H668" s="22"/>
      <c r="I668" s="22"/>
      <c r="J668" s="22"/>
      <c r="K668" s="22"/>
      <c r="L668" s="22"/>
      <c r="M668" s="22"/>
      <c r="N668" s="22"/>
      <c r="O668" s="22"/>
      <c r="P668" s="22"/>
      <c r="Q668" s="22"/>
      <c r="R668" s="22"/>
      <c r="S668" s="22"/>
      <c r="T668" s="22"/>
      <c r="U668" s="22"/>
      <c r="V668" s="22"/>
      <c r="W668" s="22"/>
      <c r="X668" s="22"/>
      <c r="Y668" s="22"/>
      <c r="Z668" s="22"/>
    </row>
    <row r="669" spans="1:26" ht="16.149999999999999" customHeight="1" x14ac:dyDescent="0.25">
      <c r="A669" s="22"/>
      <c r="B669" s="22"/>
      <c r="C669" s="22"/>
      <c r="D669" s="22"/>
      <c r="E669" s="22"/>
      <c r="F669" s="22"/>
      <c r="G669" s="22"/>
      <c r="H669" s="22"/>
      <c r="I669" s="22"/>
      <c r="J669" s="22"/>
      <c r="K669" s="22"/>
      <c r="L669" s="22"/>
      <c r="M669" s="22"/>
      <c r="N669" s="22"/>
      <c r="O669" s="22"/>
      <c r="P669" s="22"/>
      <c r="Q669" s="22"/>
      <c r="R669" s="22"/>
      <c r="S669" s="22"/>
      <c r="T669" s="22"/>
      <c r="U669" s="22"/>
      <c r="V669" s="22"/>
      <c r="W669" s="22"/>
      <c r="X669" s="22"/>
      <c r="Y669" s="22"/>
      <c r="Z669" s="22"/>
    </row>
    <row r="670" spans="1:26" ht="16.149999999999999" customHeight="1" x14ac:dyDescent="0.25">
      <c r="A670" s="22"/>
      <c r="B670" s="22"/>
      <c r="C670" s="22"/>
      <c r="D670" s="22"/>
      <c r="E670" s="22"/>
      <c r="F670" s="22"/>
      <c r="G670" s="22"/>
      <c r="H670" s="22"/>
      <c r="I670" s="22"/>
      <c r="J670" s="22"/>
      <c r="K670" s="22"/>
      <c r="L670" s="22"/>
      <c r="M670" s="22"/>
      <c r="N670" s="22"/>
      <c r="O670" s="22"/>
      <c r="P670" s="22"/>
      <c r="Q670" s="22"/>
      <c r="R670" s="22"/>
      <c r="S670" s="22"/>
      <c r="T670" s="22"/>
      <c r="U670" s="22"/>
      <c r="V670" s="22"/>
      <c r="W670" s="22"/>
      <c r="X670" s="22"/>
      <c r="Y670" s="22"/>
      <c r="Z670" s="22"/>
    </row>
    <row r="671" spans="1:26" ht="16.149999999999999" customHeight="1" x14ac:dyDescent="0.25">
      <c r="A671" s="22"/>
      <c r="B671" s="22"/>
      <c r="C671" s="22"/>
      <c r="D671" s="22"/>
      <c r="E671" s="22"/>
      <c r="F671" s="22"/>
      <c r="G671" s="22"/>
      <c r="H671" s="22"/>
      <c r="I671" s="22"/>
      <c r="J671" s="22"/>
      <c r="K671" s="22"/>
      <c r="L671" s="22"/>
      <c r="M671" s="22"/>
      <c r="N671" s="22"/>
      <c r="O671" s="22"/>
      <c r="P671" s="22"/>
      <c r="Q671" s="22"/>
      <c r="R671" s="22"/>
      <c r="S671" s="22"/>
      <c r="T671" s="22"/>
      <c r="U671" s="22"/>
      <c r="V671" s="22"/>
      <c r="W671" s="22"/>
      <c r="X671" s="22"/>
      <c r="Y671" s="22"/>
      <c r="Z671" s="22"/>
    </row>
    <row r="672" spans="1:26" ht="16.149999999999999" customHeight="1" x14ac:dyDescent="0.25">
      <c r="A672" s="22"/>
      <c r="B672" s="22"/>
      <c r="C672" s="22"/>
      <c r="D672" s="22"/>
      <c r="E672" s="22"/>
      <c r="F672" s="22"/>
      <c r="G672" s="22"/>
      <c r="H672" s="22"/>
      <c r="I672" s="22"/>
      <c r="J672" s="22"/>
      <c r="K672" s="22"/>
      <c r="L672" s="22"/>
      <c r="M672" s="22"/>
      <c r="N672" s="22"/>
      <c r="O672" s="22"/>
      <c r="P672" s="22"/>
      <c r="Q672" s="22"/>
      <c r="R672" s="22"/>
      <c r="S672" s="22"/>
      <c r="T672" s="22"/>
      <c r="U672" s="22"/>
      <c r="V672" s="22"/>
      <c r="W672" s="22"/>
      <c r="X672" s="22"/>
      <c r="Y672" s="22"/>
      <c r="Z672" s="22"/>
    </row>
    <row r="673" spans="1:26" ht="16.149999999999999" customHeight="1" x14ac:dyDescent="0.25">
      <c r="A673" s="22"/>
      <c r="B673" s="22"/>
      <c r="C673" s="22"/>
      <c r="D673" s="22"/>
      <c r="E673" s="22"/>
      <c r="F673" s="22"/>
      <c r="G673" s="22"/>
      <c r="H673" s="22"/>
      <c r="I673" s="22"/>
      <c r="J673" s="22"/>
      <c r="K673" s="22"/>
      <c r="L673" s="22"/>
      <c r="M673" s="22"/>
      <c r="N673" s="22"/>
      <c r="O673" s="22"/>
      <c r="P673" s="22"/>
      <c r="Q673" s="22"/>
      <c r="R673" s="22"/>
      <c r="S673" s="22"/>
      <c r="T673" s="22"/>
      <c r="U673" s="22"/>
      <c r="V673" s="22"/>
      <c r="W673" s="22"/>
      <c r="X673" s="22"/>
      <c r="Y673" s="22"/>
      <c r="Z673" s="22"/>
    </row>
    <row r="674" spans="1:26" ht="16.149999999999999" customHeight="1" x14ac:dyDescent="0.25">
      <c r="A674" s="22"/>
      <c r="B674" s="22"/>
      <c r="C674" s="22"/>
      <c r="D674" s="22"/>
      <c r="E674" s="22"/>
      <c r="F674" s="22"/>
      <c r="G674" s="22"/>
      <c r="H674" s="22"/>
      <c r="I674" s="22"/>
      <c r="J674" s="22"/>
      <c r="K674" s="22"/>
      <c r="L674" s="22"/>
      <c r="M674" s="22"/>
      <c r="N674" s="22"/>
      <c r="O674" s="22"/>
      <c r="P674" s="22"/>
      <c r="Q674" s="22"/>
      <c r="R674" s="22"/>
      <c r="S674" s="22"/>
      <c r="T674" s="22"/>
      <c r="U674" s="22"/>
      <c r="V674" s="22"/>
      <c r="W674" s="22"/>
      <c r="X674" s="22"/>
      <c r="Y674" s="22"/>
      <c r="Z674" s="22"/>
    </row>
    <row r="675" spans="1:26" ht="16.149999999999999" customHeight="1" x14ac:dyDescent="0.25">
      <c r="A675" s="22"/>
      <c r="B675" s="22"/>
      <c r="C675" s="22"/>
      <c r="D675" s="22"/>
      <c r="E675" s="22"/>
      <c r="F675" s="22"/>
      <c r="G675" s="22"/>
      <c r="H675" s="22"/>
      <c r="I675" s="22"/>
      <c r="J675" s="22"/>
      <c r="K675" s="22"/>
      <c r="L675" s="22"/>
      <c r="M675" s="22"/>
      <c r="N675" s="22"/>
      <c r="O675" s="22"/>
      <c r="P675" s="22"/>
      <c r="Q675" s="22"/>
      <c r="R675" s="22"/>
      <c r="S675" s="22"/>
      <c r="T675" s="22"/>
      <c r="U675" s="22"/>
      <c r="V675" s="22"/>
      <c r="W675" s="22"/>
      <c r="X675" s="22"/>
      <c r="Y675" s="22"/>
      <c r="Z675" s="22"/>
    </row>
    <row r="676" spans="1:26" ht="16.149999999999999" customHeight="1" x14ac:dyDescent="0.25">
      <c r="A676" s="22"/>
      <c r="B676" s="22"/>
      <c r="C676" s="22"/>
      <c r="D676" s="22"/>
      <c r="E676" s="22"/>
      <c r="F676" s="22"/>
      <c r="G676" s="22"/>
      <c r="H676" s="22"/>
      <c r="I676" s="22"/>
      <c r="J676" s="22"/>
      <c r="K676" s="22"/>
      <c r="L676" s="22"/>
      <c r="M676" s="22"/>
      <c r="N676" s="22"/>
      <c r="O676" s="22"/>
      <c r="P676" s="22"/>
      <c r="Q676" s="22"/>
      <c r="R676" s="22"/>
      <c r="S676" s="22"/>
      <c r="T676" s="22"/>
      <c r="U676" s="22"/>
      <c r="V676" s="22"/>
      <c r="W676" s="22"/>
      <c r="X676" s="22"/>
      <c r="Y676" s="22"/>
      <c r="Z676" s="22"/>
    </row>
    <row r="677" spans="1:26" ht="16.149999999999999" customHeight="1" x14ac:dyDescent="0.25">
      <c r="A677" s="22"/>
      <c r="B677" s="22"/>
      <c r="C677" s="22"/>
      <c r="D677" s="22"/>
      <c r="E677" s="22"/>
      <c r="F677" s="22"/>
      <c r="G677" s="22"/>
      <c r="H677" s="22"/>
      <c r="I677" s="22"/>
      <c r="J677" s="22"/>
      <c r="K677" s="22"/>
      <c r="L677" s="22"/>
      <c r="M677" s="22"/>
      <c r="N677" s="22"/>
      <c r="O677" s="22"/>
      <c r="P677" s="22"/>
      <c r="Q677" s="22"/>
      <c r="R677" s="22"/>
      <c r="S677" s="22"/>
      <c r="T677" s="22"/>
      <c r="U677" s="22"/>
      <c r="V677" s="22"/>
      <c r="W677" s="22"/>
      <c r="X677" s="22"/>
      <c r="Y677" s="22"/>
      <c r="Z677" s="22"/>
    </row>
    <row r="678" spans="1:26" ht="16.149999999999999" customHeight="1" x14ac:dyDescent="0.25">
      <c r="A678" s="22"/>
      <c r="B678" s="22"/>
      <c r="C678" s="22"/>
      <c r="D678" s="22"/>
      <c r="E678" s="22"/>
      <c r="F678" s="22"/>
      <c r="G678" s="22"/>
      <c r="H678" s="22"/>
      <c r="I678" s="22"/>
      <c r="J678" s="22"/>
      <c r="K678" s="22"/>
      <c r="L678" s="22"/>
      <c r="M678" s="22"/>
      <c r="N678" s="22"/>
      <c r="O678" s="22"/>
      <c r="P678" s="22"/>
      <c r="Q678" s="22"/>
      <c r="R678" s="22"/>
      <c r="S678" s="22"/>
      <c r="T678" s="22"/>
      <c r="U678" s="22"/>
      <c r="V678" s="22"/>
      <c r="W678" s="22"/>
      <c r="X678" s="22"/>
      <c r="Y678" s="22"/>
      <c r="Z678" s="22"/>
    </row>
    <row r="679" spans="1:26" ht="16.149999999999999" customHeight="1" x14ac:dyDescent="0.25">
      <c r="A679" s="22"/>
      <c r="B679" s="22"/>
      <c r="C679" s="22"/>
      <c r="D679" s="22"/>
      <c r="E679" s="22"/>
      <c r="F679" s="22"/>
      <c r="G679" s="22"/>
      <c r="H679" s="22"/>
      <c r="I679" s="22"/>
      <c r="J679" s="22"/>
      <c r="K679" s="22"/>
      <c r="L679" s="22"/>
      <c r="M679" s="22"/>
      <c r="N679" s="22"/>
      <c r="O679" s="22"/>
      <c r="P679" s="22"/>
      <c r="Q679" s="22"/>
      <c r="R679" s="22"/>
      <c r="S679" s="22"/>
      <c r="T679" s="22"/>
      <c r="U679" s="22"/>
      <c r="V679" s="22"/>
      <c r="W679" s="22"/>
      <c r="X679" s="22"/>
      <c r="Y679" s="22"/>
      <c r="Z679" s="22"/>
    </row>
    <row r="680" spans="1:26" ht="16.149999999999999" customHeight="1" x14ac:dyDescent="0.25">
      <c r="A680" s="22"/>
      <c r="B680" s="22"/>
      <c r="C680" s="22"/>
      <c r="D680" s="22"/>
      <c r="E680" s="22"/>
      <c r="F680" s="22"/>
      <c r="G680" s="22"/>
      <c r="H680" s="22"/>
      <c r="I680" s="22"/>
      <c r="J680" s="22"/>
      <c r="K680" s="22"/>
      <c r="L680" s="22"/>
      <c r="M680" s="22"/>
      <c r="N680" s="22"/>
      <c r="O680" s="22"/>
      <c r="P680" s="22"/>
      <c r="Q680" s="22"/>
      <c r="R680" s="22"/>
      <c r="S680" s="22"/>
      <c r="T680" s="22"/>
      <c r="U680" s="22"/>
      <c r="V680" s="22"/>
      <c r="W680" s="22"/>
      <c r="X680" s="22"/>
      <c r="Y680" s="22"/>
      <c r="Z680" s="22"/>
    </row>
    <row r="681" spans="1:26" ht="16.149999999999999" customHeight="1" x14ac:dyDescent="0.25">
      <c r="A681" s="22"/>
      <c r="B681" s="22"/>
      <c r="C681" s="22"/>
      <c r="D681" s="22"/>
      <c r="E681" s="22"/>
      <c r="F681" s="22"/>
      <c r="G681" s="22"/>
      <c r="H681" s="22"/>
      <c r="I681" s="22"/>
      <c r="J681" s="22"/>
      <c r="K681" s="22"/>
      <c r="L681" s="22"/>
      <c r="M681" s="22"/>
      <c r="N681" s="22"/>
      <c r="O681" s="22"/>
      <c r="P681" s="22"/>
      <c r="Q681" s="22"/>
      <c r="R681" s="22"/>
      <c r="S681" s="22"/>
      <c r="T681" s="22"/>
      <c r="U681" s="22"/>
      <c r="V681" s="22"/>
      <c r="W681" s="22"/>
      <c r="X681" s="22"/>
      <c r="Y681" s="22"/>
      <c r="Z681" s="22"/>
    </row>
    <row r="682" spans="1:26" ht="16.149999999999999" customHeight="1" x14ac:dyDescent="0.25">
      <c r="A682" s="22"/>
      <c r="B682" s="22"/>
      <c r="C682" s="22"/>
      <c r="D682" s="22"/>
      <c r="E682" s="22"/>
      <c r="F682" s="22"/>
      <c r="G682" s="22"/>
      <c r="H682" s="22"/>
      <c r="I682" s="22"/>
      <c r="J682" s="22"/>
      <c r="K682" s="22"/>
      <c r="L682" s="22"/>
      <c r="M682" s="22"/>
      <c r="N682" s="22"/>
      <c r="O682" s="22"/>
      <c r="P682" s="22"/>
      <c r="Q682" s="22"/>
      <c r="R682" s="22"/>
      <c r="S682" s="22"/>
      <c r="T682" s="22"/>
      <c r="U682" s="22"/>
      <c r="V682" s="22"/>
      <c r="W682" s="22"/>
      <c r="X682" s="22"/>
      <c r="Y682" s="22"/>
      <c r="Z682" s="22"/>
    </row>
    <row r="683" spans="1:26" ht="16.149999999999999" customHeight="1" x14ac:dyDescent="0.25">
      <c r="A683" s="22"/>
      <c r="B683" s="22"/>
      <c r="C683" s="22"/>
      <c r="D683" s="22"/>
      <c r="E683" s="22"/>
      <c r="F683" s="22"/>
      <c r="G683" s="22"/>
      <c r="H683" s="22"/>
      <c r="I683" s="22"/>
      <c r="J683" s="22"/>
      <c r="K683" s="22"/>
      <c r="L683" s="22"/>
      <c r="M683" s="22"/>
      <c r="N683" s="22"/>
      <c r="O683" s="22"/>
      <c r="P683" s="22"/>
      <c r="Q683" s="22"/>
      <c r="R683" s="22"/>
      <c r="S683" s="22"/>
      <c r="T683" s="22"/>
      <c r="U683" s="22"/>
      <c r="V683" s="22"/>
      <c r="W683" s="22"/>
      <c r="X683" s="22"/>
      <c r="Y683" s="22"/>
      <c r="Z683" s="22"/>
    </row>
    <row r="684" spans="1:26" ht="16.149999999999999" customHeight="1" x14ac:dyDescent="0.25">
      <c r="A684" s="22"/>
      <c r="B684" s="22"/>
      <c r="C684" s="22"/>
      <c r="D684" s="22"/>
      <c r="E684" s="22"/>
      <c r="F684" s="22"/>
      <c r="G684" s="22"/>
      <c r="H684" s="22"/>
      <c r="I684" s="22"/>
      <c r="J684" s="22"/>
      <c r="K684" s="22"/>
      <c r="L684" s="22"/>
      <c r="M684" s="22"/>
      <c r="N684" s="22"/>
      <c r="O684" s="22"/>
      <c r="P684" s="22"/>
      <c r="Q684" s="22"/>
      <c r="R684" s="22"/>
      <c r="S684" s="22"/>
      <c r="T684" s="22"/>
      <c r="U684" s="22"/>
      <c r="V684" s="22"/>
      <c r="W684" s="22"/>
      <c r="X684" s="22"/>
      <c r="Y684" s="22"/>
      <c r="Z684" s="22"/>
    </row>
    <row r="685" spans="1:26" ht="16.149999999999999" customHeight="1" x14ac:dyDescent="0.25">
      <c r="A685" s="22"/>
      <c r="B685" s="22"/>
      <c r="C685" s="22"/>
      <c r="D685" s="22"/>
      <c r="E685" s="22"/>
      <c r="F685" s="22"/>
      <c r="G685" s="22"/>
      <c r="H685" s="22"/>
      <c r="I685" s="22"/>
      <c r="J685" s="22"/>
      <c r="K685" s="22"/>
      <c r="L685" s="22"/>
      <c r="M685" s="22"/>
      <c r="N685" s="22"/>
      <c r="O685" s="22"/>
      <c r="P685" s="22"/>
      <c r="Q685" s="22"/>
      <c r="R685" s="22"/>
      <c r="S685" s="22"/>
      <c r="T685" s="22"/>
      <c r="U685" s="22"/>
      <c r="V685" s="22"/>
      <c r="W685" s="22"/>
      <c r="X685" s="22"/>
      <c r="Y685" s="22"/>
      <c r="Z685" s="22"/>
    </row>
    <row r="686" spans="1:26" ht="16.149999999999999" customHeight="1" x14ac:dyDescent="0.25">
      <c r="A686" s="22"/>
      <c r="B686" s="22"/>
      <c r="C686" s="22"/>
      <c r="D686" s="22"/>
      <c r="E686" s="22"/>
      <c r="F686" s="22"/>
      <c r="G686" s="22"/>
      <c r="H686" s="22"/>
      <c r="I686" s="22"/>
      <c r="J686" s="22"/>
      <c r="K686" s="22"/>
      <c r="L686" s="22"/>
      <c r="M686" s="22"/>
      <c r="N686" s="22"/>
      <c r="O686" s="22"/>
      <c r="P686" s="22"/>
      <c r="Q686" s="22"/>
      <c r="R686" s="22"/>
      <c r="S686" s="22"/>
      <c r="T686" s="22"/>
      <c r="U686" s="22"/>
      <c r="V686" s="22"/>
      <c r="W686" s="22"/>
      <c r="X686" s="22"/>
      <c r="Y686" s="22"/>
      <c r="Z686" s="22"/>
    </row>
    <row r="687" spans="1:26" ht="16.149999999999999" customHeight="1" x14ac:dyDescent="0.25">
      <c r="A687" s="22"/>
      <c r="B687" s="22"/>
      <c r="C687" s="22"/>
      <c r="D687" s="22"/>
      <c r="E687" s="22"/>
      <c r="F687" s="22"/>
      <c r="G687" s="22"/>
      <c r="H687" s="22"/>
      <c r="I687" s="22"/>
      <c r="J687" s="22"/>
      <c r="K687" s="22"/>
      <c r="L687" s="22"/>
      <c r="M687" s="22"/>
      <c r="N687" s="22"/>
      <c r="O687" s="22"/>
      <c r="P687" s="22"/>
      <c r="Q687" s="22"/>
      <c r="R687" s="22"/>
      <c r="S687" s="22"/>
      <c r="T687" s="22"/>
      <c r="U687" s="22"/>
      <c r="V687" s="22"/>
      <c r="W687" s="22"/>
      <c r="X687" s="22"/>
      <c r="Y687" s="22"/>
      <c r="Z687" s="22"/>
    </row>
    <row r="688" spans="1:26" ht="16.149999999999999" customHeight="1" x14ac:dyDescent="0.25">
      <c r="A688" s="22"/>
      <c r="B688" s="22"/>
      <c r="C688" s="22"/>
      <c r="D688" s="22"/>
      <c r="E688" s="22"/>
      <c r="F688" s="22"/>
      <c r="G688" s="22"/>
      <c r="H688" s="22"/>
      <c r="I688" s="22"/>
      <c r="J688" s="22"/>
      <c r="K688" s="22"/>
      <c r="L688" s="22"/>
      <c r="M688" s="22"/>
      <c r="N688" s="22"/>
      <c r="O688" s="22"/>
      <c r="P688" s="22"/>
      <c r="Q688" s="22"/>
      <c r="R688" s="22"/>
      <c r="S688" s="22"/>
      <c r="T688" s="22"/>
      <c r="U688" s="22"/>
      <c r="V688" s="22"/>
      <c r="W688" s="22"/>
      <c r="X688" s="22"/>
      <c r="Y688" s="22"/>
      <c r="Z688" s="22"/>
    </row>
    <row r="689" spans="1:26" ht="16.149999999999999" customHeight="1" x14ac:dyDescent="0.25">
      <c r="A689" s="22"/>
      <c r="B689" s="22"/>
      <c r="C689" s="22"/>
      <c r="D689" s="22"/>
      <c r="E689" s="22"/>
      <c r="F689" s="22"/>
      <c r="G689" s="22"/>
      <c r="H689" s="22"/>
      <c r="I689" s="22"/>
      <c r="J689" s="22"/>
      <c r="K689" s="22"/>
      <c r="L689" s="22"/>
      <c r="M689" s="22"/>
      <c r="N689" s="22"/>
      <c r="O689" s="22"/>
      <c r="P689" s="22"/>
      <c r="Q689" s="22"/>
      <c r="R689" s="22"/>
      <c r="S689" s="22"/>
      <c r="T689" s="22"/>
      <c r="U689" s="22"/>
      <c r="V689" s="22"/>
      <c r="W689" s="22"/>
      <c r="X689" s="22"/>
      <c r="Y689" s="22"/>
      <c r="Z689" s="22"/>
    </row>
    <row r="690" spans="1:26" ht="16.149999999999999" customHeight="1" x14ac:dyDescent="0.25">
      <c r="A690" s="22"/>
      <c r="B690" s="22"/>
      <c r="C690" s="22"/>
      <c r="D690" s="22"/>
      <c r="E690" s="22"/>
      <c r="F690" s="22"/>
      <c r="G690" s="22"/>
      <c r="H690" s="22"/>
      <c r="I690" s="22"/>
      <c r="J690" s="22"/>
      <c r="K690" s="22"/>
      <c r="L690" s="22"/>
      <c r="M690" s="22"/>
      <c r="N690" s="22"/>
      <c r="O690" s="22"/>
      <c r="P690" s="22"/>
      <c r="Q690" s="22"/>
      <c r="R690" s="22"/>
      <c r="S690" s="22"/>
      <c r="T690" s="22"/>
      <c r="U690" s="22"/>
      <c r="V690" s="22"/>
      <c r="W690" s="22"/>
      <c r="X690" s="22"/>
      <c r="Y690" s="22"/>
      <c r="Z690" s="22"/>
    </row>
    <row r="691" spans="1:26" ht="16.149999999999999" customHeight="1" x14ac:dyDescent="0.25">
      <c r="A691" s="22"/>
      <c r="B691" s="22"/>
      <c r="C691" s="22"/>
      <c r="D691" s="22"/>
      <c r="E691" s="22"/>
      <c r="F691" s="22"/>
      <c r="G691" s="22"/>
      <c r="H691" s="22"/>
      <c r="I691" s="22"/>
      <c r="J691" s="22"/>
      <c r="K691" s="22"/>
      <c r="L691" s="22"/>
      <c r="M691" s="22"/>
      <c r="N691" s="22"/>
      <c r="O691" s="22"/>
      <c r="P691" s="22"/>
      <c r="Q691" s="22"/>
      <c r="R691" s="22"/>
      <c r="S691" s="22"/>
      <c r="T691" s="22"/>
      <c r="U691" s="22"/>
      <c r="V691" s="22"/>
      <c r="W691" s="22"/>
      <c r="X691" s="22"/>
      <c r="Y691" s="22"/>
      <c r="Z691" s="22"/>
    </row>
    <row r="692" spans="1:26" ht="16.149999999999999" customHeight="1" x14ac:dyDescent="0.25">
      <c r="A692" s="22"/>
      <c r="B692" s="22"/>
      <c r="C692" s="22"/>
      <c r="D692" s="22"/>
      <c r="E692" s="22"/>
      <c r="F692" s="22"/>
      <c r="G692" s="22"/>
      <c r="H692" s="22"/>
      <c r="I692" s="22"/>
      <c r="J692" s="22"/>
      <c r="K692" s="22"/>
      <c r="L692" s="22"/>
      <c r="M692" s="22"/>
      <c r="N692" s="22"/>
      <c r="O692" s="22"/>
      <c r="P692" s="22"/>
      <c r="Q692" s="22"/>
      <c r="R692" s="22"/>
      <c r="S692" s="22"/>
      <c r="T692" s="22"/>
      <c r="U692" s="22"/>
      <c r="V692" s="22"/>
      <c r="W692" s="22"/>
      <c r="X692" s="22"/>
      <c r="Y692" s="22"/>
      <c r="Z692" s="22"/>
    </row>
    <row r="693" spans="1:26" ht="16.149999999999999" customHeight="1" x14ac:dyDescent="0.25">
      <c r="A693" s="22"/>
      <c r="B693" s="22"/>
      <c r="C693" s="22"/>
      <c r="D693" s="22"/>
      <c r="E693" s="22"/>
      <c r="F693" s="22"/>
      <c r="G693" s="22"/>
      <c r="H693" s="22"/>
      <c r="I693" s="22"/>
      <c r="J693" s="22"/>
      <c r="K693" s="22"/>
      <c r="L693" s="22"/>
      <c r="M693" s="22"/>
      <c r="N693" s="22"/>
      <c r="O693" s="22"/>
      <c r="P693" s="22"/>
      <c r="Q693" s="22"/>
      <c r="R693" s="22"/>
      <c r="S693" s="22"/>
      <c r="T693" s="22"/>
      <c r="U693" s="22"/>
      <c r="V693" s="22"/>
      <c r="W693" s="22"/>
      <c r="X693" s="22"/>
      <c r="Y693" s="22"/>
      <c r="Z693" s="22"/>
    </row>
    <row r="694" spans="1:26" ht="16.149999999999999" customHeight="1" x14ac:dyDescent="0.25">
      <c r="A694" s="22"/>
      <c r="B694" s="22"/>
      <c r="C694" s="22"/>
      <c r="D694" s="22"/>
      <c r="E694" s="22"/>
      <c r="F694" s="22"/>
      <c r="G694" s="22"/>
      <c r="H694" s="22"/>
      <c r="I694" s="22"/>
      <c r="J694" s="22"/>
      <c r="K694" s="22"/>
      <c r="L694" s="22"/>
      <c r="M694" s="22"/>
      <c r="N694" s="22"/>
      <c r="O694" s="22"/>
      <c r="P694" s="22"/>
      <c r="Q694" s="22"/>
      <c r="R694" s="22"/>
      <c r="S694" s="22"/>
      <c r="T694" s="22"/>
      <c r="U694" s="22"/>
      <c r="V694" s="22"/>
      <c r="W694" s="22"/>
      <c r="X694" s="22"/>
      <c r="Y694" s="22"/>
      <c r="Z694" s="22"/>
    </row>
    <row r="695" spans="1:26" ht="16.149999999999999" customHeight="1" x14ac:dyDescent="0.25">
      <c r="A695" s="22"/>
      <c r="B695" s="22"/>
      <c r="C695" s="22"/>
      <c r="D695" s="22"/>
      <c r="E695" s="22"/>
      <c r="F695" s="22"/>
      <c r="G695" s="22"/>
      <c r="H695" s="22"/>
      <c r="I695" s="22"/>
      <c r="J695" s="22"/>
      <c r="K695" s="22"/>
      <c r="L695" s="22"/>
      <c r="M695" s="22"/>
      <c r="N695" s="22"/>
      <c r="O695" s="22"/>
      <c r="P695" s="22"/>
      <c r="Q695" s="22"/>
      <c r="R695" s="22"/>
      <c r="S695" s="22"/>
      <c r="T695" s="22"/>
      <c r="U695" s="22"/>
      <c r="V695" s="22"/>
      <c r="W695" s="22"/>
      <c r="X695" s="22"/>
      <c r="Y695" s="22"/>
      <c r="Z695" s="22"/>
    </row>
    <row r="696" spans="1:26" ht="16.149999999999999" customHeight="1" x14ac:dyDescent="0.25">
      <c r="A696" s="22"/>
      <c r="B696" s="22"/>
      <c r="C696" s="22"/>
      <c r="D696" s="22"/>
      <c r="E696" s="22"/>
      <c r="F696" s="22"/>
      <c r="G696" s="22"/>
      <c r="H696" s="22"/>
      <c r="I696" s="22"/>
      <c r="J696" s="22"/>
      <c r="K696" s="22"/>
      <c r="L696" s="22"/>
      <c r="M696" s="22"/>
      <c r="N696" s="22"/>
      <c r="O696" s="22"/>
      <c r="P696" s="22"/>
      <c r="Q696" s="22"/>
      <c r="R696" s="22"/>
      <c r="S696" s="22"/>
      <c r="T696" s="22"/>
      <c r="U696" s="22"/>
      <c r="V696" s="22"/>
      <c r="W696" s="22"/>
      <c r="X696" s="22"/>
      <c r="Y696" s="22"/>
      <c r="Z696" s="22"/>
    </row>
    <row r="697" spans="1:26" ht="16.149999999999999" customHeight="1" x14ac:dyDescent="0.25">
      <c r="A697" s="22"/>
      <c r="B697" s="22"/>
      <c r="C697" s="22"/>
      <c r="D697" s="22"/>
      <c r="E697" s="22"/>
      <c r="F697" s="22"/>
      <c r="G697" s="22"/>
      <c r="H697" s="22"/>
      <c r="I697" s="22"/>
      <c r="J697" s="22"/>
      <c r="K697" s="22"/>
      <c r="L697" s="22"/>
      <c r="M697" s="22"/>
      <c r="N697" s="22"/>
      <c r="O697" s="22"/>
      <c r="P697" s="22"/>
      <c r="Q697" s="22"/>
      <c r="R697" s="22"/>
      <c r="S697" s="22"/>
      <c r="T697" s="22"/>
      <c r="U697" s="22"/>
      <c r="V697" s="22"/>
      <c r="W697" s="22"/>
      <c r="X697" s="22"/>
      <c r="Y697" s="22"/>
      <c r="Z697" s="22"/>
    </row>
    <row r="698" spans="1:26" ht="16.149999999999999" customHeight="1" x14ac:dyDescent="0.25">
      <c r="A698" s="22"/>
      <c r="B698" s="22"/>
      <c r="C698" s="22"/>
      <c r="D698" s="22"/>
      <c r="E698" s="22"/>
      <c r="F698" s="22"/>
      <c r="G698" s="22"/>
      <c r="H698" s="22"/>
      <c r="I698" s="22"/>
      <c r="J698" s="22"/>
      <c r="K698" s="22"/>
      <c r="L698" s="22"/>
      <c r="M698" s="22"/>
      <c r="N698" s="22"/>
      <c r="O698" s="22"/>
      <c r="P698" s="22"/>
      <c r="Q698" s="22"/>
      <c r="R698" s="22"/>
      <c r="S698" s="22"/>
      <c r="T698" s="22"/>
      <c r="U698" s="22"/>
      <c r="V698" s="22"/>
      <c r="W698" s="22"/>
      <c r="X698" s="22"/>
      <c r="Y698" s="22"/>
      <c r="Z698" s="22"/>
    </row>
    <row r="699" spans="1:26" ht="16.149999999999999" customHeight="1" x14ac:dyDescent="0.25">
      <c r="A699" s="22"/>
      <c r="B699" s="22"/>
      <c r="C699" s="22"/>
      <c r="D699" s="22"/>
      <c r="E699" s="22"/>
      <c r="F699" s="22"/>
      <c r="G699" s="22"/>
      <c r="H699" s="22"/>
      <c r="I699" s="22"/>
      <c r="J699" s="22"/>
      <c r="K699" s="22"/>
      <c r="L699" s="22"/>
      <c r="M699" s="22"/>
      <c r="N699" s="22"/>
      <c r="O699" s="22"/>
      <c r="P699" s="22"/>
      <c r="Q699" s="22"/>
      <c r="R699" s="22"/>
      <c r="S699" s="22"/>
      <c r="T699" s="22"/>
      <c r="U699" s="22"/>
      <c r="V699" s="22"/>
      <c r="W699" s="22"/>
      <c r="X699" s="22"/>
      <c r="Y699" s="22"/>
      <c r="Z699" s="22"/>
    </row>
    <row r="700" spans="1:26" ht="16.149999999999999" customHeight="1" x14ac:dyDescent="0.25">
      <c r="A700" s="22"/>
      <c r="B700" s="22"/>
      <c r="C700" s="22"/>
      <c r="D700" s="22"/>
      <c r="E700" s="22"/>
      <c r="F700" s="22"/>
      <c r="G700" s="22"/>
      <c r="H700" s="22"/>
      <c r="I700" s="22"/>
      <c r="J700" s="22"/>
      <c r="K700" s="22"/>
      <c r="L700" s="22"/>
      <c r="M700" s="22"/>
      <c r="N700" s="22"/>
      <c r="O700" s="22"/>
      <c r="P700" s="22"/>
      <c r="Q700" s="22"/>
      <c r="R700" s="22"/>
      <c r="S700" s="22"/>
      <c r="T700" s="22"/>
      <c r="U700" s="22"/>
      <c r="V700" s="22"/>
      <c r="W700" s="22"/>
      <c r="X700" s="22"/>
      <c r="Y700" s="22"/>
      <c r="Z700" s="22"/>
    </row>
    <row r="701" spans="1:26" ht="16.149999999999999" customHeight="1" x14ac:dyDescent="0.25">
      <c r="A701" s="22"/>
      <c r="B701" s="22"/>
      <c r="C701" s="22"/>
      <c r="D701" s="22"/>
      <c r="E701" s="22"/>
      <c r="F701" s="22"/>
      <c r="G701" s="22"/>
      <c r="H701" s="22"/>
      <c r="I701" s="22"/>
      <c r="J701" s="22"/>
      <c r="K701" s="22"/>
      <c r="L701" s="22"/>
      <c r="M701" s="22"/>
      <c r="N701" s="22"/>
      <c r="O701" s="22"/>
      <c r="P701" s="22"/>
      <c r="Q701" s="22"/>
      <c r="R701" s="22"/>
      <c r="S701" s="22"/>
      <c r="T701" s="22"/>
      <c r="U701" s="22"/>
      <c r="V701" s="22"/>
      <c r="W701" s="22"/>
      <c r="X701" s="22"/>
      <c r="Y701" s="22"/>
      <c r="Z701" s="22"/>
    </row>
    <row r="702" spans="1:26" ht="16.149999999999999" customHeight="1" x14ac:dyDescent="0.25">
      <c r="A702" s="22"/>
      <c r="B702" s="22"/>
      <c r="C702" s="22"/>
      <c r="D702" s="22"/>
      <c r="E702" s="22"/>
      <c r="F702" s="22"/>
      <c r="G702" s="22"/>
      <c r="H702" s="22"/>
      <c r="I702" s="22"/>
      <c r="J702" s="22"/>
      <c r="K702" s="22"/>
      <c r="L702" s="22"/>
      <c r="M702" s="22"/>
      <c r="N702" s="22"/>
      <c r="O702" s="22"/>
      <c r="P702" s="22"/>
      <c r="Q702" s="22"/>
      <c r="R702" s="22"/>
      <c r="S702" s="22"/>
      <c r="T702" s="22"/>
      <c r="U702" s="22"/>
      <c r="V702" s="22"/>
      <c r="W702" s="22"/>
      <c r="X702" s="22"/>
      <c r="Y702" s="22"/>
      <c r="Z702" s="22"/>
    </row>
    <row r="703" spans="1:26" ht="16.149999999999999" customHeight="1" x14ac:dyDescent="0.25">
      <c r="A703" s="22"/>
      <c r="B703" s="22"/>
      <c r="C703" s="22"/>
      <c r="D703" s="22"/>
      <c r="E703" s="22"/>
      <c r="F703" s="22"/>
      <c r="G703" s="22"/>
      <c r="H703" s="22"/>
      <c r="I703" s="22"/>
      <c r="J703" s="22"/>
      <c r="K703" s="22"/>
      <c r="L703" s="22"/>
      <c r="M703" s="22"/>
      <c r="N703" s="22"/>
      <c r="O703" s="22"/>
      <c r="P703" s="22"/>
      <c r="Q703" s="22"/>
      <c r="R703" s="22"/>
      <c r="S703" s="22"/>
      <c r="T703" s="22"/>
      <c r="U703" s="22"/>
      <c r="V703" s="22"/>
      <c r="W703" s="22"/>
      <c r="X703" s="22"/>
      <c r="Y703" s="22"/>
      <c r="Z703" s="22"/>
    </row>
    <row r="704" spans="1:26" ht="16.149999999999999" customHeight="1" x14ac:dyDescent="0.25">
      <c r="A704" s="22"/>
      <c r="B704" s="22"/>
      <c r="C704" s="22"/>
      <c r="D704" s="22"/>
      <c r="E704" s="22"/>
      <c r="F704" s="22"/>
      <c r="G704" s="22"/>
      <c r="H704" s="22"/>
      <c r="I704" s="22"/>
      <c r="J704" s="22"/>
      <c r="K704" s="22"/>
      <c r="L704" s="22"/>
      <c r="M704" s="22"/>
      <c r="N704" s="22"/>
      <c r="O704" s="22"/>
      <c r="P704" s="22"/>
      <c r="Q704" s="22"/>
      <c r="R704" s="22"/>
      <c r="S704" s="22"/>
      <c r="T704" s="22"/>
      <c r="U704" s="22"/>
      <c r="V704" s="22"/>
      <c r="W704" s="22"/>
      <c r="X704" s="22"/>
      <c r="Y704" s="22"/>
      <c r="Z704" s="22"/>
    </row>
    <row r="705" spans="1:26" ht="16.149999999999999" customHeight="1" x14ac:dyDescent="0.25">
      <c r="A705" s="22"/>
      <c r="B705" s="22"/>
      <c r="C705" s="22"/>
      <c r="D705" s="22"/>
      <c r="E705" s="22"/>
      <c r="F705" s="22"/>
      <c r="G705" s="22"/>
      <c r="H705" s="22"/>
      <c r="I705" s="22"/>
      <c r="J705" s="22"/>
      <c r="K705" s="22"/>
      <c r="L705" s="22"/>
      <c r="M705" s="22"/>
      <c r="N705" s="22"/>
      <c r="O705" s="22"/>
      <c r="P705" s="22"/>
      <c r="Q705" s="22"/>
      <c r="R705" s="22"/>
      <c r="S705" s="22"/>
      <c r="T705" s="22"/>
      <c r="U705" s="22"/>
      <c r="V705" s="22"/>
      <c r="W705" s="22"/>
      <c r="X705" s="22"/>
      <c r="Y705" s="22"/>
      <c r="Z705" s="22"/>
    </row>
    <row r="706" spans="1:26" ht="16.149999999999999" customHeight="1" x14ac:dyDescent="0.25">
      <c r="A706" s="22"/>
      <c r="B706" s="22"/>
      <c r="C706" s="22"/>
      <c r="D706" s="22"/>
      <c r="E706" s="22"/>
      <c r="F706" s="22"/>
      <c r="G706" s="22"/>
      <c r="H706" s="22"/>
      <c r="I706" s="22"/>
      <c r="J706" s="22"/>
      <c r="K706" s="22"/>
      <c r="L706" s="22"/>
      <c r="M706" s="22"/>
      <c r="N706" s="22"/>
      <c r="O706" s="22"/>
      <c r="P706" s="22"/>
      <c r="Q706" s="22"/>
      <c r="R706" s="22"/>
      <c r="S706" s="22"/>
      <c r="T706" s="22"/>
      <c r="U706" s="22"/>
      <c r="V706" s="22"/>
      <c r="W706" s="22"/>
      <c r="X706" s="22"/>
      <c r="Y706" s="22"/>
      <c r="Z706" s="22"/>
    </row>
    <row r="707" spans="1:26" ht="16.149999999999999" customHeight="1" x14ac:dyDescent="0.25">
      <c r="A707" s="22"/>
      <c r="B707" s="22"/>
      <c r="C707" s="22"/>
      <c r="D707" s="22"/>
      <c r="E707" s="22"/>
      <c r="F707" s="22"/>
      <c r="G707" s="22"/>
      <c r="H707" s="22"/>
      <c r="I707" s="22"/>
      <c r="J707" s="22"/>
      <c r="K707" s="22"/>
      <c r="L707" s="22"/>
      <c r="M707" s="22"/>
      <c r="N707" s="22"/>
      <c r="O707" s="22"/>
      <c r="P707" s="22"/>
      <c r="Q707" s="22"/>
      <c r="R707" s="22"/>
      <c r="S707" s="22"/>
      <c r="T707" s="22"/>
      <c r="U707" s="22"/>
      <c r="V707" s="22"/>
      <c r="W707" s="22"/>
      <c r="X707" s="22"/>
      <c r="Y707" s="22"/>
      <c r="Z707" s="22"/>
    </row>
    <row r="708" spans="1:26" ht="16.149999999999999" customHeight="1" x14ac:dyDescent="0.25">
      <c r="A708" s="22"/>
      <c r="B708" s="22"/>
      <c r="C708" s="22"/>
      <c r="D708" s="22"/>
      <c r="E708" s="22"/>
      <c r="F708" s="22"/>
      <c r="G708" s="22"/>
      <c r="H708" s="22"/>
      <c r="I708" s="22"/>
      <c r="J708" s="22"/>
      <c r="K708" s="22"/>
      <c r="L708" s="22"/>
      <c r="M708" s="22"/>
      <c r="N708" s="22"/>
      <c r="O708" s="22"/>
      <c r="P708" s="22"/>
      <c r="Q708" s="22"/>
      <c r="R708" s="22"/>
      <c r="S708" s="22"/>
      <c r="T708" s="22"/>
      <c r="U708" s="22"/>
      <c r="V708" s="22"/>
      <c r="W708" s="22"/>
      <c r="X708" s="22"/>
      <c r="Y708" s="22"/>
      <c r="Z708" s="22"/>
    </row>
    <row r="709" spans="1:26" ht="16.149999999999999" customHeight="1" x14ac:dyDescent="0.25">
      <c r="A709" s="22"/>
      <c r="B709" s="22"/>
      <c r="C709" s="22"/>
      <c r="D709" s="22"/>
      <c r="E709" s="22"/>
      <c r="F709" s="22"/>
      <c r="G709" s="22"/>
      <c r="H709" s="22"/>
      <c r="I709" s="22"/>
      <c r="J709" s="22"/>
      <c r="K709" s="22"/>
      <c r="L709" s="22"/>
      <c r="M709" s="22"/>
      <c r="N709" s="22"/>
      <c r="O709" s="22"/>
      <c r="P709" s="22"/>
      <c r="Q709" s="22"/>
      <c r="R709" s="22"/>
      <c r="S709" s="22"/>
      <c r="T709" s="22"/>
      <c r="U709" s="22"/>
      <c r="V709" s="22"/>
      <c r="W709" s="22"/>
      <c r="X709" s="22"/>
      <c r="Y709" s="22"/>
      <c r="Z709" s="22"/>
    </row>
    <row r="710" spans="1:26" ht="16.149999999999999" customHeight="1" x14ac:dyDescent="0.25">
      <c r="A710" s="22"/>
      <c r="B710" s="22"/>
      <c r="C710" s="22"/>
      <c r="D710" s="22"/>
      <c r="E710" s="22"/>
      <c r="F710" s="22"/>
      <c r="G710" s="22"/>
      <c r="H710" s="22"/>
      <c r="I710" s="22"/>
      <c r="J710" s="22"/>
      <c r="K710" s="22"/>
      <c r="L710" s="22"/>
      <c r="M710" s="22"/>
      <c r="N710" s="22"/>
      <c r="O710" s="22"/>
      <c r="P710" s="22"/>
      <c r="Q710" s="22"/>
      <c r="R710" s="22"/>
      <c r="S710" s="22"/>
      <c r="T710" s="22"/>
      <c r="U710" s="22"/>
      <c r="V710" s="22"/>
      <c r="W710" s="22"/>
      <c r="X710" s="22"/>
      <c r="Y710" s="22"/>
      <c r="Z710" s="22"/>
    </row>
    <row r="711" spans="1:26" ht="16.149999999999999" customHeight="1" x14ac:dyDescent="0.25">
      <c r="A711" s="22"/>
      <c r="B711" s="22"/>
      <c r="C711" s="22"/>
      <c r="D711" s="22"/>
      <c r="E711" s="22"/>
      <c r="F711" s="22"/>
      <c r="G711" s="22"/>
      <c r="H711" s="22"/>
      <c r="I711" s="22"/>
      <c r="J711" s="22"/>
      <c r="K711" s="22"/>
      <c r="L711" s="22"/>
      <c r="M711" s="22"/>
      <c r="N711" s="22"/>
      <c r="O711" s="22"/>
      <c r="P711" s="22"/>
      <c r="Q711" s="22"/>
      <c r="R711" s="22"/>
      <c r="S711" s="22"/>
      <c r="T711" s="22"/>
      <c r="U711" s="22"/>
      <c r="V711" s="22"/>
      <c r="W711" s="22"/>
      <c r="X711" s="22"/>
      <c r="Y711" s="22"/>
      <c r="Z711" s="22"/>
    </row>
    <row r="712" spans="1:26" ht="16.149999999999999" customHeight="1" x14ac:dyDescent="0.25">
      <c r="A712" s="22"/>
      <c r="B712" s="22"/>
      <c r="C712" s="22"/>
      <c r="D712" s="22"/>
      <c r="E712" s="22"/>
      <c r="F712" s="22"/>
      <c r="G712" s="22"/>
      <c r="H712" s="22"/>
      <c r="I712" s="22"/>
      <c r="J712" s="22"/>
      <c r="K712" s="22"/>
      <c r="L712" s="22"/>
      <c r="M712" s="22"/>
      <c r="N712" s="22"/>
      <c r="O712" s="22"/>
      <c r="P712" s="22"/>
      <c r="Q712" s="22"/>
      <c r="R712" s="22"/>
      <c r="S712" s="22"/>
      <c r="T712" s="22"/>
      <c r="U712" s="22"/>
      <c r="V712" s="22"/>
      <c r="W712" s="22"/>
      <c r="X712" s="22"/>
      <c r="Y712" s="22"/>
      <c r="Z712" s="22"/>
    </row>
    <row r="713" spans="1:26" ht="16.149999999999999" customHeight="1" x14ac:dyDescent="0.25">
      <c r="A713" s="22"/>
      <c r="B713" s="22"/>
      <c r="C713" s="22"/>
      <c r="D713" s="22"/>
      <c r="E713" s="22"/>
      <c r="F713" s="22"/>
      <c r="G713" s="22"/>
      <c r="H713" s="22"/>
      <c r="I713" s="22"/>
      <c r="J713" s="22"/>
      <c r="K713" s="22"/>
      <c r="L713" s="22"/>
      <c r="M713" s="22"/>
      <c r="N713" s="22"/>
      <c r="O713" s="22"/>
      <c r="P713" s="22"/>
      <c r="Q713" s="22"/>
      <c r="R713" s="22"/>
      <c r="S713" s="22"/>
      <c r="T713" s="22"/>
      <c r="U713" s="22"/>
      <c r="V713" s="22"/>
      <c r="W713" s="22"/>
      <c r="X713" s="22"/>
      <c r="Y713" s="22"/>
      <c r="Z713" s="22"/>
    </row>
    <row r="714" spans="1:26" ht="16.149999999999999" customHeight="1" x14ac:dyDescent="0.25">
      <c r="A714" s="22"/>
      <c r="B714" s="22"/>
      <c r="C714" s="22"/>
      <c r="D714" s="22"/>
      <c r="E714" s="22"/>
      <c r="F714" s="22"/>
      <c r="G714" s="22"/>
      <c r="H714" s="22"/>
      <c r="I714" s="22"/>
      <c r="J714" s="22"/>
      <c r="K714" s="22"/>
      <c r="L714" s="22"/>
      <c r="M714" s="22"/>
      <c r="N714" s="22"/>
      <c r="O714" s="22"/>
      <c r="P714" s="22"/>
      <c r="Q714" s="22"/>
      <c r="R714" s="22"/>
      <c r="S714" s="22"/>
      <c r="T714" s="22"/>
      <c r="U714" s="22"/>
      <c r="V714" s="22"/>
      <c r="W714" s="22"/>
      <c r="X714" s="22"/>
      <c r="Y714" s="22"/>
      <c r="Z714" s="22"/>
    </row>
    <row r="715" spans="1:26" ht="16.149999999999999" customHeight="1" x14ac:dyDescent="0.25">
      <c r="A715" s="22"/>
      <c r="B715" s="22"/>
      <c r="C715" s="22"/>
      <c r="D715" s="22"/>
      <c r="E715" s="22"/>
      <c r="F715" s="22"/>
      <c r="G715" s="22"/>
      <c r="H715" s="22"/>
      <c r="I715" s="22"/>
      <c r="J715" s="22"/>
      <c r="K715" s="22"/>
      <c r="L715" s="22"/>
      <c r="M715" s="22"/>
      <c r="N715" s="22"/>
      <c r="O715" s="22"/>
      <c r="P715" s="22"/>
      <c r="Q715" s="22"/>
      <c r="R715" s="22"/>
      <c r="S715" s="22"/>
      <c r="T715" s="22"/>
      <c r="U715" s="22"/>
      <c r="V715" s="22"/>
      <c r="W715" s="22"/>
      <c r="X715" s="22"/>
      <c r="Y715" s="22"/>
      <c r="Z715" s="22"/>
    </row>
    <row r="716" spans="1:26" ht="16.149999999999999" customHeight="1" x14ac:dyDescent="0.25">
      <c r="A716" s="22"/>
      <c r="B716" s="22"/>
      <c r="C716" s="22"/>
      <c r="D716" s="22"/>
      <c r="E716" s="22"/>
      <c r="F716" s="22"/>
      <c r="G716" s="22"/>
      <c r="H716" s="22"/>
      <c r="I716" s="22"/>
      <c r="J716" s="22"/>
      <c r="K716" s="22"/>
      <c r="L716" s="22"/>
      <c r="M716" s="22"/>
      <c r="N716" s="22"/>
      <c r="O716" s="22"/>
      <c r="P716" s="22"/>
      <c r="Q716" s="22"/>
      <c r="R716" s="22"/>
      <c r="S716" s="22"/>
      <c r="T716" s="22"/>
      <c r="U716" s="22"/>
      <c r="V716" s="22"/>
      <c r="W716" s="22"/>
      <c r="X716" s="22"/>
      <c r="Y716" s="22"/>
      <c r="Z716" s="22"/>
    </row>
    <row r="717" spans="1:26" ht="16.149999999999999" customHeight="1" x14ac:dyDescent="0.25">
      <c r="A717" s="22"/>
      <c r="B717" s="22"/>
      <c r="C717" s="22"/>
      <c r="D717" s="22"/>
      <c r="E717" s="22"/>
      <c r="F717" s="22"/>
      <c r="G717" s="22"/>
      <c r="H717" s="22"/>
      <c r="I717" s="22"/>
      <c r="J717" s="22"/>
      <c r="K717" s="22"/>
      <c r="L717" s="22"/>
      <c r="M717" s="22"/>
      <c r="N717" s="22"/>
      <c r="O717" s="22"/>
      <c r="P717" s="22"/>
      <c r="Q717" s="22"/>
      <c r="R717" s="22"/>
      <c r="S717" s="22"/>
      <c r="T717" s="22"/>
      <c r="U717" s="22"/>
      <c r="V717" s="22"/>
      <c r="W717" s="22"/>
      <c r="X717" s="22"/>
      <c r="Y717" s="22"/>
      <c r="Z717" s="22"/>
    </row>
    <row r="718" spans="1:26" ht="16.149999999999999" customHeight="1" x14ac:dyDescent="0.25">
      <c r="A718" s="22"/>
      <c r="B718" s="22"/>
      <c r="C718" s="22"/>
      <c r="D718" s="22"/>
      <c r="E718" s="22"/>
      <c r="F718" s="22"/>
      <c r="G718" s="22"/>
      <c r="H718" s="22"/>
      <c r="I718" s="22"/>
      <c r="J718" s="22"/>
      <c r="K718" s="22"/>
      <c r="L718" s="22"/>
      <c r="M718" s="22"/>
      <c r="N718" s="22"/>
      <c r="O718" s="22"/>
      <c r="P718" s="22"/>
      <c r="Q718" s="22"/>
      <c r="R718" s="22"/>
      <c r="S718" s="22"/>
      <c r="T718" s="22"/>
      <c r="U718" s="22"/>
      <c r="V718" s="22"/>
      <c r="W718" s="22"/>
      <c r="X718" s="22"/>
      <c r="Y718" s="22"/>
      <c r="Z718" s="22"/>
    </row>
    <row r="719" spans="1:26" ht="16.149999999999999" customHeight="1" x14ac:dyDescent="0.25">
      <c r="A719" s="22"/>
      <c r="B719" s="22"/>
      <c r="C719" s="22"/>
      <c r="D719" s="22"/>
      <c r="E719" s="22"/>
      <c r="F719" s="22"/>
      <c r="G719" s="22"/>
      <c r="H719" s="22"/>
      <c r="I719" s="22"/>
      <c r="J719" s="22"/>
      <c r="K719" s="22"/>
      <c r="L719" s="22"/>
      <c r="M719" s="22"/>
      <c r="N719" s="22"/>
      <c r="O719" s="22"/>
      <c r="P719" s="22"/>
      <c r="Q719" s="22"/>
      <c r="R719" s="22"/>
      <c r="S719" s="22"/>
      <c r="T719" s="22"/>
      <c r="U719" s="22"/>
      <c r="V719" s="22"/>
      <c r="W719" s="22"/>
      <c r="X719" s="22"/>
      <c r="Y719" s="22"/>
      <c r="Z719" s="22"/>
    </row>
    <row r="720" spans="1:26" ht="16.149999999999999" customHeight="1" x14ac:dyDescent="0.25">
      <c r="A720" s="22"/>
      <c r="B720" s="22"/>
      <c r="C720" s="22"/>
      <c r="D720" s="22"/>
      <c r="E720" s="22"/>
      <c r="F720" s="22"/>
      <c r="G720" s="22"/>
      <c r="H720" s="22"/>
      <c r="I720" s="22"/>
      <c r="J720" s="22"/>
      <c r="K720" s="22"/>
      <c r="L720" s="22"/>
      <c r="M720" s="22"/>
      <c r="N720" s="22"/>
      <c r="O720" s="22"/>
      <c r="P720" s="22"/>
      <c r="Q720" s="22"/>
      <c r="R720" s="22"/>
      <c r="S720" s="22"/>
      <c r="T720" s="22"/>
      <c r="U720" s="22"/>
      <c r="V720" s="22"/>
      <c r="W720" s="22"/>
      <c r="X720" s="22"/>
      <c r="Y720" s="22"/>
      <c r="Z720" s="22"/>
    </row>
    <row r="721" spans="1:26" ht="16.149999999999999" customHeight="1" x14ac:dyDescent="0.25">
      <c r="A721" s="22"/>
      <c r="B721" s="22"/>
      <c r="C721" s="22"/>
      <c r="D721" s="22"/>
      <c r="E721" s="22"/>
      <c r="F721" s="22"/>
      <c r="G721" s="22"/>
      <c r="H721" s="22"/>
      <c r="I721" s="22"/>
      <c r="J721" s="22"/>
      <c r="K721" s="22"/>
      <c r="L721" s="22"/>
      <c r="M721" s="22"/>
      <c r="N721" s="22"/>
      <c r="O721" s="22"/>
      <c r="P721" s="22"/>
      <c r="Q721" s="22"/>
      <c r="R721" s="22"/>
      <c r="S721" s="22"/>
      <c r="T721" s="22"/>
      <c r="U721" s="22"/>
      <c r="V721" s="22"/>
      <c r="W721" s="22"/>
      <c r="X721" s="22"/>
      <c r="Y721" s="22"/>
      <c r="Z721" s="22"/>
    </row>
    <row r="722" spans="1:26" ht="16.149999999999999" customHeight="1" x14ac:dyDescent="0.25">
      <c r="A722" s="22"/>
      <c r="B722" s="22"/>
      <c r="C722" s="22"/>
      <c r="D722" s="22"/>
      <c r="E722" s="22"/>
      <c r="F722" s="22"/>
      <c r="G722" s="22"/>
      <c r="H722" s="22"/>
      <c r="I722" s="22"/>
      <c r="J722" s="22"/>
      <c r="K722" s="22"/>
      <c r="L722" s="22"/>
      <c r="M722" s="22"/>
      <c r="N722" s="22"/>
      <c r="O722" s="22"/>
      <c r="P722" s="22"/>
      <c r="Q722" s="22"/>
      <c r="R722" s="22"/>
      <c r="S722" s="22"/>
      <c r="T722" s="22"/>
      <c r="U722" s="22"/>
      <c r="V722" s="22"/>
      <c r="W722" s="22"/>
      <c r="X722" s="22"/>
      <c r="Y722" s="22"/>
      <c r="Z722" s="22"/>
    </row>
    <row r="723" spans="1:26" ht="16.149999999999999" customHeight="1" x14ac:dyDescent="0.25">
      <c r="A723" s="22"/>
      <c r="B723" s="22"/>
      <c r="C723" s="22"/>
      <c r="D723" s="22"/>
      <c r="E723" s="22"/>
      <c r="F723" s="22"/>
      <c r="G723" s="22"/>
      <c r="H723" s="22"/>
      <c r="I723" s="22"/>
      <c r="J723" s="22"/>
      <c r="K723" s="22"/>
      <c r="L723" s="22"/>
      <c r="M723" s="22"/>
      <c r="N723" s="22"/>
      <c r="O723" s="22"/>
      <c r="P723" s="22"/>
      <c r="Q723" s="22"/>
      <c r="R723" s="22"/>
      <c r="S723" s="22"/>
      <c r="T723" s="22"/>
      <c r="U723" s="22"/>
      <c r="V723" s="22"/>
      <c r="W723" s="22"/>
      <c r="X723" s="22"/>
      <c r="Y723" s="22"/>
      <c r="Z723" s="22"/>
    </row>
    <row r="724" spans="1:26" ht="16.149999999999999" customHeight="1" x14ac:dyDescent="0.25">
      <c r="A724" s="22"/>
      <c r="B724" s="22"/>
      <c r="C724" s="22"/>
      <c r="D724" s="22"/>
      <c r="E724" s="22"/>
      <c r="F724" s="22"/>
      <c r="G724" s="22"/>
      <c r="H724" s="22"/>
      <c r="I724" s="22"/>
      <c r="J724" s="22"/>
      <c r="K724" s="22"/>
      <c r="L724" s="22"/>
      <c r="M724" s="22"/>
      <c r="N724" s="22"/>
      <c r="O724" s="22"/>
      <c r="P724" s="22"/>
      <c r="Q724" s="22"/>
      <c r="R724" s="22"/>
      <c r="S724" s="22"/>
      <c r="T724" s="22"/>
      <c r="U724" s="22"/>
      <c r="V724" s="22"/>
      <c r="W724" s="22"/>
      <c r="X724" s="22"/>
      <c r="Y724" s="22"/>
      <c r="Z724" s="22"/>
    </row>
    <row r="725" spans="1:26" ht="16.149999999999999" customHeight="1" x14ac:dyDescent="0.25">
      <c r="A725" s="22"/>
      <c r="B725" s="22"/>
      <c r="C725" s="22"/>
      <c r="D725" s="22"/>
      <c r="E725" s="22"/>
      <c r="F725" s="22"/>
      <c r="G725" s="22"/>
      <c r="H725" s="22"/>
      <c r="I725" s="22"/>
      <c r="J725" s="22"/>
      <c r="K725" s="22"/>
      <c r="L725" s="22"/>
      <c r="M725" s="22"/>
      <c r="N725" s="22"/>
      <c r="O725" s="22"/>
      <c r="P725" s="22"/>
      <c r="Q725" s="22"/>
      <c r="R725" s="22"/>
      <c r="S725" s="22"/>
      <c r="T725" s="22"/>
      <c r="U725" s="22"/>
      <c r="V725" s="22"/>
      <c r="W725" s="22"/>
      <c r="X725" s="22"/>
      <c r="Y725" s="22"/>
      <c r="Z725" s="22"/>
    </row>
    <row r="726" spans="1:26" ht="16.149999999999999" customHeight="1" x14ac:dyDescent="0.25">
      <c r="A726" s="22"/>
      <c r="B726" s="22"/>
      <c r="C726" s="22"/>
      <c r="D726" s="22"/>
      <c r="E726" s="22"/>
      <c r="F726" s="22"/>
      <c r="G726" s="22"/>
      <c r="H726" s="22"/>
      <c r="I726" s="22"/>
      <c r="J726" s="22"/>
      <c r="K726" s="22"/>
      <c r="L726" s="22"/>
      <c r="M726" s="22"/>
      <c r="N726" s="22"/>
      <c r="O726" s="22"/>
      <c r="P726" s="22"/>
      <c r="Q726" s="22"/>
      <c r="R726" s="22"/>
      <c r="S726" s="22"/>
      <c r="T726" s="22"/>
      <c r="U726" s="22"/>
      <c r="V726" s="22"/>
      <c r="W726" s="22"/>
      <c r="X726" s="22"/>
      <c r="Y726" s="22"/>
      <c r="Z726" s="22"/>
    </row>
    <row r="727" spans="1:26" ht="16.149999999999999" customHeight="1" x14ac:dyDescent="0.25">
      <c r="A727" s="22"/>
      <c r="B727" s="22"/>
      <c r="C727" s="22"/>
      <c r="D727" s="22"/>
      <c r="E727" s="22"/>
      <c r="F727" s="22"/>
      <c r="G727" s="22"/>
      <c r="H727" s="22"/>
      <c r="I727" s="22"/>
      <c r="J727" s="22"/>
      <c r="K727" s="22"/>
      <c r="L727" s="22"/>
      <c r="M727" s="22"/>
      <c r="N727" s="22"/>
      <c r="O727" s="22"/>
      <c r="P727" s="22"/>
      <c r="Q727" s="22"/>
      <c r="R727" s="22"/>
      <c r="S727" s="22"/>
      <c r="T727" s="22"/>
      <c r="U727" s="22"/>
      <c r="V727" s="22"/>
      <c r="W727" s="22"/>
      <c r="X727" s="22"/>
      <c r="Y727" s="22"/>
      <c r="Z727" s="22"/>
    </row>
    <row r="728" spans="1:26" ht="16.149999999999999" customHeight="1" x14ac:dyDescent="0.25">
      <c r="A728" s="22"/>
      <c r="B728" s="22"/>
      <c r="C728" s="22"/>
      <c r="D728" s="22"/>
      <c r="E728" s="22"/>
      <c r="F728" s="22"/>
      <c r="G728" s="22"/>
      <c r="H728" s="22"/>
      <c r="I728" s="22"/>
      <c r="J728" s="22"/>
      <c r="K728" s="22"/>
      <c r="L728" s="22"/>
      <c r="M728" s="22"/>
      <c r="N728" s="22"/>
      <c r="O728" s="22"/>
      <c r="P728" s="22"/>
      <c r="Q728" s="22"/>
      <c r="R728" s="22"/>
      <c r="S728" s="22"/>
      <c r="T728" s="22"/>
      <c r="U728" s="22"/>
      <c r="V728" s="22"/>
      <c r="W728" s="22"/>
      <c r="X728" s="22"/>
      <c r="Y728" s="22"/>
      <c r="Z728" s="22"/>
    </row>
    <row r="729" spans="1:26" ht="16.149999999999999" customHeight="1" x14ac:dyDescent="0.25">
      <c r="A729" s="22"/>
      <c r="B729" s="22"/>
      <c r="C729" s="22"/>
      <c r="D729" s="22"/>
      <c r="E729" s="22"/>
      <c r="F729" s="22"/>
      <c r="G729" s="22"/>
      <c r="H729" s="22"/>
      <c r="I729" s="22"/>
      <c r="J729" s="22"/>
      <c r="K729" s="22"/>
      <c r="L729" s="22"/>
      <c r="M729" s="22"/>
      <c r="N729" s="22"/>
      <c r="O729" s="22"/>
      <c r="P729" s="22"/>
      <c r="Q729" s="22"/>
      <c r="R729" s="22"/>
      <c r="S729" s="22"/>
      <c r="T729" s="22"/>
      <c r="U729" s="22"/>
      <c r="V729" s="22"/>
      <c r="W729" s="22"/>
      <c r="X729" s="22"/>
      <c r="Y729" s="22"/>
      <c r="Z729" s="22"/>
    </row>
    <row r="730" spans="1:26" ht="16.149999999999999" customHeight="1" x14ac:dyDescent="0.25">
      <c r="A730" s="22"/>
      <c r="B730" s="22"/>
      <c r="C730" s="22"/>
      <c r="D730" s="22"/>
      <c r="E730" s="22"/>
      <c r="F730" s="22"/>
      <c r="G730" s="22"/>
      <c r="H730" s="22"/>
      <c r="I730" s="22"/>
      <c r="J730" s="22"/>
      <c r="K730" s="22"/>
      <c r="L730" s="22"/>
      <c r="M730" s="22"/>
      <c r="N730" s="22"/>
      <c r="O730" s="22"/>
      <c r="P730" s="22"/>
      <c r="Q730" s="22"/>
      <c r="R730" s="22"/>
      <c r="S730" s="22"/>
      <c r="T730" s="22"/>
      <c r="U730" s="22"/>
      <c r="V730" s="22"/>
      <c r="W730" s="22"/>
      <c r="X730" s="22"/>
      <c r="Y730" s="22"/>
      <c r="Z730" s="22"/>
    </row>
    <row r="731" spans="1:26" ht="16.149999999999999" customHeight="1" x14ac:dyDescent="0.25">
      <c r="A731" s="22"/>
      <c r="B731" s="22"/>
      <c r="C731" s="22"/>
      <c r="D731" s="22"/>
      <c r="E731" s="22"/>
      <c r="F731" s="22"/>
      <c r="G731" s="22"/>
      <c r="H731" s="22"/>
      <c r="I731" s="22"/>
      <c r="J731" s="22"/>
      <c r="K731" s="22"/>
      <c r="L731" s="22"/>
      <c r="M731" s="22"/>
      <c r="N731" s="22"/>
      <c r="O731" s="22"/>
      <c r="P731" s="22"/>
      <c r="Q731" s="22"/>
      <c r="R731" s="22"/>
      <c r="S731" s="22"/>
      <c r="T731" s="22"/>
      <c r="U731" s="22"/>
      <c r="V731" s="22"/>
      <c r="W731" s="22"/>
      <c r="X731" s="22"/>
      <c r="Y731" s="22"/>
      <c r="Z731" s="22"/>
    </row>
    <row r="732" spans="1:26" ht="16.149999999999999" customHeight="1" x14ac:dyDescent="0.25">
      <c r="A732" s="22"/>
      <c r="B732" s="22"/>
      <c r="C732" s="22"/>
      <c r="D732" s="22"/>
      <c r="E732" s="22"/>
      <c r="F732" s="22"/>
      <c r="G732" s="22"/>
      <c r="H732" s="22"/>
      <c r="I732" s="22"/>
      <c r="J732" s="22"/>
      <c r="K732" s="22"/>
      <c r="L732" s="22"/>
      <c r="M732" s="22"/>
      <c r="N732" s="22"/>
      <c r="O732" s="22"/>
      <c r="P732" s="22"/>
      <c r="Q732" s="22"/>
      <c r="R732" s="22"/>
      <c r="S732" s="22"/>
      <c r="T732" s="22"/>
      <c r="U732" s="22"/>
      <c r="V732" s="22"/>
      <c r="W732" s="22"/>
      <c r="X732" s="22"/>
      <c r="Y732" s="22"/>
      <c r="Z732" s="22"/>
    </row>
    <row r="733" spans="1:26" ht="16.149999999999999" customHeight="1" x14ac:dyDescent="0.25">
      <c r="A733" s="22"/>
      <c r="B733" s="22"/>
      <c r="C733" s="22"/>
      <c r="D733" s="22"/>
      <c r="E733" s="22"/>
      <c r="F733" s="22"/>
      <c r="G733" s="22"/>
      <c r="H733" s="22"/>
      <c r="I733" s="22"/>
      <c r="J733" s="22"/>
      <c r="K733" s="22"/>
      <c r="L733" s="22"/>
      <c r="M733" s="22"/>
      <c r="N733" s="22"/>
      <c r="O733" s="22"/>
      <c r="P733" s="22"/>
      <c r="Q733" s="22"/>
      <c r="R733" s="22"/>
      <c r="S733" s="22"/>
      <c r="T733" s="22"/>
      <c r="U733" s="22"/>
      <c r="V733" s="22"/>
      <c r="W733" s="22"/>
      <c r="X733" s="22"/>
      <c r="Y733" s="22"/>
      <c r="Z733" s="22"/>
    </row>
    <row r="734" spans="1:26" ht="16.149999999999999" customHeight="1" x14ac:dyDescent="0.25">
      <c r="A734" s="22"/>
      <c r="B734" s="22"/>
      <c r="C734" s="22"/>
      <c r="D734" s="22"/>
      <c r="E734" s="22"/>
      <c r="F734" s="22"/>
      <c r="G734" s="22"/>
      <c r="H734" s="22"/>
      <c r="I734" s="22"/>
      <c r="J734" s="22"/>
      <c r="K734" s="22"/>
      <c r="L734" s="22"/>
      <c r="M734" s="22"/>
      <c r="N734" s="22"/>
      <c r="O734" s="22"/>
      <c r="P734" s="22"/>
      <c r="Q734" s="22"/>
      <c r="R734" s="22"/>
      <c r="S734" s="22"/>
      <c r="T734" s="22"/>
      <c r="U734" s="22"/>
      <c r="V734" s="22"/>
      <c r="W734" s="22"/>
      <c r="X734" s="22"/>
      <c r="Y734" s="22"/>
      <c r="Z734" s="22"/>
    </row>
    <row r="735" spans="1:26" ht="16.149999999999999" customHeight="1" x14ac:dyDescent="0.25">
      <c r="A735" s="22"/>
      <c r="B735" s="22"/>
      <c r="C735" s="22"/>
      <c r="D735" s="22"/>
      <c r="E735" s="22"/>
      <c r="F735" s="22"/>
      <c r="G735" s="22"/>
      <c r="H735" s="22"/>
      <c r="I735" s="22"/>
      <c r="J735" s="22"/>
      <c r="K735" s="22"/>
      <c r="L735" s="22"/>
      <c r="M735" s="22"/>
      <c r="N735" s="22"/>
      <c r="O735" s="22"/>
      <c r="P735" s="22"/>
      <c r="Q735" s="22"/>
      <c r="R735" s="22"/>
      <c r="S735" s="22"/>
      <c r="T735" s="22"/>
      <c r="U735" s="22"/>
      <c r="V735" s="22"/>
      <c r="W735" s="22"/>
      <c r="X735" s="22"/>
      <c r="Y735" s="22"/>
      <c r="Z735" s="22"/>
    </row>
    <row r="736" spans="1:26" ht="16.149999999999999" customHeight="1" x14ac:dyDescent="0.25">
      <c r="A736" s="22"/>
      <c r="B736" s="22"/>
      <c r="C736" s="22"/>
      <c r="D736" s="22"/>
      <c r="E736" s="22"/>
      <c r="F736" s="22"/>
      <c r="G736" s="22"/>
      <c r="H736" s="22"/>
      <c r="I736" s="22"/>
      <c r="J736" s="22"/>
      <c r="K736" s="22"/>
      <c r="L736" s="22"/>
      <c r="M736" s="22"/>
      <c r="N736" s="22"/>
      <c r="O736" s="22"/>
      <c r="P736" s="22"/>
      <c r="Q736" s="22"/>
      <c r="R736" s="22"/>
      <c r="S736" s="22"/>
      <c r="T736" s="22"/>
      <c r="U736" s="22"/>
      <c r="V736" s="22"/>
      <c r="W736" s="22"/>
      <c r="X736" s="22"/>
      <c r="Y736" s="22"/>
      <c r="Z736" s="22"/>
    </row>
    <row r="737" spans="1:26" ht="16.149999999999999" customHeight="1" x14ac:dyDescent="0.25">
      <c r="A737" s="22"/>
      <c r="B737" s="22"/>
      <c r="C737" s="22"/>
      <c r="D737" s="22"/>
      <c r="E737" s="22"/>
      <c r="F737" s="22"/>
      <c r="G737" s="22"/>
      <c r="H737" s="22"/>
      <c r="I737" s="22"/>
      <c r="J737" s="22"/>
      <c r="K737" s="22"/>
      <c r="L737" s="22"/>
      <c r="M737" s="22"/>
      <c r="N737" s="22"/>
      <c r="O737" s="22"/>
      <c r="P737" s="22"/>
      <c r="Q737" s="22"/>
      <c r="R737" s="22"/>
      <c r="S737" s="22"/>
      <c r="T737" s="22"/>
      <c r="U737" s="22"/>
      <c r="V737" s="22"/>
      <c r="W737" s="22"/>
      <c r="X737" s="22"/>
      <c r="Y737" s="22"/>
      <c r="Z737" s="22"/>
    </row>
    <row r="738" spans="1:26" ht="16.149999999999999" customHeight="1" x14ac:dyDescent="0.25">
      <c r="A738" s="22"/>
      <c r="B738" s="22"/>
      <c r="C738" s="22"/>
      <c r="D738" s="22"/>
      <c r="E738" s="22"/>
      <c r="F738" s="22"/>
      <c r="G738" s="22"/>
      <c r="H738" s="22"/>
      <c r="I738" s="22"/>
      <c r="J738" s="22"/>
      <c r="K738" s="22"/>
      <c r="L738" s="22"/>
      <c r="M738" s="22"/>
      <c r="N738" s="22"/>
      <c r="O738" s="22"/>
      <c r="P738" s="22"/>
      <c r="Q738" s="22"/>
      <c r="R738" s="22"/>
      <c r="S738" s="22"/>
      <c r="T738" s="22"/>
      <c r="U738" s="22"/>
      <c r="V738" s="22"/>
      <c r="W738" s="22"/>
      <c r="X738" s="22"/>
      <c r="Y738" s="22"/>
      <c r="Z738" s="22"/>
    </row>
    <row r="739" spans="1:26" ht="16.149999999999999" customHeight="1" x14ac:dyDescent="0.25">
      <c r="A739" s="22"/>
      <c r="B739" s="22"/>
      <c r="C739" s="22"/>
      <c r="D739" s="22"/>
      <c r="E739" s="22"/>
      <c r="F739" s="22"/>
      <c r="G739" s="22"/>
      <c r="H739" s="22"/>
      <c r="I739" s="22"/>
      <c r="J739" s="22"/>
      <c r="K739" s="22"/>
      <c r="L739" s="22"/>
      <c r="M739" s="22"/>
      <c r="N739" s="22"/>
      <c r="O739" s="22"/>
      <c r="P739" s="22"/>
      <c r="Q739" s="22"/>
      <c r="R739" s="22"/>
      <c r="S739" s="22"/>
      <c r="T739" s="22"/>
      <c r="U739" s="22"/>
      <c r="V739" s="22"/>
      <c r="W739" s="22"/>
      <c r="X739" s="22"/>
      <c r="Y739" s="22"/>
      <c r="Z739" s="22"/>
    </row>
    <row r="740" spans="1:26" ht="16.149999999999999" customHeight="1" x14ac:dyDescent="0.25">
      <c r="A740" s="22"/>
      <c r="B740" s="22"/>
      <c r="C740" s="22"/>
      <c r="D740" s="22"/>
      <c r="E740" s="22"/>
      <c r="F740" s="22"/>
      <c r="G740" s="22"/>
      <c r="H740" s="22"/>
      <c r="I740" s="22"/>
      <c r="J740" s="22"/>
      <c r="K740" s="22"/>
      <c r="L740" s="22"/>
      <c r="M740" s="22"/>
      <c r="N740" s="22"/>
      <c r="O740" s="22"/>
      <c r="P740" s="22"/>
      <c r="Q740" s="22"/>
      <c r="R740" s="22"/>
      <c r="S740" s="22"/>
      <c r="T740" s="22"/>
      <c r="U740" s="22"/>
      <c r="V740" s="22"/>
      <c r="W740" s="22"/>
      <c r="X740" s="22"/>
      <c r="Y740" s="22"/>
      <c r="Z740" s="22"/>
    </row>
    <row r="741" spans="1:26" ht="16.149999999999999" customHeight="1" x14ac:dyDescent="0.25">
      <c r="A741" s="22"/>
      <c r="B741" s="22"/>
      <c r="C741" s="22"/>
      <c r="D741" s="22"/>
      <c r="E741" s="22"/>
      <c r="F741" s="22"/>
      <c r="G741" s="22"/>
      <c r="H741" s="22"/>
      <c r="I741" s="22"/>
      <c r="J741" s="22"/>
      <c r="K741" s="22"/>
      <c r="L741" s="22"/>
      <c r="M741" s="22"/>
      <c r="N741" s="22"/>
      <c r="O741" s="22"/>
      <c r="P741" s="22"/>
      <c r="Q741" s="22"/>
      <c r="R741" s="22"/>
      <c r="S741" s="22"/>
      <c r="T741" s="22"/>
      <c r="U741" s="22"/>
      <c r="V741" s="22"/>
      <c r="W741" s="22"/>
      <c r="X741" s="22"/>
      <c r="Y741" s="22"/>
      <c r="Z741" s="22"/>
    </row>
    <row r="742" spans="1:26" ht="16.149999999999999" customHeight="1" x14ac:dyDescent="0.25">
      <c r="A742" s="22"/>
      <c r="B742" s="22"/>
      <c r="C742" s="22"/>
      <c r="D742" s="22"/>
      <c r="E742" s="22"/>
      <c r="F742" s="22"/>
      <c r="G742" s="22"/>
      <c r="H742" s="22"/>
      <c r="I742" s="22"/>
      <c r="J742" s="22"/>
      <c r="K742" s="22"/>
      <c r="L742" s="22"/>
      <c r="M742" s="22"/>
      <c r="N742" s="22"/>
      <c r="O742" s="22"/>
      <c r="P742" s="22"/>
      <c r="Q742" s="22"/>
      <c r="R742" s="22"/>
      <c r="S742" s="22"/>
      <c r="T742" s="22"/>
      <c r="U742" s="22"/>
      <c r="V742" s="22"/>
      <c r="W742" s="22"/>
      <c r="X742" s="22"/>
      <c r="Y742" s="22"/>
      <c r="Z742" s="22"/>
    </row>
    <row r="743" spans="1:26" ht="16.149999999999999" customHeight="1" x14ac:dyDescent="0.25">
      <c r="A743" s="22"/>
      <c r="B743" s="22"/>
      <c r="C743" s="22"/>
      <c r="D743" s="22"/>
      <c r="E743" s="22"/>
      <c r="F743" s="22"/>
      <c r="G743" s="22"/>
      <c r="H743" s="22"/>
      <c r="I743" s="22"/>
      <c r="J743" s="22"/>
      <c r="K743" s="22"/>
      <c r="L743" s="22"/>
      <c r="M743" s="22"/>
      <c r="N743" s="22"/>
      <c r="O743" s="22"/>
      <c r="P743" s="22"/>
      <c r="Q743" s="22"/>
      <c r="R743" s="22"/>
      <c r="S743" s="22"/>
      <c r="T743" s="22"/>
      <c r="U743" s="22"/>
      <c r="V743" s="22"/>
      <c r="W743" s="22"/>
      <c r="X743" s="22"/>
      <c r="Y743" s="22"/>
      <c r="Z743" s="22"/>
    </row>
    <row r="744" spans="1:26" ht="16.149999999999999" customHeight="1" x14ac:dyDescent="0.25">
      <c r="A744" s="22"/>
      <c r="B744" s="22"/>
      <c r="C744" s="22"/>
      <c r="D744" s="22"/>
      <c r="E744" s="22"/>
      <c r="F744" s="22"/>
      <c r="G744" s="22"/>
      <c r="H744" s="22"/>
      <c r="I744" s="22"/>
      <c r="J744" s="22"/>
      <c r="K744" s="22"/>
      <c r="L744" s="22"/>
      <c r="M744" s="22"/>
      <c r="N744" s="22"/>
      <c r="O744" s="22"/>
      <c r="P744" s="22"/>
      <c r="Q744" s="22"/>
      <c r="R744" s="22"/>
      <c r="S744" s="22"/>
      <c r="T744" s="22"/>
      <c r="U744" s="22"/>
      <c r="V744" s="22"/>
      <c r="W744" s="22"/>
      <c r="X744" s="22"/>
      <c r="Y744" s="22"/>
      <c r="Z744" s="22"/>
    </row>
    <row r="745" spans="1:26" ht="16.149999999999999" customHeight="1" x14ac:dyDescent="0.25">
      <c r="A745" s="22"/>
      <c r="B745" s="22"/>
      <c r="C745" s="22"/>
      <c r="D745" s="22"/>
      <c r="E745" s="22"/>
      <c r="F745" s="22"/>
      <c r="G745" s="22"/>
      <c r="H745" s="22"/>
      <c r="I745" s="22"/>
      <c r="J745" s="22"/>
      <c r="K745" s="22"/>
      <c r="L745" s="22"/>
      <c r="M745" s="22"/>
      <c r="N745" s="22"/>
      <c r="O745" s="22"/>
      <c r="P745" s="22"/>
      <c r="Q745" s="22"/>
      <c r="R745" s="22"/>
      <c r="S745" s="22"/>
      <c r="T745" s="22"/>
      <c r="U745" s="22"/>
      <c r="V745" s="22"/>
      <c r="W745" s="22"/>
      <c r="X745" s="22"/>
      <c r="Y745" s="22"/>
      <c r="Z745" s="22"/>
    </row>
    <row r="746" spans="1:26" ht="16.149999999999999" customHeight="1" x14ac:dyDescent="0.25">
      <c r="A746" s="22"/>
      <c r="B746" s="22"/>
      <c r="C746" s="22"/>
      <c r="D746" s="22"/>
      <c r="E746" s="22"/>
      <c r="F746" s="22"/>
      <c r="G746" s="22"/>
      <c r="H746" s="22"/>
      <c r="I746" s="22"/>
      <c r="J746" s="22"/>
      <c r="K746" s="22"/>
      <c r="L746" s="22"/>
      <c r="M746" s="22"/>
      <c r="N746" s="22"/>
      <c r="O746" s="22"/>
      <c r="P746" s="22"/>
      <c r="Q746" s="22"/>
      <c r="R746" s="22"/>
      <c r="S746" s="22"/>
      <c r="T746" s="22"/>
      <c r="U746" s="22"/>
      <c r="V746" s="22"/>
      <c r="W746" s="22"/>
      <c r="X746" s="22"/>
      <c r="Y746" s="22"/>
      <c r="Z746" s="22"/>
    </row>
    <row r="747" spans="1:26" ht="16.149999999999999" customHeight="1" x14ac:dyDescent="0.25">
      <c r="A747" s="22"/>
      <c r="B747" s="22"/>
      <c r="C747" s="22"/>
      <c r="D747" s="22"/>
      <c r="E747" s="22"/>
      <c r="F747" s="22"/>
      <c r="G747" s="22"/>
      <c r="H747" s="22"/>
      <c r="I747" s="22"/>
      <c r="J747" s="22"/>
      <c r="K747" s="22"/>
      <c r="L747" s="22"/>
      <c r="M747" s="22"/>
      <c r="N747" s="22"/>
      <c r="O747" s="22"/>
      <c r="P747" s="22"/>
      <c r="Q747" s="22"/>
      <c r="R747" s="22"/>
      <c r="S747" s="22"/>
      <c r="T747" s="22"/>
      <c r="U747" s="22"/>
      <c r="V747" s="22"/>
      <c r="W747" s="22"/>
      <c r="X747" s="22"/>
      <c r="Y747" s="22"/>
      <c r="Z747" s="22"/>
    </row>
    <row r="748" spans="1:26" ht="16.149999999999999" customHeight="1" x14ac:dyDescent="0.25">
      <c r="A748" s="22"/>
      <c r="B748" s="22"/>
      <c r="C748" s="22"/>
      <c r="D748" s="22"/>
      <c r="E748" s="22"/>
      <c r="F748" s="22"/>
      <c r="G748" s="22"/>
      <c r="H748" s="22"/>
      <c r="I748" s="22"/>
      <c r="J748" s="22"/>
      <c r="K748" s="22"/>
      <c r="L748" s="22"/>
      <c r="M748" s="22"/>
      <c r="N748" s="22"/>
      <c r="O748" s="22"/>
      <c r="P748" s="22"/>
      <c r="Q748" s="22"/>
      <c r="R748" s="22"/>
      <c r="S748" s="22"/>
      <c r="T748" s="22"/>
      <c r="U748" s="22"/>
      <c r="V748" s="22"/>
      <c r="W748" s="22"/>
      <c r="X748" s="22"/>
      <c r="Y748" s="22"/>
      <c r="Z748" s="22"/>
    </row>
    <row r="749" spans="1:26" ht="16.149999999999999" customHeight="1" x14ac:dyDescent="0.25">
      <c r="A749" s="22"/>
      <c r="B749" s="22"/>
      <c r="C749" s="22"/>
      <c r="D749" s="22"/>
      <c r="E749" s="22"/>
      <c r="F749" s="22"/>
      <c r="G749" s="22"/>
      <c r="H749" s="22"/>
      <c r="I749" s="22"/>
      <c r="J749" s="22"/>
      <c r="K749" s="22"/>
      <c r="L749" s="22"/>
      <c r="M749" s="22"/>
      <c r="N749" s="22"/>
      <c r="O749" s="22"/>
      <c r="P749" s="22"/>
      <c r="Q749" s="22"/>
      <c r="R749" s="22"/>
      <c r="S749" s="22"/>
      <c r="T749" s="22"/>
      <c r="U749" s="22"/>
      <c r="V749" s="22"/>
      <c r="W749" s="22"/>
      <c r="X749" s="22"/>
      <c r="Y749" s="22"/>
      <c r="Z749" s="22"/>
    </row>
    <row r="750" spans="1:26" ht="16.149999999999999" customHeight="1" x14ac:dyDescent="0.25">
      <c r="A750" s="22"/>
      <c r="B750" s="22"/>
      <c r="C750" s="22"/>
      <c r="D750" s="22"/>
      <c r="E750" s="22"/>
      <c r="F750" s="22"/>
      <c r="G750" s="22"/>
      <c r="H750" s="22"/>
      <c r="I750" s="22"/>
      <c r="J750" s="22"/>
      <c r="K750" s="22"/>
      <c r="L750" s="22"/>
      <c r="M750" s="22"/>
      <c r="N750" s="22"/>
      <c r="O750" s="22"/>
      <c r="P750" s="22"/>
      <c r="Q750" s="22"/>
      <c r="R750" s="22"/>
      <c r="S750" s="22"/>
      <c r="T750" s="22"/>
      <c r="U750" s="22"/>
      <c r="V750" s="22"/>
      <c r="W750" s="22"/>
      <c r="X750" s="22"/>
      <c r="Y750" s="22"/>
      <c r="Z750" s="22"/>
    </row>
    <row r="751" spans="1:26" ht="16.149999999999999" customHeight="1" x14ac:dyDescent="0.25">
      <c r="A751" s="22"/>
      <c r="B751" s="22"/>
      <c r="C751" s="22"/>
      <c r="D751" s="22"/>
      <c r="E751" s="22"/>
      <c r="F751" s="22"/>
      <c r="G751" s="22"/>
      <c r="H751" s="22"/>
      <c r="I751" s="22"/>
      <c r="J751" s="22"/>
      <c r="K751" s="22"/>
      <c r="L751" s="22"/>
      <c r="M751" s="22"/>
      <c r="N751" s="22"/>
      <c r="O751" s="22"/>
      <c r="P751" s="22"/>
      <c r="Q751" s="22"/>
      <c r="R751" s="22"/>
      <c r="S751" s="22"/>
      <c r="T751" s="22"/>
      <c r="U751" s="22"/>
      <c r="V751" s="22"/>
      <c r="W751" s="22"/>
      <c r="X751" s="22"/>
      <c r="Y751" s="22"/>
      <c r="Z751" s="22"/>
    </row>
    <row r="752" spans="1:26" ht="16.149999999999999" customHeight="1" x14ac:dyDescent="0.25">
      <c r="A752" s="22"/>
      <c r="B752" s="22"/>
      <c r="C752" s="22"/>
      <c r="D752" s="22"/>
      <c r="E752" s="22"/>
      <c r="F752" s="22"/>
      <c r="G752" s="22"/>
      <c r="H752" s="22"/>
      <c r="I752" s="22"/>
      <c r="J752" s="22"/>
      <c r="K752" s="22"/>
      <c r="L752" s="22"/>
      <c r="M752" s="22"/>
      <c r="N752" s="22"/>
      <c r="O752" s="22"/>
      <c r="P752" s="22"/>
      <c r="Q752" s="22"/>
      <c r="R752" s="22"/>
      <c r="S752" s="22"/>
      <c r="T752" s="22"/>
      <c r="U752" s="22"/>
      <c r="V752" s="22"/>
      <c r="W752" s="22"/>
      <c r="X752" s="22"/>
      <c r="Y752" s="22"/>
      <c r="Z752" s="22"/>
    </row>
    <row r="753" spans="1:26" ht="16.149999999999999" customHeight="1" x14ac:dyDescent="0.25">
      <c r="A753" s="22"/>
      <c r="B753" s="22"/>
      <c r="C753" s="22"/>
      <c r="D753" s="22"/>
      <c r="E753" s="22"/>
      <c r="F753" s="22"/>
      <c r="G753" s="22"/>
      <c r="H753" s="22"/>
      <c r="I753" s="22"/>
      <c r="J753" s="22"/>
      <c r="K753" s="22"/>
      <c r="L753" s="22"/>
      <c r="M753" s="22"/>
      <c r="N753" s="22"/>
      <c r="O753" s="22"/>
      <c r="P753" s="22"/>
      <c r="Q753" s="22"/>
      <c r="R753" s="22"/>
      <c r="S753" s="22"/>
      <c r="T753" s="22"/>
      <c r="U753" s="22"/>
      <c r="V753" s="22"/>
      <c r="W753" s="22"/>
      <c r="X753" s="22"/>
      <c r="Y753" s="22"/>
      <c r="Z753" s="22"/>
    </row>
    <row r="754" spans="1:26" ht="16.149999999999999" customHeight="1" x14ac:dyDescent="0.25">
      <c r="A754" s="22"/>
      <c r="B754" s="22"/>
      <c r="C754" s="22"/>
      <c r="D754" s="22"/>
      <c r="E754" s="22"/>
      <c r="F754" s="22"/>
      <c r="G754" s="22"/>
      <c r="H754" s="22"/>
      <c r="I754" s="22"/>
      <c r="J754" s="22"/>
      <c r="K754" s="22"/>
      <c r="L754" s="22"/>
      <c r="M754" s="22"/>
      <c r="N754" s="22"/>
      <c r="O754" s="22"/>
      <c r="P754" s="22"/>
      <c r="Q754" s="22"/>
      <c r="R754" s="22"/>
      <c r="S754" s="22"/>
      <c r="T754" s="22"/>
      <c r="U754" s="22"/>
      <c r="V754" s="22"/>
      <c r="W754" s="22"/>
      <c r="X754" s="22"/>
      <c r="Y754" s="22"/>
      <c r="Z754" s="22"/>
    </row>
    <row r="755" spans="1:26" ht="16.149999999999999" customHeight="1" x14ac:dyDescent="0.25">
      <c r="A755" s="22"/>
      <c r="B755" s="22"/>
      <c r="C755" s="22"/>
      <c r="D755" s="22"/>
      <c r="E755" s="22"/>
      <c r="F755" s="22"/>
      <c r="G755" s="22"/>
      <c r="H755" s="22"/>
      <c r="I755" s="22"/>
      <c r="J755" s="22"/>
      <c r="K755" s="22"/>
      <c r="L755" s="22"/>
      <c r="M755" s="22"/>
      <c r="N755" s="22"/>
      <c r="O755" s="22"/>
      <c r="P755" s="22"/>
      <c r="Q755" s="22"/>
      <c r="R755" s="22"/>
      <c r="S755" s="22"/>
      <c r="T755" s="22"/>
      <c r="U755" s="22"/>
      <c r="V755" s="22"/>
      <c r="W755" s="22"/>
      <c r="X755" s="22"/>
      <c r="Y755" s="22"/>
      <c r="Z755" s="22"/>
    </row>
    <row r="756" spans="1:26" ht="16.149999999999999" customHeight="1" x14ac:dyDescent="0.25">
      <c r="A756" s="22"/>
      <c r="B756" s="22"/>
      <c r="C756" s="22"/>
      <c r="D756" s="22"/>
      <c r="E756" s="22"/>
      <c r="F756" s="22"/>
      <c r="G756" s="22"/>
      <c r="H756" s="22"/>
      <c r="I756" s="22"/>
      <c r="J756" s="22"/>
      <c r="K756" s="22"/>
      <c r="L756" s="22"/>
      <c r="M756" s="22"/>
      <c r="N756" s="22"/>
      <c r="O756" s="22"/>
      <c r="P756" s="22"/>
      <c r="Q756" s="22"/>
      <c r="R756" s="22"/>
      <c r="S756" s="22"/>
      <c r="T756" s="22"/>
      <c r="U756" s="22"/>
      <c r="V756" s="22"/>
      <c r="W756" s="22"/>
      <c r="X756" s="22"/>
      <c r="Y756" s="22"/>
      <c r="Z756" s="22"/>
    </row>
    <row r="757" spans="1:26" ht="16.149999999999999" customHeight="1" x14ac:dyDescent="0.25">
      <c r="A757" s="22"/>
      <c r="B757" s="22"/>
      <c r="C757" s="22"/>
      <c r="D757" s="22"/>
      <c r="E757" s="22"/>
      <c r="F757" s="22"/>
      <c r="G757" s="22"/>
      <c r="H757" s="22"/>
      <c r="I757" s="22"/>
      <c r="J757" s="22"/>
      <c r="K757" s="22"/>
      <c r="L757" s="22"/>
      <c r="M757" s="22"/>
      <c r="N757" s="22"/>
      <c r="O757" s="22"/>
      <c r="P757" s="22"/>
      <c r="Q757" s="22"/>
      <c r="R757" s="22"/>
      <c r="S757" s="22"/>
      <c r="T757" s="22"/>
      <c r="U757" s="22"/>
      <c r="V757" s="22"/>
      <c r="W757" s="22"/>
      <c r="X757" s="22"/>
      <c r="Y757" s="22"/>
      <c r="Z757" s="22"/>
    </row>
    <row r="758" spans="1:26" ht="16.149999999999999" customHeight="1" x14ac:dyDescent="0.25">
      <c r="A758" s="22"/>
      <c r="B758" s="22"/>
      <c r="C758" s="22"/>
      <c r="D758" s="22"/>
      <c r="E758" s="22"/>
      <c r="F758" s="22"/>
      <c r="G758" s="22"/>
      <c r="H758" s="22"/>
      <c r="I758" s="22"/>
      <c r="J758" s="22"/>
      <c r="K758" s="22"/>
      <c r="L758" s="22"/>
      <c r="M758" s="22"/>
      <c r="N758" s="22"/>
      <c r="O758" s="22"/>
      <c r="P758" s="22"/>
      <c r="Q758" s="22"/>
      <c r="R758" s="22"/>
      <c r="S758" s="22"/>
      <c r="T758" s="22"/>
      <c r="U758" s="22"/>
      <c r="V758" s="22"/>
      <c r="W758" s="22"/>
      <c r="X758" s="22"/>
      <c r="Y758" s="22"/>
      <c r="Z758" s="22"/>
    </row>
    <row r="759" spans="1:26" ht="16.149999999999999" customHeight="1" x14ac:dyDescent="0.25">
      <c r="A759" s="22"/>
      <c r="B759" s="22"/>
      <c r="C759" s="22"/>
      <c r="D759" s="22"/>
      <c r="E759" s="22"/>
      <c r="F759" s="22"/>
      <c r="G759" s="22"/>
      <c r="H759" s="22"/>
      <c r="I759" s="22"/>
      <c r="J759" s="22"/>
      <c r="K759" s="22"/>
      <c r="L759" s="22"/>
      <c r="M759" s="22"/>
      <c r="N759" s="22"/>
      <c r="O759" s="22"/>
      <c r="P759" s="22"/>
      <c r="Q759" s="22"/>
      <c r="R759" s="22"/>
      <c r="S759" s="22"/>
      <c r="T759" s="22"/>
      <c r="U759" s="22"/>
      <c r="V759" s="22"/>
      <c r="W759" s="22"/>
      <c r="X759" s="22"/>
      <c r="Y759" s="22"/>
      <c r="Z759" s="22"/>
    </row>
    <row r="760" spans="1:26" ht="16.149999999999999" customHeight="1" x14ac:dyDescent="0.25">
      <c r="A760" s="22"/>
      <c r="B760" s="22"/>
      <c r="C760" s="22"/>
      <c r="D760" s="22"/>
      <c r="E760" s="22"/>
      <c r="F760" s="22"/>
      <c r="G760" s="22"/>
      <c r="H760" s="22"/>
      <c r="I760" s="22"/>
      <c r="J760" s="22"/>
      <c r="K760" s="22"/>
      <c r="L760" s="22"/>
      <c r="M760" s="22"/>
      <c r="N760" s="22"/>
      <c r="O760" s="22"/>
      <c r="P760" s="22"/>
      <c r="Q760" s="22"/>
      <c r="R760" s="22"/>
      <c r="S760" s="22"/>
      <c r="T760" s="22"/>
      <c r="U760" s="22"/>
      <c r="V760" s="22"/>
      <c r="W760" s="22"/>
      <c r="X760" s="22"/>
      <c r="Y760" s="22"/>
      <c r="Z760" s="22"/>
    </row>
    <row r="761" spans="1:26" ht="16.149999999999999" customHeight="1" x14ac:dyDescent="0.25">
      <c r="A761" s="22"/>
      <c r="B761" s="22"/>
      <c r="C761" s="22"/>
      <c r="D761" s="22"/>
      <c r="E761" s="22"/>
      <c r="F761" s="22"/>
      <c r="G761" s="22"/>
      <c r="H761" s="22"/>
      <c r="I761" s="22"/>
      <c r="J761" s="22"/>
      <c r="K761" s="22"/>
      <c r="L761" s="22"/>
      <c r="M761" s="22"/>
      <c r="N761" s="22"/>
      <c r="O761" s="22"/>
      <c r="P761" s="22"/>
      <c r="Q761" s="22"/>
      <c r="R761" s="22"/>
      <c r="S761" s="22"/>
      <c r="T761" s="22"/>
      <c r="U761" s="22"/>
      <c r="V761" s="22"/>
      <c r="W761" s="22"/>
      <c r="X761" s="22"/>
      <c r="Y761" s="22"/>
      <c r="Z761" s="22"/>
    </row>
    <row r="762" spans="1:26" ht="16.149999999999999" customHeight="1" x14ac:dyDescent="0.25">
      <c r="A762" s="22"/>
      <c r="B762" s="22"/>
      <c r="C762" s="22"/>
      <c r="D762" s="22"/>
      <c r="E762" s="22"/>
      <c r="F762" s="22"/>
      <c r="G762" s="22"/>
      <c r="H762" s="22"/>
      <c r="I762" s="22"/>
      <c r="J762" s="22"/>
      <c r="K762" s="22"/>
      <c r="L762" s="22"/>
      <c r="M762" s="22"/>
      <c r="N762" s="22"/>
      <c r="O762" s="22"/>
      <c r="P762" s="22"/>
      <c r="Q762" s="22"/>
      <c r="R762" s="22"/>
      <c r="S762" s="22"/>
      <c r="T762" s="22"/>
      <c r="U762" s="22"/>
      <c r="V762" s="22"/>
      <c r="W762" s="22"/>
      <c r="X762" s="22"/>
      <c r="Y762" s="22"/>
      <c r="Z762" s="22"/>
    </row>
    <row r="763" spans="1:26" ht="16.149999999999999" customHeight="1" x14ac:dyDescent="0.25">
      <c r="A763" s="22"/>
      <c r="B763" s="22"/>
      <c r="C763" s="22"/>
      <c r="D763" s="22"/>
      <c r="E763" s="22"/>
      <c r="F763" s="22"/>
      <c r="G763" s="22"/>
      <c r="H763" s="22"/>
      <c r="I763" s="22"/>
      <c r="J763" s="22"/>
      <c r="K763" s="22"/>
      <c r="L763" s="22"/>
      <c r="M763" s="22"/>
      <c r="N763" s="22"/>
      <c r="O763" s="22"/>
      <c r="P763" s="22"/>
      <c r="Q763" s="22"/>
      <c r="R763" s="22"/>
      <c r="S763" s="22"/>
      <c r="T763" s="22"/>
      <c r="U763" s="22"/>
      <c r="V763" s="22"/>
      <c r="W763" s="22"/>
      <c r="X763" s="22"/>
      <c r="Y763" s="22"/>
      <c r="Z763" s="22"/>
    </row>
    <row r="764" spans="1:26" ht="16.149999999999999" customHeight="1" x14ac:dyDescent="0.25">
      <c r="A764" s="22"/>
      <c r="B764" s="22"/>
      <c r="C764" s="22"/>
      <c r="D764" s="22"/>
      <c r="E764" s="22"/>
      <c r="F764" s="22"/>
      <c r="G764" s="22"/>
      <c r="H764" s="22"/>
      <c r="I764" s="22"/>
      <c r="J764" s="22"/>
      <c r="K764" s="22"/>
      <c r="L764" s="22"/>
      <c r="M764" s="22"/>
      <c r="N764" s="22"/>
      <c r="O764" s="22"/>
      <c r="P764" s="22"/>
      <c r="Q764" s="22"/>
      <c r="R764" s="22"/>
      <c r="S764" s="22"/>
      <c r="T764" s="22"/>
      <c r="U764" s="22"/>
      <c r="V764" s="22"/>
      <c r="W764" s="22"/>
      <c r="X764" s="22"/>
      <c r="Y764" s="22"/>
      <c r="Z764" s="22"/>
    </row>
    <row r="765" spans="1:26" ht="16.149999999999999" customHeight="1" x14ac:dyDescent="0.25">
      <c r="A765" s="22"/>
      <c r="B765" s="22"/>
      <c r="C765" s="22"/>
      <c r="D765" s="22"/>
      <c r="E765" s="22"/>
      <c r="F765" s="22"/>
      <c r="G765" s="22"/>
      <c r="H765" s="22"/>
      <c r="I765" s="22"/>
      <c r="J765" s="22"/>
      <c r="K765" s="22"/>
      <c r="L765" s="22"/>
      <c r="M765" s="22"/>
      <c r="N765" s="22"/>
      <c r="O765" s="22"/>
      <c r="P765" s="22"/>
      <c r="Q765" s="22"/>
      <c r="R765" s="22"/>
      <c r="S765" s="22"/>
      <c r="T765" s="22"/>
      <c r="U765" s="22"/>
      <c r="V765" s="22"/>
      <c r="W765" s="22"/>
      <c r="X765" s="22"/>
      <c r="Y765" s="22"/>
      <c r="Z765" s="22"/>
    </row>
    <row r="766" spans="1:26" ht="16.149999999999999" customHeight="1" x14ac:dyDescent="0.25">
      <c r="A766" s="22"/>
      <c r="B766" s="22"/>
      <c r="C766" s="22"/>
      <c r="D766" s="22"/>
      <c r="E766" s="22"/>
      <c r="F766" s="22"/>
      <c r="G766" s="22"/>
      <c r="H766" s="22"/>
      <c r="I766" s="22"/>
      <c r="J766" s="22"/>
      <c r="K766" s="22"/>
      <c r="L766" s="22"/>
      <c r="M766" s="22"/>
      <c r="N766" s="22"/>
      <c r="O766" s="22"/>
      <c r="P766" s="22"/>
      <c r="Q766" s="22"/>
      <c r="R766" s="22"/>
      <c r="S766" s="22"/>
      <c r="T766" s="22"/>
      <c r="U766" s="22"/>
      <c r="V766" s="22"/>
      <c r="W766" s="22"/>
      <c r="X766" s="22"/>
      <c r="Y766" s="22"/>
      <c r="Z766" s="22"/>
    </row>
    <row r="767" spans="1:26" ht="16.149999999999999" customHeight="1" x14ac:dyDescent="0.25">
      <c r="A767" s="22"/>
      <c r="B767" s="22"/>
      <c r="C767" s="22"/>
      <c r="D767" s="22"/>
      <c r="E767" s="22"/>
      <c r="F767" s="22"/>
      <c r="G767" s="22"/>
      <c r="H767" s="22"/>
      <c r="I767" s="22"/>
      <c r="J767" s="22"/>
      <c r="K767" s="22"/>
      <c r="L767" s="22"/>
      <c r="M767" s="22"/>
      <c r="N767" s="22"/>
      <c r="O767" s="22"/>
      <c r="P767" s="22"/>
      <c r="Q767" s="22"/>
      <c r="R767" s="22"/>
      <c r="S767" s="22"/>
      <c r="T767" s="22"/>
      <c r="U767" s="22"/>
      <c r="V767" s="22"/>
      <c r="W767" s="22"/>
      <c r="X767" s="22"/>
      <c r="Y767" s="22"/>
      <c r="Z767" s="22"/>
    </row>
    <row r="768" spans="1:26" ht="16.149999999999999" customHeight="1" x14ac:dyDescent="0.25">
      <c r="A768" s="22"/>
      <c r="B768" s="22"/>
      <c r="C768" s="22"/>
      <c r="D768" s="22"/>
      <c r="E768" s="22"/>
      <c r="F768" s="22"/>
      <c r="G768" s="22"/>
      <c r="H768" s="22"/>
      <c r="I768" s="22"/>
      <c r="J768" s="22"/>
      <c r="K768" s="22"/>
      <c r="L768" s="22"/>
      <c r="M768" s="22"/>
      <c r="N768" s="22"/>
      <c r="O768" s="22"/>
      <c r="P768" s="22"/>
      <c r="Q768" s="22"/>
      <c r="R768" s="22"/>
      <c r="S768" s="22"/>
      <c r="T768" s="22"/>
      <c r="U768" s="22"/>
      <c r="V768" s="22"/>
      <c r="W768" s="22"/>
      <c r="X768" s="22"/>
      <c r="Y768" s="22"/>
      <c r="Z768" s="22"/>
    </row>
    <row r="769" spans="1:26" ht="16.149999999999999" customHeight="1" x14ac:dyDescent="0.25">
      <c r="A769" s="22"/>
      <c r="B769" s="22"/>
      <c r="C769" s="22"/>
      <c r="D769" s="22"/>
      <c r="E769" s="22"/>
      <c r="F769" s="22"/>
      <c r="G769" s="22"/>
      <c r="H769" s="22"/>
      <c r="I769" s="22"/>
      <c r="J769" s="22"/>
      <c r="K769" s="22"/>
      <c r="L769" s="22"/>
      <c r="M769" s="22"/>
      <c r="N769" s="22"/>
      <c r="O769" s="22"/>
      <c r="P769" s="22"/>
      <c r="Q769" s="22"/>
      <c r="R769" s="22"/>
      <c r="S769" s="22"/>
      <c r="T769" s="22"/>
      <c r="U769" s="22"/>
      <c r="V769" s="22"/>
      <c r="W769" s="22"/>
      <c r="X769" s="22"/>
      <c r="Y769" s="22"/>
      <c r="Z769" s="22"/>
    </row>
    <row r="770" spans="1:26" ht="16.149999999999999" customHeight="1" x14ac:dyDescent="0.25">
      <c r="A770" s="22"/>
      <c r="B770" s="22"/>
      <c r="C770" s="22"/>
      <c r="D770" s="22"/>
      <c r="E770" s="22"/>
      <c r="F770" s="22"/>
      <c r="G770" s="22"/>
      <c r="H770" s="22"/>
      <c r="I770" s="22"/>
      <c r="J770" s="22"/>
      <c r="K770" s="22"/>
      <c r="L770" s="22"/>
      <c r="M770" s="22"/>
      <c r="N770" s="22"/>
      <c r="O770" s="22"/>
      <c r="P770" s="22"/>
      <c r="Q770" s="22"/>
      <c r="R770" s="22"/>
      <c r="S770" s="22"/>
      <c r="T770" s="22"/>
      <c r="U770" s="22"/>
      <c r="V770" s="22"/>
      <c r="W770" s="22"/>
      <c r="X770" s="22"/>
      <c r="Y770" s="22"/>
      <c r="Z770" s="22"/>
    </row>
    <row r="771" spans="1:26" ht="16.149999999999999" customHeight="1" x14ac:dyDescent="0.25">
      <c r="A771" s="22"/>
      <c r="B771" s="22"/>
      <c r="C771" s="22"/>
      <c r="D771" s="22"/>
      <c r="E771" s="22"/>
      <c r="F771" s="22"/>
      <c r="G771" s="22"/>
      <c r="H771" s="22"/>
      <c r="I771" s="22"/>
      <c r="J771" s="22"/>
      <c r="K771" s="22"/>
      <c r="L771" s="22"/>
      <c r="M771" s="22"/>
      <c r="N771" s="22"/>
      <c r="O771" s="22"/>
      <c r="P771" s="22"/>
      <c r="Q771" s="22"/>
      <c r="R771" s="22"/>
      <c r="S771" s="22"/>
      <c r="T771" s="22"/>
      <c r="U771" s="22"/>
      <c r="V771" s="22"/>
      <c r="W771" s="22"/>
      <c r="X771" s="22"/>
      <c r="Y771" s="22"/>
      <c r="Z771" s="22"/>
    </row>
    <row r="772" spans="1:26" ht="16.149999999999999" customHeight="1" x14ac:dyDescent="0.25">
      <c r="A772" s="22"/>
      <c r="B772" s="22"/>
      <c r="C772" s="22"/>
      <c r="D772" s="22"/>
      <c r="E772" s="22"/>
      <c r="F772" s="22"/>
      <c r="G772" s="22"/>
      <c r="H772" s="22"/>
      <c r="I772" s="22"/>
      <c r="J772" s="22"/>
      <c r="K772" s="22"/>
      <c r="L772" s="22"/>
      <c r="M772" s="22"/>
      <c r="N772" s="22"/>
      <c r="O772" s="22"/>
      <c r="P772" s="22"/>
      <c r="Q772" s="22"/>
      <c r="R772" s="22"/>
      <c r="S772" s="22"/>
      <c r="T772" s="22"/>
      <c r="U772" s="22"/>
      <c r="V772" s="22"/>
      <c r="W772" s="22"/>
      <c r="X772" s="22"/>
      <c r="Y772" s="22"/>
      <c r="Z772" s="22"/>
    </row>
    <row r="773" spans="1:26" ht="16.149999999999999" customHeight="1" x14ac:dyDescent="0.25">
      <c r="A773" s="22"/>
      <c r="B773" s="22"/>
      <c r="C773" s="22"/>
      <c r="D773" s="22"/>
      <c r="E773" s="22"/>
      <c r="F773" s="22"/>
      <c r="G773" s="22"/>
      <c r="H773" s="22"/>
      <c r="I773" s="22"/>
      <c r="J773" s="22"/>
      <c r="K773" s="22"/>
      <c r="L773" s="22"/>
      <c r="M773" s="22"/>
      <c r="N773" s="22"/>
      <c r="O773" s="22"/>
      <c r="P773" s="22"/>
      <c r="Q773" s="22"/>
      <c r="R773" s="22"/>
      <c r="S773" s="22"/>
      <c r="T773" s="22"/>
      <c r="U773" s="22"/>
      <c r="V773" s="22"/>
      <c r="W773" s="22"/>
      <c r="X773" s="22"/>
      <c r="Y773" s="22"/>
      <c r="Z773" s="22"/>
    </row>
    <row r="774" spans="1:26" ht="16.149999999999999" customHeight="1" x14ac:dyDescent="0.25">
      <c r="A774" s="22"/>
      <c r="B774" s="22"/>
      <c r="C774" s="22"/>
      <c r="D774" s="22"/>
      <c r="E774" s="22"/>
      <c r="F774" s="22"/>
      <c r="G774" s="22"/>
      <c r="H774" s="22"/>
      <c r="I774" s="22"/>
      <c r="J774" s="22"/>
      <c r="K774" s="22"/>
      <c r="L774" s="22"/>
      <c r="M774" s="22"/>
      <c r="N774" s="22"/>
      <c r="O774" s="22"/>
      <c r="P774" s="22"/>
      <c r="Q774" s="22"/>
      <c r="R774" s="22"/>
      <c r="S774" s="22"/>
      <c r="T774" s="22"/>
      <c r="U774" s="22"/>
      <c r="V774" s="22"/>
      <c r="W774" s="22"/>
      <c r="X774" s="22"/>
      <c r="Y774" s="22"/>
      <c r="Z774" s="22"/>
    </row>
    <row r="775" spans="1:26" ht="16.149999999999999" customHeight="1" x14ac:dyDescent="0.25">
      <c r="A775" s="22"/>
      <c r="B775" s="22"/>
      <c r="C775" s="22"/>
      <c r="D775" s="22"/>
      <c r="E775" s="22"/>
      <c r="F775" s="22"/>
      <c r="G775" s="22"/>
      <c r="H775" s="22"/>
      <c r="I775" s="22"/>
      <c r="J775" s="22"/>
      <c r="K775" s="22"/>
      <c r="L775" s="22"/>
      <c r="M775" s="22"/>
      <c r="N775" s="22"/>
      <c r="O775" s="22"/>
      <c r="P775" s="22"/>
      <c r="Q775" s="22"/>
      <c r="R775" s="22"/>
      <c r="S775" s="22"/>
      <c r="T775" s="22"/>
      <c r="U775" s="22"/>
      <c r="V775" s="22"/>
      <c r="W775" s="22"/>
      <c r="X775" s="22"/>
      <c r="Y775" s="22"/>
      <c r="Z775" s="22"/>
    </row>
    <row r="776" spans="1:26" ht="16.149999999999999" customHeight="1" x14ac:dyDescent="0.25">
      <c r="A776" s="22"/>
      <c r="B776" s="22"/>
      <c r="C776" s="22"/>
      <c r="D776" s="22"/>
      <c r="E776" s="22"/>
      <c r="F776" s="22"/>
      <c r="G776" s="22"/>
      <c r="H776" s="22"/>
      <c r="I776" s="22"/>
      <c r="J776" s="22"/>
      <c r="K776" s="22"/>
      <c r="L776" s="22"/>
      <c r="M776" s="22"/>
      <c r="N776" s="22"/>
      <c r="O776" s="22"/>
      <c r="P776" s="22"/>
      <c r="Q776" s="22"/>
      <c r="R776" s="22"/>
      <c r="S776" s="22"/>
      <c r="T776" s="22"/>
      <c r="U776" s="22"/>
      <c r="V776" s="22"/>
      <c r="W776" s="22"/>
      <c r="X776" s="22"/>
      <c r="Y776" s="22"/>
      <c r="Z776" s="22"/>
    </row>
    <row r="777" spans="1:26" ht="16.149999999999999" customHeight="1" x14ac:dyDescent="0.25">
      <c r="A777" s="22"/>
      <c r="B777" s="22"/>
      <c r="C777" s="22"/>
      <c r="D777" s="22"/>
      <c r="E777" s="22"/>
      <c r="F777" s="22"/>
      <c r="G777" s="22"/>
      <c r="H777" s="22"/>
      <c r="I777" s="22"/>
      <c r="J777" s="22"/>
      <c r="K777" s="22"/>
      <c r="L777" s="22"/>
      <c r="M777" s="22"/>
      <c r="N777" s="22"/>
      <c r="O777" s="22"/>
      <c r="P777" s="22"/>
      <c r="Q777" s="22"/>
      <c r="R777" s="22"/>
      <c r="S777" s="22"/>
      <c r="T777" s="22"/>
      <c r="U777" s="22"/>
      <c r="V777" s="22"/>
      <c r="W777" s="22"/>
      <c r="X777" s="22"/>
      <c r="Y777" s="22"/>
      <c r="Z777" s="22"/>
    </row>
    <row r="778" spans="1:26" ht="16.149999999999999" customHeight="1" x14ac:dyDescent="0.25">
      <c r="A778" s="22"/>
      <c r="B778" s="22"/>
      <c r="C778" s="22"/>
      <c r="D778" s="22"/>
      <c r="E778" s="22"/>
      <c r="F778" s="22"/>
      <c r="G778" s="22"/>
      <c r="H778" s="22"/>
      <c r="I778" s="22"/>
      <c r="J778" s="22"/>
      <c r="K778" s="22"/>
      <c r="L778" s="22"/>
      <c r="M778" s="22"/>
      <c r="N778" s="22"/>
      <c r="O778" s="22"/>
      <c r="P778" s="22"/>
      <c r="Q778" s="22"/>
      <c r="R778" s="22"/>
      <c r="S778" s="22"/>
      <c r="T778" s="22"/>
      <c r="U778" s="22"/>
      <c r="V778" s="22"/>
      <c r="W778" s="22"/>
      <c r="X778" s="22"/>
      <c r="Y778" s="22"/>
      <c r="Z778" s="22"/>
    </row>
    <row r="779" spans="1:26" ht="16.149999999999999" customHeight="1" x14ac:dyDescent="0.25">
      <c r="A779" s="22"/>
      <c r="B779" s="22"/>
      <c r="C779" s="22"/>
      <c r="D779" s="22"/>
      <c r="E779" s="22"/>
      <c r="F779" s="22"/>
      <c r="G779" s="22"/>
      <c r="H779" s="22"/>
      <c r="I779" s="22"/>
      <c r="J779" s="22"/>
      <c r="K779" s="22"/>
      <c r="L779" s="22"/>
      <c r="M779" s="22"/>
      <c r="N779" s="22"/>
      <c r="O779" s="22"/>
      <c r="P779" s="22"/>
      <c r="Q779" s="22"/>
      <c r="R779" s="22"/>
      <c r="S779" s="22"/>
      <c r="T779" s="22"/>
      <c r="U779" s="22"/>
      <c r="V779" s="22"/>
      <c r="W779" s="22"/>
      <c r="X779" s="22"/>
      <c r="Y779" s="22"/>
      <c r="Z779" s="22"/>
    </row>
    <row r="780" spans="1:26" ht="16.149999999999999" customHeight="1" x14ac:dyDescent="0.25">
      <c r="A780" s="22"/>
      <c r="B780" s="22"/>
      <c r="C780" s="22"/>
      <c r="D780" s="22"/>
      <c r="E780" s="22"/>
      <c r="F780" s="22"/>
      <c r="G780" s="22"/>
      <c r="H780" s="22"/>
      <c r="I780" s="22"/>
      <c r="J780" s="22"/>
      <c r="K780" s="22"/>
      <c r="L780" s="22"/>
      <c r="M780" s="22"/>
      <c r="N780" s="22"/>
      <c r="O780" s="22"/>
      <c r="P780" s="22"/>
      <c r="Q780" s="22"/>
      <c r="R780" s="22"/>
      <c r="S780" s="22"/>
      <c r="T780" s="22"/>
      <c r="U780" s="22"/>
      <c r="V780" s="22"/>
      <c r="W780" s="22"/>
      <c r="X780" s="22"/>
      <c r="Y780" s="22"/>
      <c r="Z780" s="22"/>
    </row>
    <row r="781" spans="1:26" ht="16.149999999999999" customHeight="1" x14ac:dyDescent="0.25">
      <c r="A781" s="22"/>
      <c r="B781" s="22"/>
      <c r="C781" s="22"/>
      <c r="D781" s="22"/>
      <c r="E781" s="22"/>
      <c r="F781" s="22"/>
      <c r="G781" s="22"/>
      <c r="H781" s="22"/>
      <c r="I781" s="22"/>
      <c r="J781" s="22"/>
      <c r="K781" s="22"/>
      <c r="L781" s="22"/>
      <c r="M781" s="22"/>
      <c r="N781" s="22"/>
      <c r="O781" s="22"/>
      <c r="P781" s="22"/>
      <c r="Q781" s="22"/>
      <c r="R781" s="22"/>
      <c r="S781" s="22"/>
      <c r="T781" s="22"/>
      <c r="U781" s="22"/>
      <c r="V781" s="22"/>
      <c r="W781" s="22"/>
      <c r="X781" s="22"/>
      <c r="Y781" s="22"/>
      <c r="Z781" s="22"/>
    </row>
    <row r="782" spans="1:26" ht="16.149999999999999" customHeight="1" x14ac:dyDescent="0.25">
      <c r="A782" s="22"/>
      <c r="B782" s="22"/>
      <c r="C782" s="22"/>
      <c r="D782" s="22"/>
      <c r="E782" s="22"/>
      <c r="F782" s="22"/>
      <c r="G782" s="22"/>
      <c r="H782" s="22"/>
      <c r="I782" s="22"/>
      <c r="J782" s="22"/>
      <c r="K782" s="22"/>
      <c r="L782" s="22"/>
      <c r="M782" s="22"/>
      <c r="N782" s="22"/>
      <c r="O782" s="22"/>
      <c r="P782" s="22"/>
      <c r="Q782" s="22"/>
      <c r="R782" s="22"/>
      <c r="S782" s="22"/>
      <c r="T782" s="22"/>
      <c r="U782" s="22"/>
      <c r="V782" s="22"/>
      <c r="W782" s="22"/>
      <c r="X782" s="22"/>
      <c r="Y782" s="22"/>
      <c r="Z782" s="22"/>
    </row>
    <row r="783" spans="1:26" ht="16.149999999999999" customHeight="1" x14ac:dyDescent="0.25">
      <c r="A783" s="22"/>
      <c r="B783" s="22"/>
      <c r="C783" s="22"/>
      <c r="D783" s="22"/>
      <c r="E783" s="22"/>
      <c r="F783" s="22"/>
      <c r="G783" s="22"/>
      <c r="H783" s="22"/>
      <c r="I783" s="22"/>
      <c r="J783" s="22"/>
      <c r="K783" s="22"/>
      <c r="L783" s="22"/>
      <c r="M783" s="22"/>
      <c r="N783" s="22"/>
      <c r="O783" s="22"/>
      <c r="P783" s="22"/>
      <c r="Q783" s="22"/>
      <c r="R783" s="22"/>
      <c r="S783" s="22"/>
      <c r="T783" s="22"/>
      <c r="U783" s="22"/>
      <c r="V783" s="22"/>
      <c r="W783" s="22"/>
      <c r="X783" s="22"/>
      <c r="Y783" s="22"/>
      <c r="Z783" s="22"/>
    </row>
    <row r="784" spans="1:26" ht="16.149999999999999" customHeight="1" x14ac:dyDescent="0.25">
      <c r="A784" s="22"/>
      <c r="B784" s="22"/>
      <c r="C784" s="22"/>
      <c r="D784" s="22"/>
      <c r="E784" s="22"/>
      <c r="F784" s="22"/>
      <c r="G784" s="22"/>
      <c r="H784" s="22"/>
      <c r="I784" s="22"/>
      <c r="J784" s="22"/>
      <c r="K784" s="22"/>
      <c r="L784" s="22"/>
      <c r="M784" s="22"/>
      <c r="N784" s="22"/>
      <c r="O784" s="22"/>
      <c r="P784" s="22"/>
      <c r="Q784" s="22"/>
      <c r="R784" s="22"/>
      <c r="S784" s="22"/>
      <c r="T784" s="22"/>
      <c r="U784" s="22"/>
      <c r="V784" s="22"/>
      <c r="W784" s="22"/>
      <c r="X784" s="22"/>
      <c r="Y784" s="22"/>
      <c r="Z784" s="22"/>
    </row>
    <row r="785" spans="1:26" ht="16.149999999999999" customHeight="1" x14ac:dyDescent="0.25">
      <c r="A785" s="22"/>
      <c r="B785" s="22"/>
      <c r="C785" s="22"/>
      <c r="D785" s="22"/>
      <c r="E785" s="22"/>
      <c r="F785" s="22"/>
      <c r="G785" s="22"/>
      <c r="H785" s="22"/>
      <c r="I785" s="22"/>
      <c r="J785" s="22"/>
      <c r="K785" s="22"/>
      <c r="L785" s="22"/>
      <c r="M785" s="22"/>
      <c r="N785" s="22"/>
      <c r="O785" s="22"/>
      <c r="P785" s="22"/>
      <c r="Q785" s="22"/>
      <c r="R785" s="22"/>
      <c r="S785" s="22"/>
      <c r="T785" s="22"/>
      <c r="U785" s="22"/>
      <c r="V785" s="22"/>
      <c r="W785" s="22"/>
      <c r="X785" s="22"/>
      <c r="Y785" s="22"/>
      <c r="Z785" s="22"/>
    </row>
    <row r="786" spans="1:26" ht="16.149999999999999" customHeight="1" x14ac:dyDescent="0.25">
      <c r="A786" s="22"/>
      <c r="B786" s="22"/>
      <c r="C786" s="22"/>
      <c r="D786" s="22"/>
      <c r="E786" s="22"/>
      <c r="F786" s="22"/>
      <c r="G786" s="22"/>
      <c r="H786" s="22"/>
      <c r="I786" s="22"/>
      <c r="J786" s="22"/>
      <c r="K786" s="22"/>
      <c r="L786" s="22"/>
      <c r="M786" s="22"/>
      <c r="N786" s="22"/>
      <c r="O786" s="22"/>
      <c r="P786" s="22"/>
      <c r="Q786" s="22"/>
      <c r="R786" s="22"/>
      <c r="S786" s="22"/>
      <c r="T786" s="22"/>
      <c r="U786" s="22"/>
      <c r="V786" s="22"/>
      <c r="W786" s="22"/>
      <c r="X786" s="22"/>
      <c r="Y786" s="22"/>
      <c r="Z786" s="22"/>
    </row>
    <row r="787" spans="1:26" ht="16.149999999999999" customHeight="1" x14ac:dyDescent="0.25">
      <c r="A787" s="22"/>
      <c r="B787" s="22"/>
      <c r="C787" s="22"/>
      <c r="D787" s="22"/>
      <c r="E787" s="22"/>
      <c r="F787" s="22"/>
      <c r="G787" s="22"/>
      <c r="H787" s="22"/>
      <c r="I787" s="22"/>
      <c r="J787" s="22"/>
      <c r="K787" s="22"/>
      <c r="L787" s="22"/>
      <c r="M787" s="22"/>
      <c r="N787" s="22"/>
      <c r="O787" s="22"/>
      <c r="P787" s="22"/>
      <c r="Q787" s="22"/>
      <c r="R787" s="22"/>
      <c r="S787" s="22"/>
      <c r="T787" s="22"/>
      <c r="U787" s="22"/>
      <c r="V787" s="22"/>
      <c r="W787" s="22"/>
      <c r="X787" s="22"/>
      <c r="Y787" s="22"/>
      <c r="Z787" s="22"/>
    </row>
    <row r="788" spans="1:26" ht="16.149999999999999" customHeight="1" x14ac:dyDescent="0.25">
      <c r="A788" s="22"/>
      <c r="B788" s="22"/>
      <c r="C788" s="22"/>
      <c r="D788" s="22"/>
      <c r="E788" s="22"/>
      <c r="F788" s="22"/>
      <c r="G788" s="22"/>
      <c r="H788" s="22"/>
      <c r="I788" s="22"/>
      <c r="J788" s="22"/>
      <c r="K788" s="22"/>
      <c r="L788" s="22"/>
      <c r="M788" s="22"/>
      <c r="N788" s="22"/>
      <c r="O788" s="22"/>
      <c r="P788" s="22"/>
      <c r="Q788" s="22"/>
      <c r="R788" s="22"/>
      <c r="S788" s="22"/>
      <c r="T788" s="22"/>
      <c r="U788" s="22"/>
      <c r="V788" s="22"/>
      <c r="W788" s="22"/>
      <c r="X788" s="22"/>
      <c r="Y788" s="22"/>
      <c r="Z788" s="22"/>
    </row>
    <row r="789" spans="1:26" ht="16.149999999999999" customHeight="1" x14ac:dyDescent="0.25">
      <c r="A789" s="22"/>
      <c r="B789" s="22"/>
      <c r="C789" s="22"/>
      <c r="D789" s="22"/>
      <c r="E789" s="22"/>
      <c r="F789" s="22"/>
      <c r="G789" s="22"/>
      <c r="H789" s="22"/>
      <c r="I789" s="22"/>
      <c r="J789" s="22"/>
      <c r="K789" s="22"/>
      <c r="L789" s="22"/>
      <c r="M789" s="22"/>
      <c r="N789" s="22"/>
      <c r="O789" s="22"/>
      <c r="P789" s="22"/>
      <c r="Q789" s="22"/>
      <c r="R789" s="22"/>
      <c r="S789" s="22"/>
      <c r="T789" s="22"/>
      <c r="U789" s="22"/>
      <c r="V789" s="22"/>
      <c r="W789" s="22"/>
      <c r="X789" s="22"/>
      <c r="Y789" s="22"/>
      <c r="Z789" s="22"/>
    </row>
    <row r="790" spans="1:26" ht="16.149999999999999" customHeight="1" x14ac:dyDescent="0.25">
      <c r="A790" s="22"/>
      <c r="B790" s="22"/>
      <c r="C790" s="22"/>
      <c r="D790" s="22"/>
      <c r="E790" s="22"/>
      <c r="F790" s="22"/>
      <c r="G790" s="22"/>
      <c r="H790" s="22"/>
      <c r="I790" s="22"/>
      <c r="J790" s="22"/>
      <c r="K790" s="22"/>
      <c r="L790" s="22"/>
      <c r="M790" s="22"/>
      <c r="N790" s="22"/>
      <c r="O790" s="22"/>
      <c r="P790" s="22"/>
      <c r="Q790" s="22"/>
      <c r="R790" s="22"/>
      <c r="S790" s="22"/>
      <c r="T790" s="22"/>
      <c r="U790" s="22"/>
      <c r="V790" s="22"/>
      <c r="W790" s="22"/>
      <c r="X790" s="22"/>
      <c r="Y790" s="22"/>
      <c r="Z790" s="22"/>
    </row>
    <row r="791" spans="1:26" ht="16.149999999999999" customHeight="1" x14ac:dyDescent="0.25">
      <c r="A791" s="22"/>
      <c r="B791" s="22"/>
      <c r="C791" s="22"/>
      <c r="D791" s="22"/>
      <c r="E791" s="22"/>
      <c r="F791" s="22"/>
      <c r="G791" s="22"/>
      <c r="H791" s="22"/>
      <c r="I791" s="22"/>
      <c r="J791" s="22"/>
      <c r="K791" s="22"/>
      <c r="L791" s="22"/>
      <c r="M791" s="22"/>
      <c r="N791" s="22"/>
      <c r="O791" s="22"/>
      <c r="P791" s="22"/>
      <c r="Q791" s="22"/>
      <c r="R791" s="22"/>
      <c r="S791" s="22"/>
      <c r="T791" s="22"/>
      <c r="U791" s="22"/>
      <c r="V791" s="22"/>
      <c r="W791" s="22"/>
      <c r="X791" s="22"/>
      <c r="Y791" s="22"/>
      <c r="Z791" s="22"/>
    </row>
    <row r="792" spans="1:26" ht="16.149999999999999" customHeight="1" x14ac:dyDescent="0.25">
      <c r="A792" s="22"/>
      <c r="B792" s="22"/>
      <c r="C792" s="22"/>
      <c r="D792" s="22"/>
      <c r="E792" s="22"/>
      <c r="F792" s="22"/>
      <c r="G792" s="22"/>
      <c r="H792" s="22"/>
      <c r="I792" s="22"/>
      <c r="J792" s="22"/>
      <c r="K792" s="22"/>
      <c r="L792" s="22"/>
      <c r="M792" s="22"/>
      <c r="N792" s="22"/>
      <c r="O792" s="22"/>
      <c r="P792" s="22"/>
      <c r="Q792" s="22"/>
      <c r="R792" s="22"/>
      <c r="S792" s="22"/>
      <c r="T792" s="22"/>
      <c r="U792" s="22"/>
      <c r="V792" s="22"/>
      <c r="W792" s="22"/>
      <c r="X792" s="22"/>
      <c r="Y792" s="22"/>
      <c r="Z792" s="22"/>
    </row>
    <row r="793" spans="1:26" ht="16.149999999999999" customHeight="1" x14ac:dyDescent="0.25">
      <c r="A793" s="22"/>
      <c r="B793" s="22"/>
      <c r="C793" s="22"/>
      <c r="D793" s="22"/>
      <c r="E793" s="22"/>
      <c r="F793" s="22"/>
      <c r="G793" s="22"/>
      <c r="H793" s="22"/>
      <c r="I793" s="22"/>
      <c r="J793" s="22"/>
      <c r="K793" s="22"/>
      <c r="L793" s="22"/>
      <c r="M793" s="22"/>
      <c r="N793" s="22"/>
      <c r="O793" s="22"/>
      <c r="P793" s="22"/>
      <c r="Q793" s="22"/>
      <c r="R793" s="22"/>
      <c r="S793" s="22"/>
      <c r="T793" s="22"/>
      <c r="U793" s="22"/>
      <c r="V793" s="22"/>
      <c r="W793" s="22"/>
      <c r="X793" s="22"/>
      <c r="Y793" s="22"/>
      <c r="Z793" s="22"/>
    </row>
    <row r="794" spans="1:26" ht="16.149999999999999" customHeight="1" x14ac:dyDescent="0.25">
      <c r="A794" s="22"/>
      <c r="B794" s="22"/>
      <c r="C794" s="22"/>
      <c r="D794" s="22"/>
      <c r="E794" s="22"/>
      <c r="F794" s="22"/>
      <c r="G794" s="22"/>
      <c r="H794" s="22"/>
      <c r="I794" s="22"/>
      <c r="J794" s="22"/>
      <c r="K794" s="22"/>
      <c r="L794" s="22"/>
      <c r="M794" s="22"/>
      <c r="N794" s="22"/>
      <c r="O794" s="22"/>
      <c r="P794" s="22"/>
      <c r="Q794" s="22"/>
      <c r="R794" s="22"/>
      <c r="S794" s="22"/>
      <c r="T794" s="22"/>
      <c r="U794" s="22"/>
      <c r="V794" s="22"/>
      <c r="W794" s="22"/>
      <c r="X794" s="22"/>
      <c r="Y794" s="22"/>
      <c r="Z794" s="22"/>
    </row>
    <row r="795" spans="1:26" ht="16.149999999999999" customHeight="1" x14ac:dyDescent="0.25">
      <c r="A795" s="22"/>
      <c r="B795" s="22"/>
      <c r="C795" s="22"/>
      <c r="D795" s="22"/>
      <c r="E795" s="22"/>
      <c r="F795" s="22"/>
      <c r="G795" s="22"/>
      <c r="H795" s="22"/>
      <c r="I795" s="22"/>
      <c r="J795" s="22"/>
      <c r="K795" s="22"/>
      <c r="L795" s="22"/>
      <c r="M795" s="22"/>
      <c r="N795" s="22"/>
      <c r="O795" s="22"/>
      <c r="P795" s="22"/>
      <c r="Q795" s="22"/>
      <c r="R795" s="22"/>
      <c r="S795" s="22"/>
      <c r="T795" s="22"/>
      <c r="U795" s="22"/>
      <c r="V795" s="22"/>
      <c r="W795" s="22"/>
      <c r="X795" s="22"/>
      <c r="Y795" s="22"/>
      <c r="Z795" s="22"/>
    </row>
    <row r="796" spans="1:26" ht="16.149999999999999" customHeight="1" x14ac:dyDescent="0.25">
      <c r="A796" s="22"/>
      <c r="B796" s="22"/>
      <c r="C796" s="22"/>
      <c r="D796" s="22"/>
      <c r="E796" s="22"/>
      <c r="F796" s="22"/>
      <c r="G796" s="22"/>
      <c r="H796" s="22"/>
      <c r="I796" s="22"/>
      <c r="J796" s="22"/>
      <c r="K796" s="22"/>
      <c r="L796" s="22"/>
      <c r="M796" s="22"/>
      <c r="N796" s="22"/>
      <c r="O796" s="22"/>
      <c r="P796" s="22"/>
      <c r="Q796" s="22"/>
      <c r="R796" s="22"/>
      <c r="S796" s="22"/>
      <c r="T796" s="22"/>
      <c r="U796" s="22"/>
      <c r="V796" s="22"/>
      <c r="W796" s="22"/>
      <c r="X796" s="22"/>
      <c r="Y796" s="22"/>
      <c r="Z796" s="22"/>
    </row>
    <row r="797" spans="1:26" ht="16.149999999999999" customHeight="1" x14ac:dyDescent="0.25">
      <c r="A797" s="22"/>
      <c r="B797" s="22"/>
      <c r="C797" s="22"/>
      <c r="D797" s="22"/>
      <c r="E797" s="22"/>
      <c r="F797" s="22"/>
      <c r="G797" s="22"/>
      <c r="H797" s="22"/>
      <c r="I797" s="22"/>
      <c r="J797" s="22"/>
      <c r="K797" s="22"/>
      <c r="L797" s="22"/>
      <c r="M797" s="22"/>
      <c r="N797" s="22"/>
      <c r="O797" s="22"/>
      <c r="P797" s="22"/>
      <c r="Q797" s="22"/>
      <c r="R797" s="22"/>
      <c r="S797" s="22"/>
      <c r="T797" s="22"/>
      <c r="U797" s="22"/>
      <c r="V797" s="22"/>
      <c r="W797" s="22"/>
      <c r="X797" s="22"/>
      <c r="Y797" s="22"/>
      <c r="Z797" s="22"/>
    </row>
    <row r="798" spans="1:26" ht="16.149999999999999" customHeight="1" x14ac:dyDescent="0.25">
      <c r="A798" s="22"/>
      <c r="B798" s="22"/>
      <c r="C798" s="22"/>
      <c r="D798" s="22"/>
      <c r="E798" s="22"/>
      <c r="F798" s="22"/>
      <c r="G798" s="22"/>
      <c r="H798" s="22"/>
      <c r="I798" s="22"/>
      <c r="J798" s="22"/>
      <c r="K798" s="22"/>
      <c r="L798" s="22"/>
      <c r="M798" s="22"/>
      <c r="N798" s="22"/>
      <c r="O798" s="22"/>
      <c r="P798" s="22"/>
      <c r="Q798" s="22"/>
      <c r="R798" s="22"/>
      <c r="S798" s="22"/>
      <c r="T798" s="22"/>
      <c r="U798" s="22"/>
      <c r="V798" s="22"/>
      <c r="W798" s="22"/>
      <c r="X798" s="22"/>
      <c r="Y798" s="22"/>
      <c r="Z798" s="22"/>
    </row>
    <row r="799" spans="1:26" ht="16.149999999999999" customHeight="1" x14ac:dyDescent="0.25">
      <c r="A799" s="22"/>
      <c r="B799" s="22"/>
      <c r="C799" s="22"/>
      <c r="D799" s="22"/>
      <c r="E799" s="22"/>
      <c r="F799" s="22"/>
      <c r="G799" s="22"/>
      <c r="H799" s="22"/>
      <c r="I799" s="22"/>
      <c r="J799" s="22"/>
      <c r="K799" s="22"/>
      <c r="L799" s="22"/>
      <c r="M799" s="22"/>
      <c r="N799" s="22"/>
      <c r="O799" s="22"/>
      <c r="P799" s="22"/>
      <c r="Q799" s="22"/>
      <c r="R799" s="22"/>
      <c r="S799" s="22"/>
      <c r="T799" s="22"/>
      <c r="U799" s="22"/>
      <c r="V799" s="22"/>
      <c r="W799" s="22"/>
      <c r="X799" s="22"/>
      <c r="Y799" s="22"/>
      <c r="Z799" s="22"/>
    </row>
    <row r="800" spans="1:26" ht="16.149999999999999" customHeight="1" x14ac:dyDescent="0.25">
      <c r="A800" s="22"/>
      <c r="B800" s="22"/>
      <c r="C800" s="22"/>
      <c r="D800" s="22"/>
      <c r="E800" s="22"/>
      <c r="F800" s="22"/>
      <c r="G800" s="22"/>
      <c r="H800" s="22"/>
      <c r="I800" s="22"/>
      <c r="J800" s="22"/>
      <c r="K800" s="22"/>
      <c r="L800" s="22"/>
      <c r="M800" s="22"/>
      <c r="N800" s="22"/>
      <c r="O800" s="22"/>
      <c r="P800" s="22"/>
      <c r="Q800" s="22"/>
      <c r="R800" s="22"/>
      <c r="S800" s="22"/>
      <c r="T800" s="22"/>
      <c r="U800" s="22"/>
      <c r="V800" s="22"/>
      <c r="W800" s="22"/>
      <c r="X800" s="22"/>
      <c r="Y800" s="22"/>
      <c r="Z800" s="22"/>
    </row>
    <row r="801" spans="1:26" ht="16.149999999999999" customHeight="1" x14ac:dyDescent="0.25">
      <c r="A801" s="22"/>
      <c r="B801" s="22"/>
      <c r="C801" s="22"/>
      <c r="D801" s="22"/>
      <c r="E801" s="22"/>
      <c r="F801" s="22"/>
      <c r="G801" s="22"/>
      <c r="H801" s="22"/>
      <c r="I801" s="22"/>
      <c r="J801" s="22"/>
      <c r="K801" s="22"/>
      <c r="L801" s="22"/>
      <c r="M801" s="22"/>
      <c r="N801" s="22"/>
      <c r="O801" s="22"/>
      <c r="P801" s="22"/>
      <c r="Q801" s="22"/>
      <c r="R801" s="22"/>
      <c r="S801" s="22"/>
      <c r="T801" s="22"/>
      <c r="U801" s="22"/>
      <c r="V801" s="22"/>
      <c r="W801" s="22"/>
      <c r="X801" s="22"/>
      <c r="Y801" s="22"/>
      <c r="Z801" s="22"/>
    </row>
    <row r="802" spans="1:26" ht="16.149999999999999" customHeight="1" x14ac:dyDescent="0.25">
      <c r="A802" s="22"/>
      <c r="B802" s="22"/>
      <c r="C802" s="22"/>
      <c r="D802" s="22"/>
      <c r="E802" s="22"/>
      <c r="F802" s="22"/>
      <c r="G802" s="22"/>
      <c r="H802" s="22"/>
      <c r="I802" s="22"/>
      <c r="J802" s="22"/>
      <c r="K802" s="22"/>
      <c r="L802" s="22"/>
      <c r="M802" s="22"/>
      <c r="N802" s="22"/>
      <c r="O802" s="22"/>
      <c r="P802" s="22"/>
      <c r="Q802" s="22"/>
      <c r="R802" s="22"/>
      <c r="S802" s="22"/>
      <c r="T802" s="22"/>
      <c r="U802" s="22"/>
      <c r="V802" s="22"/>
      <c r="W802" s="22"/>
      <c r="X802" s="22"/>
      <c r="Y802" s="22"/>
      <c r="Z802" s="22"/>
    </row>
    <row r="803" spans="1:26" ht="16.149999999999999" customHeight="1" x14ac:dyDescent="0.25">
      <c r="A803" s="22"/>
      <c r="B803" s="22"/>
      <c r="C803" s="22"/>
      <c r="D803" s="22"/>
      <c r="E803" s="22"/>
      <c r="F803" s="22"/>
      <c r="G803" s="22"/>
      <c r="H803" s="22"/>
      <c r="I803" s="22"/>
      <c r="J803" s="22"/>
      <c r="K803" s="22"/>
      <c r="L803" s="22"/>
      <c r="M803" s="22"/>
      <c r="N803" s="22"/>
      <c r="O803" s="22"/>
      <c r="P803" s="22"/>
      <c r="Q803" s="22"/>
      <c r="R803" s="22"/>
      <c r="S803" s="22"/>
      <c r="T803" s="22"/>
      <c r="U803" s="22"/>
      <c r="V803" s="22"/>
      <c r="W803" s="22"/>
      <c r="X803" s="22"/>
      <c r="Y803" s="22"/>
      <c r="Z803" s="22"/>
    </row>
    <row r="804" spans="1:26" ht="16.149999999999999" customHeight="1" x14ac:dyDescent="0.25">
      <c r="A804" s="22"/>
      <c r="B804" s="22"/>
      <c r="C804" s="22"/>
      <c r="D804" s="22"/>
      <c r="E804" s="22"/>
      <c r="F804" s="22"/>
      <c r="G804" s="22"/>
      <c r="H804" s="22"/>
      <c r="I804" s="22"/>
      <c r="J804" s="22"/>
      <c r="K804" s="22"/>
      <c r="L804" s="22"/>
      <c r="M804" s="22"/>
      <c r="N804" s="22"/>
      <c r="O804" s="22"/>
      <c r="P804" s="22"/>
      <c r="Q804" s="22"/>
      <c r="R804" s="22"/>
      <c r="S804" s="22"/>
      <c r="T804" s="22"/>
      <c r="U804" s="22"/>
      <c r="V804" s="22"/>
      <c r="W804" s="22"/>
      <c r="X804" s="22"/>
      <c r="Y804" s="22"/>
      <c r="Z804" s="22"/>
    </row>
    <row r="805" spans="1:26" ht="16.149999999999999" customHeight="1" x14ac:dyDescent="0.25">
      <c r="A805" s="22"/>
      <c r="B805" s="22"/>
      <c r="C805" s="22"/>
      <c r="D805" s="22"/>
      <c r="E805" s="22"/>
      <c r="F805" s="22"/>
      <c r="G805" s="22"/>
      <c r="H805" s="22"/>
      <c r="I805" s="22"/>
      <c r="J805" s="22"/>
      <c r="K805" s="22"/>
      <c r="L805" s="22"/>
      <c r="M805" s="22"/>
      <c r="N805" s="22"/>
      <c r="O805" s="22"/>
      <c r="P805" s="22"/>
      <c r="Q805" s="22"/>
      <c r="R805" s="22"/>
      <c r="S805" s="22"/>
      <c r="T805" s="22"/>
      <c r="U805" s="22"/>
      <c r="V805" s="22"/>
      <c r="W805" s="22"/>
      <c r="X805" s="22"/>
      <c r="Y805" s="22"/>
      <c r="Z805" s="22"/>
    </row>
    <row r="806" spans="1:26" ht="16.149999999999999" customHeight="1" x14ac:dyDescent="0.25">
      <c r="A806" s="22"/>
      <c r="B806" s="22"/>
      <c r="C806" s="22"/>
      <c r="D806" s="22"/>
      <c r="E806" s="22"/>
      <c r="F806" s="22"/>
      <c r="G806" s="22"/>
      <c r="H806" s="22"/>
      <c r="I806" s="22"/>
      <c r="J806" s="22"/>
      <c r="K806" s="22"/>
      <c r="L806" s="22"/>
      <c r="M806" s="22"/>
      <c r="N806" s="22"/>
      <c r="O806" s="22"/>
      <c r="P806" s="22"/>
      <c r="Q806" s="22"/>
      <c r="R806" s="22"/>
      <c r="S806" s="22"/>
      <c r="T806" s="22"/>
      <c r="U806" s="22"/>
      <c r="V806" s="22"/>
      <c r="W806" s="22"/>
      <c r="X806" s="22"/>
      <c r="Y806" s="22"/>
      <c r="Z806" s="22"/>
    </row>
    <row r="807" spans="1:26" ht="16.149999999999999" customHeight="1" x14ac:dyDescent="0.25">
      <c r="A807" s="22"/>
      <c r="B807" s="22"/>
      <c r="C807" s="22"/>
      <c r="D807" s="22"/>
      <c r="E807" s="22"/>
      <c r="F807" s="22"/>
      <c r="G807" s="22"/>
      <c r="H807" s="22"/>
      <c r="I807" s="22"/>
      <c r="J807" s="22"/>
      <c r="K807" s="22"/>
      <c r="L807" s="22"/>
      <c r="M807" s="22"/>
      <c r="N807" s="22"/>
      <c r="O807" s="22"/>
      <c r="P807" s="22"/>
      <c r="Q807" s="22"/>
      <c r="R807" s="22"/>
      <c r="S807" s="22"/>
      <c r="T807" s="22"/>
      <c r="U807" s="22"/>
      <c r="V807" s="22"/>
      <c r="W807" s="22"/>
      <c r="X807" s="22"/>
      <c r="Y807" s="22"/>
      <c r="Z807" s="22"/>
    </row>
    <row r="808" spans="1:26" ht="16.149999999999999" customHeight="1" x14ac:dyDescent="0.25">
      <c r="A808" s="22"/>
      <c r="B808" s="22"/>
      <c r="C808" s="22"/>
      <c r="D808" s="22"/>
      <c r="E808" s="22"/>
      <c r="F808" s="22"/>
      <c r="G808" s="22"/>
      <c r="H808" s="22"/>
      <c r="I808" s="22"/>
      <c r="J808" s="22"/>
      <c r="K808" s="22"/>
      <c r="L808" s="22"/>
      <c r="M808" s="22"/>
      <c r="N808" s="22"/>
      <c r="O808" s="22"/>
      <c r="P808" s="22"/>
      <c r="Q808" s="22"/>
      <c r="R808" s="22"/>
      <c r="S808" s="22"/>
      <c r="T808" s="22"/>
      <c r="U808" s="22"/>
      <c r="V808" s="22"/>
      <c r="W808" s="22"/>
      <c r="X808" s="22"/>
      <c r="Y808" s="22"/>
      <c r="Z808" s="22"/>
    </row>
    <row r="809" spans="1:26" ht="16.149999999999999" customHeight="1" x14ac:dyDescent="0.25">
      <c r="A809" s="22"/>
      <c r="B809" s="22"/>
      <c r="C809" s="22"/>
      <c r="D809" s="22"/>
      <c r="E809" s="22"/>
      <c r="F809" s="22"/>
      <c r="G809" s="22"/>
      <c r="H809" s="22"/>
      <c r="I809" s="22"/>
      <c r="J809" s="22"/>
      <c r="K809" s="22"/>
      <c r="L809" s="22"/>
      <c r="M809" s="22"/>
      <c r="N809" s="22"/>
      <c r="O809" s="22"/>
      <c r="P809" s="22"/>
      <c r="Q809" s="22"/>
      <c r="R809" s="22"/>
      <c r="S809" s="22"/>
      <c r="T809" s="22"/>
      <c r="U809" s="22"/>
      <c r="V809" s="22"/>
      <c r="W809" s="22"/>
      <c r="X809" s="22"/>
      <c r="Y809" s="22"/>
      <c r="Z809" s="22"/>
    </row>
    <row r="810" spans="1:26" ht="16.149999999999999" customHeight="1" x14ac:dyDescent="0.25">
      <c r="A810" s="22"/>
      <c r="B810" s="22"/>
      <c r="C810" s="22"/>
      <c r="D810" s="22"/>
      <c r="E810" s="22"/>
      <c r="F810" s="22"/>
      <c r="G810" s="22"/>
      <c r="H810" s="22"/>
      <c r="I810" s="22"/>
      <c r="J810" s="22"/>
      <c r="K810" s="22"/>
      <c r="L810" s="22"/>
      <c r="M810" s="22"/>
      <c r="N810" s="22"/>
      <c r="O810" s="22"/>
      <c r="P810" s="22"/>
      <c r="Q810" s="22"/>
      <c r="R810" s="22"/>
      <c r="S810" s="22"/>
      <c r="T810" s="22"/>
      <c r="U810" s="22"/>
      <c r="V810" s="22"/>
      <c r="W810" s="22"/>
      <c r="X810" s="22"/>
      <c r="Y810" s="22"/>
      <c r="Z810" s="22"/>
    </row>
    <row r="811" spans="1:26" ht="16.149999999999999" customHeight="1" x14ac:dyDescent="0.25">
      <c r="A811" s="22"/>
      <c r="B811" s="22"/>
      <c r="C811" s="22"/>
      <c r="D811" s="22"/>
      <c r="E811" s="22"/>
      <c r="F811" s="22"/>
      <c r="G811" s="22"/>
      <c r="H811" s="22"/>
      <c r="I811" s="22"/>
      <c r="J811" s="22"/>
      <c r="K811" s="22"/>
      <c r="L811" s="22"/>
      <c r="M811" s="22"/>
      <c r="N811" s="22"/>
      <c r="O811" s="22"/>
      <c r="P811" s="22"/>
      <c r="Q811" s="22"/>
      <c r="R811" s="22"/>
      <c r="S811" s="22"/>
      <c r="T811" s="22"/>
      <c r="U811" s="22"/>
      <c r="V811" s="22"/>
      <c r="W811" s="22"/>
      <c r="X811" s="22"/>
      <c r="Y811" s="22"/>
      <c r="Z811" s="22"/>
    </row>
    <row r="812" spans="1:26" ht="16.149999999999999" customHeight="1" x14ac:dyDescent="0.25">
      <c r="A812" s="22"/>
      <c r="B812" s="22"/>
      <c r="C812" s="22"/>
      <c r="D812" s="22"/>
      <c r="E812" s="22"/>
      <c r="F812" s="22"/>
      <c r="G812" s="22"/>
      <c r="H812" s="22"/>
      <c r="I812" s="22"/>
      <c r="J812" s="22"/>
      <c r="K812" s="22"/>
      <c r="L812" s="22"/>
      <c r="M812" s="22"/>
      <c r="N812" s="22"/>
      <c r="O812" s="22"/>
      <c r="P812" s="22"/>
      <c r="Q812" s="22"/>
      <c r="R812" s="22"/>
      <c r="S812" s="22"/>
      <c r="T812" s="22"/>
      <c r="U812" s="22"/>
      <c r="V812" s="22"/>
      <c r="W812" s="22"/>
      <c r="X812" s="22"/>
      <c r="Y812" s="22"/>
      <c r="Z812" s="22"/>
    </row>
    <row r="813" spans="1:26" ht="16.149999999999999" customHeight="1" x14ac:dyDescent="0.25">
      <c r="A813" s="22"/>
      <c r="B813" s="22"/>
      <c r="C813" s="22"/>
      <c r="D813" s="22"/>
      <c r="E813" s="22"/>
      <c r="F813" s="22"/>
      <c r="G813" s="22"/>
      <c r="H813" s="22"/>
      <c r="I813" s="22"/>
      <c r="J813" s="22"/>
      <c r="K813" s="22"/>
      <c r="L813" s="22"/>
      <c r="M813" s="22"/>
      <c r="N813" s="22"/>
      <c r="O813" s="22"/>
      <c r="P813" s="22"/>
      <c r="Q813" s="22"/>
      <c r="R813" s="22"/>
      <c r="S813" s="22"/>
      <c r="T813" s="22"/>
      <c r="U813" s="22"/>
      <c r="V813" s="22"/>
      <c r="W813" s="22"/>
      <c r="X813" s="22"/>
      <c r="Y813" s="22"/>
      <c r="Z813" s="22"/>
    </row>
    <row r="814" spans="1:26" ht="16.149999999999999" customHeight="1" x14ac:dyDescent="0.25">
      <c r="A814" s="22"/>
      <c r="B814" s="22"/>
      <c r="C814" s="22"/>
      <c r="D814" s="22"/>
      <c r="E814" s="22"/>
      <c r="F814" s="22"/>
      <c r="G814" s="22"/>
      <c r="H814" s="22"/>
      <c r="I814" s="22"/>
      <c r="J814" s="22"/>
      <c r="K814" s="22"/>
      <c r="L814" s="22"/>
      <c r="M814" s="22"/>
      <c r="N814" s="22"/>
      <c r="O814" s="22"/>
      <c r="P814" s="22"/>
      <c r="Q814" s="22"/>
      <c r="R814" s="22"/>
      <c r="S814" s="22"/>
      <c r="T814" s="22"/>
      <c r="U814" s="22"/>
      <c r="V814" s="22"/>
      <c r="W814" s="22"/>
      <c r="X814" s="22"/>
      <c r="Y814" s="22"/>
      <c r="Z814" s="22"/>
    </row>
    <row r="815" spans="1:26" ht="16.149999999999999" customHeight="1" x14ac:dyDescent="0.25">
      <c r="A815" s="22"/>
      <c r="B815" s="22"/>
      <c r="C815" s="22"/>
      <c r="D815" s="22"/>
      <c r="E815" s="22"/>
      <c r="F815" s="22"/>
      <c r="G815" s="22"/>
      <c r="H815" s="22"/>
      <c r="I815" s="22"/>
      <c r="J815" s="22"/>
      <c r="K815" s="22"/>
      <c r="L815" s="22"/>
      <c r="M815" s="22"/>
      <c r="N815" s="22"/>
      <c r="O815" s="22"/>
      <c r="P815" s="22"/>
      <c r="Q815" s="22"/>
      <c r="R815" s="22"/>
      <c r="S815" s="22"/>
      <c r="T815" s="22"/>
      <c r="U815" s="22"/>
      <c r="V815" s="22"/>
      <c r="W815" s="22"/>
      <c r="X815" s="22"/>
      <c r="Y815" s="22"/>
      <c r="Z815" s="22"/>
    </row>
    <row r="816" spans="1:26" ht="16.149999999999999" customHeight="1" x14ac:dyDescent="0.25">
      <c r="A816" s="22"/>
      <c r="B816" s="22"/>
      <c r="C816" s="22"/>
      <c r="D816" s="22"/>
      <c r="E816" s="22"/>
      <c r="F816" s="22"/>
      <c r="G816" s="22"/>
      <c r="H816" s="22"/>
      <c r="I816" s="22"/>
      <c r="J816" s="22"/>
      <c r="K816" s="22"/>
      <c r="L816" s="22"/>
      <c r="M816" s="22"/>
      <c r="N816" s="22"/>
      <c r="O816" s="22"/>
      <c r="P816" s="22"/>
      <c r="Q816" s="22"/>
      <c r="R816" s="22"/>
      <c r="S816" s="22"/>
      <c r="T816" s="22"/>
      <c r="U816" s="22"/>
      <c r="V816" s="22"/>
      <c r="W816" s="22"/>
      <c r="X816" s="22"/>
      <c r="Y816" s="22"/>
      <c r="Z816" s="22"/>
    </row>
    <row r="817" spans="1:26" ht="16.149999999999999" customHeight="1" x14ac:dyDescent="0.25">
      <c r="A817" s="22"/>
      <c r="B817" s="22"/>
      <c r="C817" s="22"/>
      <c r="D817" s="22"/>
      <c r="E817" s="22"/>
      <c r="F817" s="22"/>
      <c r="G817" s="22"/>
      <c r="H817" s="22"/>
      <c r="I817" s="22"/>
      <c r="J817" s="22"/>
      <c r="K817" s="22"/>
      <c r="L817" s="22"/>
      <c r="M817" s="22"/>
      <c r="N817" s="22"/>
      <c r="O817" s="22"/>
      <c r="P817" s="22"/>
      <c r="Q817" s="22"/>
      <c r="R817" s="22"/>
      <c r="S817" s="22"/>
      <c r="T817" s="22"/>
      <c r="U817" s="22"/>
      <c r="V817" s="22"/>
      <c r="W817" s="22"/>
      <c r="X817" s="22"/>
      <c r="Y817" s="22"/>
      <c r="Z817" s="22"/>
    </row>
    <row r="818" spans="1:26" ht="16.149999999999999" customHeight="1" x14ac:dyDescent="0.25">
      <c r="A818" s="22"/>
      <c r="B818" s="22"/>
      <c r="C818" s="22"/>
      <c r="D818" s="22"/>
      <c r="E818" s="22"/>
      <c r="F818" s="22"/>
      <c r="G818" s="22"/>
      <c r="H818" s="22"/>
      <c r="I818" s="22"/>
      <c r="J818" s="22"/>
      <c r="K818" s="22"/>
      <c r="L818" s="22"/>
      <c r="M818" s="22"/>
      <c r="N818" s="22"/>
      <c r="O818" s="22"/>
      <c r="P818" s="22"/>
      <c r="Q818" s="22"/>
      <c r="R818" s="22"/>
      <c r="S818" s="22"/>
      <c r="T818" s="22"/>
      <c r="U818" s="22"/>
      <c r="V818" s="22"/>
      <c r="W818" s="22"/>
      <c r="X818" s="22"/>
      <c r="Y818" s="22"/>
      <c r="Z818" s="22"/>
    </row>
    <row r="819" spans="1:26" ht="16.149999999999999" customHeight="1" x14ac:dyDescent="0.25">
      <c r="A819" s="22"/>
      <c r="B819" s="22"/>
      <c r="C819" s="22"/>
      <c r="D819" s="22"/>
      <c r="E819" s="22"/>
      <c r="F819" s="22"/>
      <c r="G819" s="22"/>
      <c r="H819" s="22"/>
      <c r="I819" s="22"/>
      <c r="J819" s="22"/>
      <c r="K819" s="22"/>
      <c r="L819" s="22"/>
      <c r="M819" s="22"/>
      <c r="N819" s="22"/>
      <c r="O819" s="22"/>
      <c r="P819" s="22"/>
      <c r="Q819" s="22"/>
      <c r="R819" s="22"/>
      <c r="S819" s="22"/>
      <c r="T819" s="22"/>
      <c r="U819" s="22"/>
      <c r="V819" s="22"/>
      <c r="W819" s="22"/>
      <c r="X819" s="22"/>
      <c r="Y819" s="22"/>
      <c r="Z819" s="22"/>
    </row>
    <row r="820" spans="1:26" ht="16.149999999999999" customHeight="1" x14ac:dyDescent="0.25">
      <c r="A820" s="22"/>
      <c r="B820" s="22"/>
      <c r="C820" s="22"/>
      <c r="D820" s="22"/>
      <c r="E820" s="22"/>
      <c r="F820" s="22"/>
      <c r="G820" s="22"/>
      <c r="H820" s="22"/>
      <c r="I820" s="22"/>
      <c r="J820" s="22"/>
      <c r="K820" s="22"/>
      <c r="L820" s="22"/>
      <c r="M820" s="22"/>
      <c r="N820" s="22"/>
      <c r="O820" s="22"/>
      <c r="P820" s="22"/>
      <c r="Q820" s="22"/>
      <c r="R820" s="22"/>
      <c r="S820" s="22"/>
      <c r="T820" s="22"/>
      <c r="U820" s="22"/>
      <c r="V820" s="22"/>
      <c r="W820" s="22"/>
      <c r="X820" s="22"/>
      <c r="Y820" s="22"/>
      <c r="Z820" s="22"/>
    </row>
    <row r="821" spans="1:26" ht="16.149999999999999" customHeight="1" x14ac:dyDescent="0.25">
      <c r="A821" s="22"/>
      <c r="B821" s="22"/>
      <c r="C821" s="22"/>
      <c r="D821" s="22"/>
      <c r="E821" s="22"/>
      <c r="F821" s="22"/>
      <c r="G821" s="22"/>
      <c r="H821" s="22"/>
      <c r="I821" s="22"/>
      <c r="J821" s="22"/>
      <c r="K821" s="22"/>
      <c r="L821" s="22"/>
      <c r="M821" s="22"/>
      <c r="N821" s="22"/>
      <c r="O821" s="22"/>
      <c r="P821" s="22"/>
      <c r="Q821" s="22"/>
      <c r="R821" s="22"/>
      <c r="S821" s="22"/>
      <c r="T821" s="22"/>
      <c r="U821" s="22"/>
      <c r="V821" s="22"/>
      <c r="W821" s="22"/>
      <c r="X821" s="22"/>
      <c r="Y821" s="22"/>
      <c r="Z821" s="22"/>
    </row>
    <row r="822" spans="1:26" ht="16.149999999999999" customHeight="1" x14ac:dyDescent="0.25">
      <c r="A822" s="22"/>
      <c r="B822" s="22"/>
      <c r="C822" s="22"/>
      <c r="D822" s="22"/>
      <c r="E822" s="22"/>
      <c r="F822" s="22"/>
      <c r="G822" s="22"/>
      <c r="H822" s="22"/>
      <c r="I822" s="22"/>
      <c r="J822" s="22"/>
      <c r="K822" s="22"/>
      <c r="L822" s="22"/>
      <c r="M822" s="22"/>
      <c r="N822" s="22"/>
      <c r="O822" s="22"/>
      <c r="P822" s="22"/>
      <c r="Q822" s="22"/>
      <c r="R822" s="22"/>
      <c r="S822" s="22"/>
      <c r="T822" s="22"/>
      <c r="U822" s="22"/>
      <c r="V822" s="22"/>
      <c r="W822" s="22"/>
      <c r="X822" s="22"/>
      <c r="Y822" s="22"/>
      <c r="Z822" s="22"/>
    </row>
    <row r="823" spans="1:26" ht="16.149999999999999" customHeight="1" x14ac:dyDescent="0.25">
      <c r="A823" s="22"/>
      <c r="B823" s="22"/>
      <c r="C823" s="22"/>
      <c r="D823" s="22"/>
      <c r="E823" s="22"/>
      <c r="F823" s="22"/>
      <c r="G823" s="22"/>
      <c r="H823" s="22"/>
      <c r="I823" s="22"/>
      <c r="J823" s="22"/>
      <c r="K823" s="22"/>
      <c r="L823" s="22"/>
      <c r="M823" s="22"/>
      <c r="N823" s="22"/>
      <c r="O823" s="22"/>
      <c r="P823" s="22"/>
      <c r="Q823" s="22"/>
      <c r="R823" s="22"/>
      <c r="S823" s="22"/>
      <c r="T823" s="22"/>
      <c r="U823" s="22"/>
      <c r="V823" s="22"/>
      <c r="W823" s="22"/>
      <c r="X823" s="22"/>
      <c r="Y823" s="22"/>
      <c r="Z823" s="22"/>
    </row>
    <row r="824" spans="1:26" ht="16.149999999999999" customHeight="1" x14ac:dyDescent="0.25">
      <c r="A824" s="22"/>
      <c r="B824" s="22"/>
      <c r="C824" s="22"/>
      <c r="D824" s="22"/>
      <c r="E824" s="22"/>
      <c r="F824" s="22"/>
      <c r="G824" s="22"/>
      <c r="H824" s="22"/>
      <c r="I824" s="22"/>
      <c r="J824" s="22"/>
      <c r="K824" s="22"/>
      <c r="L824" s="22"/>
      <c r="M824" s="22"/>
      <c r="N824" s="22"/>
      <c r="O824" s="22"/>
      <c r="P824" s="22"/>
      <c r="Q824" s="22"/>
      <c r="R824" s="22"/>
      <c r="S824" s="22"/>
      <c r="T824" s="22"/>
      <c r="U824" s="22"/>
      <c r="V824" s="22"/>
      <c r="W824" s="22"/>
      <c r="X824" s="22"/>
      <c r="Y824" s="22"/>
      <c r="Z824" s="22"/>
    </row>
    <row r="825" spans="1:26" ht="16.149999999999999" customHeight="1" x14ac:dyDescent="0.25">
      <c r="A825" s="22"/>
      <c r="B825" s="22"/>
      <c r="C825" s="22"/>
      <c r="D825" s="22"/>
      <c r="E825" s="22"/>
      <c r="F825" s="22"/>
      <c r="G825" s="22"/>
      <c r="H825" s="22"/>
      <c r="I825" s="22"/>
      <c r="J825" s="22"/>
      <c r="K825" s="22"/>
      <c r="L825" s="22"/>
      <c r="M825" s="22"/>
      <c r="N825" s="22"/>
      <c r="O825" s="22"/>
      <c r="P825" s="22"/>
      <c r="Q825" s="22"/>
      <c r="R825" s="22"/>
      <c r="S825" s="22"/>
      <c r="T825" s="22"/>
      <c r="U825" s="22"/>
      <c r="V825" s="22"/>
      <c r="W825" s="22"/>
      <c r="X825" s="22"/>
      <c r="Y825" s="22"/>
      <c r="Z825" s="22"/>
    </row>
    <row r="826" spans="1:26" ht="16.149999999999999" customHeight="1" x14ac:dyDescent="0.25">
      <c r="A826" s="22"/>
      <c r="B826" s="22"/>
      <c r="C826" s="22"/>
      <c r="D826" s="22"/>
      <c r="E826" s="22"/>
      <c r="F826" s="22"/>
      <c r="G826" s="22"/>
      <c r="H826" s="22"/>
      <c r="I826" s="22"/>
      <c r="J826" s="22"/>
      <c r="K826" s="22"/>
      <c r="L826" s="22"/>
      <c r="M826" s="22"/>
      <c r="N826" s="22"/>
      <c r="O826" s="22"/>
      <c r="P826" s="22"/>
      <c r="Q826" s="22"/>
      <c r="R826" s="22"/>
      <c r="S826" s="22"/>
      <c r="T826" s="22"/>
      <c r="U826" s="22"/>
      <c r="V826" s="22"/>
      <c r="W826" s="22"/>
      <c r="X826" s="22"/>
      <c r="Y826" s="22"/>
      <c r="Z826" s="22"/>
    </row>
    <row r="827" spans="1:26" ht="16.149999999999999" customHeight="1" x14ac:dyDescent="0.25">
      <c r="A827" s="22"/>
      <c r="B827" s="22"/>
      <c r="C827" s="22"/>
      <c r="D827" s="22"/>
      <c r="E827" s="22"/>
      <c r="F827" s="22"/>
      <c r="G827" s="22"/>
      <c r="H827" s="22"/>
      <c r="I827" s="22"/>
      <c r="J827" s="22"/>
      <c r="K827" s="22"/>
      <c r="L827" s="22"/>
      <c r="M827" s="22"/>
      <c r="N827" s="22"/>
      <c r="O827" s="22"/>
      <c r="P827" s="22"/>
      <c r="Q827" s="22"/>
      <c r="R827" s="22"/>
      <c r="S827" s="22"/>
      <c r="T827" s="22"/>
      <c r="U827" s="22"/>
      <c r="V827" s="22"/>
      <c r="W827" s="22"/>
      <c r="X827" s="22"/>
      <c r="Y827" s="22"/>
      <c r="Z827" s="22"/>
    </row>
    <row r="828" spans="1:26" ht="16.149999999999999" customHeight="1" x14ac:dyDescent="0.25">
      <c r="A828" s="22"/>
      <c r="B828" s="22"/>
      <c r="C828" s="22"/>
      <c r="D828" s="22"/>
      <c r="E828" s="22"/>
      <c r="F828" s="22"/>
      <c r="G828" s="22"/>
      <c r="H828" s="22"/>
      <c r="I828" s="22"/>
      <c r="J828" s="22"/>
      <c r="K828" s="22"/>
      <c r="L828" s="22"/>
      <c r="M828" s="22"/>
      <c r="N828" s="22"/>
      <c r="O828" s="22"/>
      <c r="P828" s="22"/>
      <c r="Q828" s="22"/>
      <c r="R828" s="22"/>
      <c r="S828" s="22"/>
      <c r="T828" s="22"/>
      <c r="U828" s="22"/>
      <c r="V828" s="22"/>
      <c r="W828" s="22"/>
      <c r="X828" s="22"/>
      <c r="Y828" s="22"/>
      <c r="Z828" s="22"/>
    </row>
    <row r="829" spans="1:26" ht="16.149999999999999" customHeight="1" x14ac:dyDescent="0.25">
      <c r="A829" s="22"/>
      <c r="B829" s="22"/>
      <c r="C829" s="22"/>
      <c r="D829" s="22"/>
      <c r="E829" s="22"/>
      <c r="F829" s="22"/>
      <c r="G829" s="22"/>
      <c r="H829" s="22"/>
      <c r="I829" s="22"/>
      <c r="J829" s="22"/>
      <c r="K829" s="22"/>
      <c r="L829" s="22"/>
      <c r="M829" s="22"/>
      <c r="N829" s="22"/>
      <c r="O829" s="22"/>
      <c r="P829" s="22"/>
      <c r="Q829" s="22"/>
      <c r="R829" s="22"/>
      <c r="S829" s="22"/>
      <c r="T829" s="22"/>
      <c r="U829" s="22"/>
      <c r="V829" s="22"/>
      <c r="W829" s="22"/>
      <c r="X829" s="22"/>
      <c r="Y829" s="22"/>
      <c r="Z829" s="22"/>
    </row>
    <row r="830" spans="1:26" ht="16.149999999999999" customHeight="1" x14ac:dyDescent="0.25">
      <c r="A830" s="22"/>
      <c r="B830" s="22"/>
      <c r="C830" s="22"/>
      <c r="D830" s="22"/>
      <c r="E830" s="22"/>
      <c r="F830" s="22"/>
      <c r="G830" s="22"/>
      <c r="H830" s="22"/>
      <c r="I830" s="22"/>
      <c r="J830" s="22"/>
      <c r="K830" s="22"/>
      <c r="L830" s="22"/>
      <c r="M830" s="22"/>
      <c r="N830" s="22"/>
      <c r="O830" s="22"/>
      <c r="P830" s="22"/>
      <c r="Q830" s="22"/>
      <c r="R830" s="22"/>
      <c r="S830" s="22"/>
      <c r="T830" s="22"/>
      <c r="U830" s="22"/>
      <c r="V830" s="22"/>
      <c r="W830" s="22"/>
      <c r="X830" s="22"/>
      <c r="Y830" s="22"/>
      <c r="Z830" s="22"/>
    </row>
    <row r="831" spans="1:26" ht="16.149999999999999" customHeight="1" x14ac:dyDescent="0.25">
      <c r="A831" s="22"/>
      <c r="B831" s="22"/>
      <c r="C831" s="22"/>
      <c r="D831" s="22"/>
      <c r="E831" s="22"/>
      <c r="F831" s="22"/>
      <c r="G831" s="22"/>
      <c r="H831" s="22"/>
      <c r="I831" s="22"/>
      <c r="J831" s="22"/>
      <c r="K831" s="22"/>
      <c r="L831" s="22"/>
      <c r="M831" s="22"/>
      <c r="N831" s="22"/>
      <c r="O831" s="22"/>
      <c r="P831" s="22"/>
      <c r="Q831" s="22"/>
      <c r="R831" s="22"/>
      <c r="S831" s="22"/>
      <c r="T831" s="22"/>
      <c r="U831" s="22"/>
      <c r="V831" s="22"/>
      <c r="W831" s="22"/>
      <c r="X831" s="22"/>
      <c r="Y831" s="22"/>
      <c r="Z831" s="22"/>
    </row>
    <row r="832" spans="1:26" ht="16.149999999999999" customHeight="1" x14ac:dyDescent="0.25">
      <c r="A832" s="22"/>
      <c r="B832" s="22"/>
      <c r="C832" s="22"/>
      <c r="D832" s="22"/>
      <c r="E832" s="22"/>
      <c r="F832" s="22"/>
      <c r="G832" s="22"/>
      <c r="H832" s="22"/>
      <c r="I832" s="22"/>
      <c r="J832" s="22"/>
      <c r="K832" s="22"/>
      <c r="L832" s="22"/>
      <c r="M832" s="22"/>
      <c r="N832" s="22"/>
      <c r="O832" s="22"/>
      <c r="P832" s="22"/>
      <c r="Q832" s="22"/>
      <c r="R832" s="22"/>
      <c r="S832" s="22"/>
      <c r="T832" s="22"/>
      <c r="U832" s="22"/>
      <c r="V832" s="22"/>
      <c r="W832" s="22"/>
      <c r="X832" s="22"/>
      <c r="Y832" s="22"/>
      <c r="Z832" s="22"/>
    </row>
    <row r="833" spans="1:26" ht="16.149999999999999" customHeight="1" x14ac:dyDescent="0.25">
      <c r="A833" s="22"/>
      <c r="B833" s="22"/>
      <c r="C833" s="22"/>
      <c r="D833" s="22"/>
      <c r="E833" s="22"/>
      <c r="F833" s="22"/>
      <c r="G833" s="22"/>
      <c r="H833" s="22"/>
      <c r="I833" s="22"/>
      <c r="J833" s="22"/>
      <c r="K833" s="22"/>
      <c r="L833" s="22"/>
      <c r="M833" s="22"/>
      <c r="N833" s="22"/>
      <c r="O833" s="22"/>
      <c r="P833" s="22"/>
      <c r="Q833" s="22"/>
      <c r="R833" s="22"/>
      <c r="S833" s="22"/>
      <c r="T833" s="22"/>
      <c r="U833" s="22"/>
      <c r="V833" s="22"/>
      <c r="W833" s="22"/>
      <c r="X833" s="22"/>
      <c r="Y833" s="22"/>
      <c r="Z833" s="22"/>
    </row>
    <row r="834" spans="1:26" ht="16.149999999999999" customHeight="1" x14ac:dyDescent="0.25">
      <c r="A834" s="22"/>
      <c r="B834" s="22"/>
      <c r="C834" s="22"/>
      <c r="D834" s="22"/>
      <c r="E834" s="22"/>
      <c r="F834" s="22"/>
      <c r="G834" s="22"/>
      <c r="H834" s="22"/>
      <c r="I834" s="22"/>
      <c r="J834" s="22"/>
      <c r="K834" s="22"/>
      <c r="L834" s="22"/>
      <c r="M834" s="22"/>
      <c r="N834" s="22"/>
      <c r="O834" s="22"/>
      <c r="P834" s="22"/>
      <c r="Q834" s="22"/>
      <c r="R834" s="22"/>
      <c r="S834" s="22"/>
      <c r="T834" s="22"/>
      <c r="U834" s="22"/>
      <c r="V834" s="22"/>
      <c r="W834" s="22"/>
      <c r="X834" s="22"/>
      <c r="Y834" s="22"/>
      <c r="Z834" s="22"/>
    </row>
    <row r="835" spans="1:26" ht="16.149999999999999" customHeight="1" x14ac:dyDescent="0.25">
      <c r="A835" s="22"/>
      <c r="B835" s="22"/>
      <c r="C835" s="22"/>
      <c r="D835" s="22"/>
      <c r="E835" s="22"/>
      <c r="F835" s="22"/>
      <c r="G835" s="22"/>
      <c r="H835" s="22"/>
      <c r="I835" s="22"/>
      <c r="J835" s="22"/>
      <c r="K835" s="22"/>
      <c r="L835" s="22"/>
      <c r="M835" s="22"/>
      <c r="N835" s="22"/>
      <c r="O835" s="22"/>
      <c r="P835" s="22"/>
      <c r="Q835" s="22"/>
      <c r="R835" s="22"/>
      <c r="S835" s="22"/>
      <c r="T835" s="22"/>
      <c r="U835" s="22"/>
      <c r="V835" s="22"/>
      <c r="W835" s="22"/>
      <c r="X835" s="22"/>
      <c r="Y835" s="22"/>
      <c r="Z835" s="22"/>
    </row>
    <row r="836" spans="1:26" ht="16.149999999999999" customHeight="1" x14ac:dyDescent="0.25">
      <c r="A836" s="22"/>
      <c r="B836" s="22"/>
      <c r="C836" s="22"/>
      <c r="D836" s="22"/>
      <c r="E836" s="22"/>
      <c r="F836" s="22"/>
      <c r="G836" s="22"/>
      <c r="H836" s="22"/>
      <c r="I836" s="22"/>
      <c r="J836" s="22"/>
      <c r="K836" s="22"/>
      <c r="L836" s="22"/>
      <c r="M836" s="22"/>
      <c r="N836" s="22"/>
      <c r="O836" s="22"/>
      <c r="P836" s="22"/>
      <c r="Q836" s="22"/>
      <c r="R836" s="22"/>
      <c r="S836" s="22"/>
      <c r="T836" s="22"/>
      <c r="U836" s="22"/>
      <c r="V836" s="22"/>
      <c r="W836" s="22"/>
      <c r="X836" s="22"/>
      <c r="Y836" s="22"/>
      <c r="Z836" s="22"/>
    </row>
    <row r="837" spans="1:26" ht="16.149999999999999" customHeight="1" x14ac:dyDescent="0.25">
      <c r="A837" s="22"/>
      <c r="B837" s="22"/>
      <c r="C837" s="22"/>
      <c r="D837" s="22"/>
      <c r="E837" s="22"/>
      <c r="F837" s="22"/>
      <c r="G837" s="22"/>
      <c r="H837" s="22"/>
      <c r="I837" s="22"/>
      <c r="J837" s="22"/>
      <c r="K837" s="22"/>
      <c r="L837" s="22"/>
      <c r="M837" s="22"/>
      <c r="N837" s="22"/>
      <c r="O837" s="22"/>
      <c r="P837" s="22"/>
      <c r="Q837" s="22"/>
      <c r="R837" s="22"/>
      <c r="S837" s="22"/>
      <c r="T837" s="22"/>
      <c r="U837" s="22"/>
      <c r="V837" s="22"/>
      <c r="W837" s="22"/>
      <c r="X837" s="22"/>
      <c r="Y837" s="22"/>
      <c r="Z837" s="22"/>
    </row>
    <row r="838" spans="1:26" ht="16.149999999999999" customHeight="1" x14ac:dyDescent="0.25">
      <c r="A838" s="22"/>
      <c r="B838" s="22"/>
      <c r="C838" s="22"/>
      <c r="D838" s="22"/>
      <c r="E838" s="22"/>
      <c r="F838" s="22"/>
      <c r="G838" s="22"/>
      <c r="H838" s="22"/>
      <c r="I838" s="22"/>
      <c r="J838" s="22"/>
      <c r="K838" s="22"/>
      <c r="L838" s="22"/>
      <c r="M838" s="22"/>
      <c r="N838" s="22"/>
      <c r="O838" s="22"/>
      <c r="P838" s="22"/>
      <c r="Q838" s="22"/>
      <c r="R838" s="22"/>
      <c r="S838" s="22"/>
      <c r="T838" s="22"/>
      <c r="U838" s="22"/>
      <c r="V838" s="22"/>
      <c r="W838" s="22"/>
      <c r="X838" s="22"/>
      <c r="Y838" s="22"/>
      <c r="Z838" s="22"/>
    </row>
    <row r="839" spans="1:26" ht="16.149999999999999" customHeight="1" x14ac:dyDescent="0.25">
      <c r="A839" s="22"/>
      <c r="B839" s="22"/>
      <c r="C839" s="22"/>
      <c r="D839" s="22"/>
      <c r="E839" s="22"/>
      <c r="F839" s="22"/>
      <c r="G839" s="22"/>
      <c r="H839" s="22"/>
      <c r="I839" s="22"/>
      <c r="J839" s="22"/>
      <c r="K839" s="22"/>
      <c r="L839" s="22"/>
      <c r="M839" s="22"/>
      <c r="N839" s="22"/>
      <c r="O839" s="22"/>
      <c r="P839" s="22"/>
      <c r="Q839" s="22"/>
      <c r="R839" s="22"/>
      <c r="S839" s="22"/>
      <c r="T839" s="22"/>
      <c r="U839" s="22"/>
      <c r="V839" s="22"/>
      <c r="W839" s="22"/>
      <c r="X839" s="22"/>
      <c r="Y839" s="22"/>
      <c r="Z839" s="22"/>
    </row>
    <row r="840" spans="1:26" ht="16.149999999999999" customHeight="1" x14ac:dyDescent="0.25">
      <c r="A840" s="22"/>
      <c r="B840" s="22"/>
      <c r="C840" s="22"/>
      <c r="D840" s="22"/>
      <c r="E840" s="22"/>
      <c r="F840" s="22"/>
      <c r="G840" s="22"/>
      <c r="H840" s="22"/>
      <c r="I840" s="22"/>
      <c r="J840" s="22"/>
      <c r="K840" s="22"/>
      <c r="L840" s="22"/>
      <c r="M840" s="22"/>
      <c r="N840" s="22"/>
      <c r="O840" s="22"/>
      <c r="P840" s="22"/>
      <c r="Q840" s="22"/>
      <c r="R840" s="22"/>
      <c r="S840" s="22"/>
      <c r="T840" s="22"/>
      <c r="U840" s="22"/>
      <c r="V840" s="22"/>
      <c r="W840" s="22"/>
      <c r="X840" s="22"/>
      <c r="Y840" s="22"/>
      <c r="Z840" s="22"/>
    </row>
    <row r="841" spans="1:26" ht="16.149999999999999" customHeight="1" x14ac:dyDescent="0.25">
      <c r="A841" s="22"/>
      <c r="B841" s="22"/>
      <c r="C841" s="22"/>
      <c r="D841" s="22"/>
      <c r="E841" s="22"/>
      <c r="F841" s="22"/>
      <c r="G841" s="22"/>
      <c r="H841" s="22"/>
      <c r="I841" s="22"/>
      <c r="J841" s="22"/>
      <c r="K841" s="22"/>
      <c r="L841" s="22"/>
      <c r="M841" s="22"/>
      <c r="N841" s="22"/>
      <c r="O841" s="22"/>
      <c r="P841" s="22"/>
      <c r="Q841" s="22"/>
      <c r="R841" s="22"/>
      <c r="S841" s="22"/>
      <c r="T841" s="22"/>
      <c r="U841" s="22"/>
      <c r="V841" s="22"/>
      <c r="W841" s="22"/>
      <c r="X841" s="22"/>
      <c r="Y841" s="22"/>
      <c r="Z841" s="22"/>
    </row>
    <row r="842" spans="1:26" ht="16.149999999999999" customHeight="1" x14ac:dyDescent="0.25">
      <c r="A842" s="22"/>
      <c r="B842" s="22"/>
      <c r="C842" s="22"/>
      <c r="D842" s="22"/>
      <c r="E842" s="22"/>
      <c r="F842" s="22"/>
      <c r="G842" s="22"/>
      <c r="H842" s="22"/>
      <c r="I842" s="22"/>
      <c r="J842" s="22"/>
      <c r="K842" s="22"/>
      <c r="L842" s="22"/>
      <c r="M842" s="22"/>
      <c r="N842" s="22"/>
      <c r="O842" s="22"/>
      <c r="P842" s="22"/>
      <c r="Q842" s="22"/>
      <c r="R842" s="22"/>
      <c r="S842" s="22"/>
      <c r="T842" s="22"/>
      <c r="U842" s="22"/>
      <c r="V842" s="22"/>
      <c r="W842" s="22"/>
      <c r="X842" s="22"/>
      <c r="Y842" s="22"/>
      <c r="Z842" s="22"/>
    </row>
    <row r="843" spans="1:26" ht="16.149999999999999" customHeight="1" x14ac:dyDescent="0.25">
      <c r="A843" s="22"/>
      <c r="B843" s="22"/>
      <c r="C843" s="22"/>
      <c r="D843" s="22"/>
      <c r="E843" s="22"/>
      <c r="F843" s="22"/>
      <c r="G843" s="22"/>
      <c r="H843" s="22"/>
      <c r="I843" s="22"/>
      <c r="J843" s="22"/>
      <c r="K843" s="22"/>
      <c r="L843" s="22"/>
      <c r="M843" s="22"/>
      <c r="N843" s="22"/>
      <c r="O843" s="22"/>
      <c r="P843" s="22"/>
      <c r="Q843" s="22"/>
      <c r="R843" s="22"/>
      <c r="S843" s="22"/>
      <c r="T843" s="22"/>
      <c r="U843" s="22"/>
      <c r="V843" s="22"/>
      <c r="W843" s="22"/>
      <c r="X843" s="22"/>
      <c r="Y843" s="22"/>
      <c r="Z843" s="22"/>
    </row>
    <row r="844" spans="1:26" ht="16.149999999999999" customHeight="1" x14ac:dyDescent="0.25">
      <c r="A844" s="22"/>
      <c r="B844" s="22"/>
      <c r="C844" s="22"/>
      <c r="D844" s="22"/>
      <c r="E844" s="22"/>
      <c r="F844" s="22"/>
      <c r="G844" s="22"/>
      <c r="H844" s="22"/>
      <c r="I844" s="22"/>
      <c r="J844" s="22"/>
      <c r="K844" s="22"/>
      <c r="L844" s="22"/>
      <c r="M844" s="22"/>
      <c r="N844" s="22"/>
      <c r="O844" s="22"/>
      <c r="P844" s="22"/>
      <c r="Q844" s="22"/>
      <c r="R844" s="22"/>
      <c r="S844" s="22"/>
      <c r="T844" s="22"/>
      <c r="U844" s="22"/>
      <c r="V844" s="22"/>
      <c r="W844" s="22"/>
      <c r="X844" s="22"/>
      <c r="Y844" s="22"/>
      <c r="Z844" s="22"/>
    </row>
    <row r="845" spans="1:26" ht="16.149999999999999" customHeight="1" x14ac:dyDescent="0.25">
      <c r="A845" s="22"/>
      <c r="B845" s="22"/>
      <c r="C845" s="22"/>
      <c r="D845" s="22"/>
      <c r="E845" s="22"/>
      <c r="F845" s="22"/>
      <c r="G845" s="22"/>
      <c r="H845" s="22"/>
      <c r="I845" s="22"/>
      <c r="J845" s="22"/>
      <c r="K845" s="22"/>
      <c r="L845" s="22"/>
      <c r="M845" s="22"/>
      <c r="N845" s="22"/>
      <c r="O845" s="22"/>
      <c r="P845" s="22"/>
      <c r="Q845" s="22"/>
      <c r="R845" s="22"/>
      <c r="S845" s="22"/>
      <c r="T845" s="22"/>
      <c r="U845" s="22"/>
      <c r="V845" s="22"/>
      <c r="W845" s="22"/>
      <c r="X845" s="22"/>
      <c r="Y845" s="22"/>
      <c r="Z845" s="22"/>
    </row>
    <row r="846" spans="1:26" ht="16.149999999999999" customHeight="1" x14ac:dyDescent="0.25">
      <c r="A846" s="22"/>
      <c r="B846" s="22"/>
      <c r="C846" s="22"/>
      <c r="D846" s="22"/>
      <c r="E846" s="22"/>
      <c r="F846" s="22"/>
      <c r="G846" s="22"/>
      <c r="H846" s="22"/>
      <c r="I846" s="22"/>
      <c r="J846" s="22"/>
      <c r="K846" s="22"/>
      <c r="L846" s="22"/>
      <c r="M846" s="22"/>
      <c r="N846" s="22"/>
      <c r="O846" s="22"/>
      <c r="P846" s="22"/>
      <c r="Q846" s="22"/>
      <c r="R846" s="22"/>
      <c r="S846" s="22"/>
      <c r="T846" s="22"/>
      <c r="U846" s="22"/>
      <c r="V846" s="22"/>
      <c r="W846" s="22"/>
      <c r="X846" s="22"/>
      <c r="Y846" s="22"/>
      <c r="Z846" s="22"/>
    </row>
    <row r="847" spans="1:26" ht="16.149999999999999" customHeight="1" x14ac:dyDescent="0.25">
      <c r="A847" s="22"/>
      <c r="B847" s="22"/>
      <c r="C847" s="22"/>
      <c r="D847" s="22"/>
      <c r="E847" s="22"/>
      <c r="F847" s="22"/>
      <c r="G847" s="22"/>
      <c r="H847" s="22"/>
      <c r="I847" s="22"/>
      <c r="J847" s="22"/>
      <c r="K847" s="22"/>
      <c r="L847" s="22"/>
      <c r="M847" s="22"/>
      <c r="N847" s="22"/>
      <c r="O847" s="22"/>
      <c r="P847" s="22"/>
      <c r="Q847" s="22"/>
      <c r="R847" s="22"/>
      <c r="S847" s="22"/>
      <c r="T847" s="22"/>
      <c r="U847" s="22"/>
      <c r="V847" s="22"/>
      <c r="W847" s="22"/>
      <c r="X847" s="22"/>
      <c r="Y847" s="22"/>
      <c r="Z847" s="22"/>
    </row>
    <row r="848" spans="1:26" ht="16.149999999999999" customHeight="1" x14ac:dyDescent="0.25">
      <c r="A848" s="22"/>
      <c r="B848" s="22"/>
      <c r="C848" s="22"/>
      <c r="D848" s="22"/>
      <c r="E848" s="22"/>
      <c r="F848" s="22"/>
      <c r="G848" s="22"/>
      <c r="H848" s="22"/>
      <c r="I848" s="22"/>
      <c r="J848" s="22"/>
      <c r="K848" s="22"/>
      <c r="L848" s="22"/>
      <c r="M848" s="22"/>
      <c r="N848" s="22"/>
      <c r="O848" s="22"/>
      <c r="P848" s="22"/>
      <c r="Q848" s="22"/>
      <c r="R848" s="22"/>
      <c r="S848" s="22"/>
      <c r="T848" s="22"/>
      <c r="U848" s="22"/>
      <c r="V848" s="22"/>
      <c r="W848" s="22"/>
      <c r="X848" s="22"/>
      <c r="Y848" s="22"/>
      <c r="Z848" s="22"/>
    </row>
    <row r="849" spans="1:26" ht="16.149999999999999" customHeight="1" x14ac:dyDescent="0.25">
      <c r="A849" s="22"/>
      <c r="B849" s="22"/>
      <c r="C849" s="22"/>
      <c r="D849" s="22"/>
      <c r="E849" s="22"/>
      <c r="F849" s="22"/>
      <c r="G849" s="22"/>
      <c r="H849" s="22"/>
      <c r="I849" s="22"/>
      <c r="J849" s="22"/>
      <c r="K849" s="22"/>
      <c r="L849" s="22"/>
      <c r="M849" s="22"/>
      <c r="N849" s="22"/>
      <c r="O849" s="22"/>
      <c r="P849" s="22"/>
      <c r="Q849" s="22"/>
      <c r="R849" s="22"/>
      <c r="S849" s="22"/>
      <c r="T849" s="22"/>
      <c r="U849" s="22"/>
      <c r="V849" s="22"/>
      <c r="W849" s="22"/>
      <c r="X849" s="22"/>
      <c r="Y849" s="22"/>
      <c r="Z849" s="22"/>
    </row>
    <row r="850" spans="1:26" ht="16.149999999999999" customHeight="1" x14ac:dyDescent="0.25">
      <c r="A850" s="22"/>
      <c r="B850" s="22"/>
      <c r="C850" s="22"/>
      <c r="D850" s="22"/>
      <c r="E850" s="22"/>
      <c r="F850" s="22"/>
      <c r="G850" s="22"/>
      <c r="H850" s="22"/>
      <c r="I850" s="22"/>
      <c r="J850" s="22"/>
      <c r="K850" s="22"/>
      <c r="L850" s="22"/>
      <c r="M850" s="22"/>
      <c r="N850" s="22"/>
      <c r="O850" s="22"/>
      <c r="P850" s="22"/>
      <c r="Q850" s="22"/>
      <c r="R850" s="22"/>
      <c r="S850" s="22"/>
      <c r="T850" s="22"/>
      <c r="U850" s="22"/>
      <c r="V850" s="22"/>
      <c r="W850" s="22"/>
      <c r="X850" s="22"/>
      <c r="Y850" s="22"/>
      <c r="Z850" s="22"/>
    </row>
    <row r="851" spans="1:26" ht="16.149999999999999" customHeight="1" x14ac:dyDescent="0.25">
      <c r="A851" s="22"/>
      <c r="B851" s="22"/>
      <c r="C851" s="22"/>
      <c r="D851" s="22"/>
      <c r="E851" s="22"/>
      <c r="F851" s="22"/>
      <c r="G851" s="22"/>
      <c r="H851" s="22"/>
      <c r="I851" s="22"/>
      <c r="J851" s="22"/>
      <c r="K851" s="22"/>
      <c r="L851" s="22"/>
      <c r="M851" s="22"/>
      <c r="N851" s="22"/>
      <c r="O851" s="22"/>
      <c r="P851" s="22"/>
      <c r="Q851" s="22"/>
      <c r="R851" s="22"/>
      <c r="S851" s="22"/>
      <c r="T851" s="22"/>
      <c r="U851" s="22"/>
      <c r="V851" s="22"/>
      <c r="W851" s="22"/>
      <c r="X851" s="22"/>
      <c r="Y851" s="22"/>
      <c r="Z851" s="22"/>
    </row>
    <row r="852" spans="1:26" ht="16.149999999999999" customHeight="1" x14ac:dyDescent="0.25">
      <c r="A852" s="22"/>
      <c r="B852" s="22"/>
      <c r="C852" s="22"/>
      <c r="D852" s="22"/>
      <c r="E852" s="22"/>
      <c r="F852" s="22"/>
      <c r="G852" s="22"/>
      <c r="H852" s="22"/>
      <c r="I852" s="22"/>
      <c r="J852" s="22"/>
      <c r="K852" s="22"/>
      <c r="L852" s="22"/>
      <c r="M852" s="22"/>
      <c r="N852" s="22"/>
      <c r="O852" s="22"/>
      <c r="P852" s="22"/>
      <c r="Q852" s="22"/>
      <c r="R852" s="22"/>
      <c r="S852" s="22"/>
      <c r="T852" s="22"/>
      <c r="U852" s="22"/>
      <c r="V852" s="22"/>
      <c r="W852" s="22"/>
      <c r="X852" s="22"/>
      <c r="Y852" s="22"/>
      <c r="Z852" s="22"/>
    </row>
    <row r="853" spans="1:26" ht="16.149999999999999" customHeight="1" x14ac:dyDescent="0.25">
      <c r="A853" s="22"/>
      <c r="B853" s="22"/>
      <c r="C853" s="22"/>
      <c r="D853" s="22"/>
      <c r="E853" s="22"/>
      <c r="F853" s="22"/>
      <c r="G853" s="22"/>
      <c r="H853" s="22"/>
      <c r="I853" s="22"/>
      <c r="J853" s="22"/>
      <c r="K853" s="22"/>
      <c r="L853" s="22"/>
      <c r="M853" s="22"/>
      <c r="N853" s="22"/>
      <c r="O853" s="22"/>
      <c r="P853" s="22"/>
      <c r="Q853" s="22"/>
      <c r="R853" s="22"/>
      <c r="S853" s="22"/>
      <c r="T853" s="22"/>
      <c r="U853" s="22"/>
      <c r="V853" s="22"/>
      <c r="W853" s="22"/>
      <c r="X853" s="22"/>
      <c r="Y853" s="22"/>
      <c r="Z853" s="22"/>
    </row>
    <row r="854" spans="1:26" ht="16.149999999999999" customHeight="1" x14ac:dyDescent="0.25">
      <c r="A854" s="22"/>
      <c r="B854" s="22"/>
      <c r="C854" s="22"/>
      <c r="D854" s="22"/>
      <c r="E854" s="22"/>
      <c r="F854" s="22"/>
      <c r="G854" s="22"/>
      <c r="H854" s="22"/>
      <c r="I854" s="22"/>
      <c r="J854" s="22"/>
      <c r="K854" s="22"/>
      <c r="L854" s="22"/>
      <c r="M854" s="22"/>
      <c r="N854" s="22"/>
      <c r="O854" s="22"/>
      <c r="P854" s="22"/>
      <c r="Q854" s="22"/>
      <c r="R854" s="22"/>
      <c r="S854" s="22"/>
      <c r="T854" s="22"/>
      <c r="U854" s="22"/>
      <c r="V854" s="22"/>
      <c r="W854" s="22"/>
      <c r="X854" s="22"/>
      <c r="Y854" s="22"/>
      <c r="Z854" s="22"/>
    </row>
    <row r="855" spans="1:26" ht="16.149999999999999" customHeight="1" x14ac:dyDescent="0.25">
      <c r="A855" s="22"/>
      <c r="B855" s="22"/>
      <c r="C855" s="22"/>
      <c r="D855" s="22"/>
      <c r="E855" s="22"/>
      <c r="F855" s="22"/>
      <c r="G855" s="22"/>
      <c r="H855" s="22"/>
      <c r="I855" s="22"/>
      <c r="J855" s="22"/>
      <c r="K855" s="22"/>
      <c r="L855" s="22"/>
      <c r="M855" s="22"/>
      <c r="N855" s="22"/>
      <c r="O855" s="22"/>
      <c r="P855" s="22"/>
      <c r="Q855" s="22"/>
      <c r="R855" s="22"/>
      <c r="S855" s="22"/>
      <c r="T855" s="22"/>
      <c r="U855" s="22"/>
      <c r="V855" s="22"/>
      <c r="W855" s="22"/>
      <c r="X855" s="22"/>
      <c r="Y855" s="22"/>
      <c r="Z855" s="22"/>
    </row>
    <row r="856" spans="1:26" ht="16.149999999999999" customHeight="1" x14ac:dyDescent="0.25">
      <c r="A856" s="22"/>
      <c r="B856" s="22"/>
      <c r="C856" s="22"/>
      <c r="D856" s="22"/>
      <c r="E856" s="22"/>
      <c r="F856" s="22"/>
      <c r="G856" s="22"/>
      <c r="H856" s="22"/>
      <c r="I856" s="22"/>
      <c r="J856" s="22"/>
      <c r="K856" s="22"/>
      <c r="L856" s="22"/>
      <c r="M856" s="22"/>
      <c r="N856" s="22"/>
      <c r="O856" s="22"/>
      <c r="P856" s="22"/>
      <c r="Q856" s="22"/>
      <c r="R856" s="22"/>
      <c r="S856" s="22"/>
      <c r="T856" s="22"/>
      <c r="U856" s="22"/>
      <c r="V856" s="22"/>
      <c r="W856" s="22"/>
      <c r="X856" s="22"/>
      <c r="Y856" s="22"/>
      <c r="Z856" s="22"/>
    </row>
    <row r="857" spans="1:26" ht="16.149999999999999" customHeight="1" x14ac:dyDescent="0.25">
      <c r="A857" s="22"/>
      <c r="B857" s="22"/>
      <c r="C857" s="22"/>
      <c r="D857" s="22"/>
      <c r="E857" s="22"/>
      <c r="F857" s="22"/>
      <c r="G857" s="22"/>
      <c r="H857" s="22"/>
      <c r="I857" s="22"/>
      <c r="J857" s="22"/>
      <c r="K857" s="22"/>
      <c r="L857" s="22"/>
      <c r="M857" s="22"/>
      <c r="N857" s="22"/>
      <c r="O857" s="22"/>
      <c r="P857" s="22"/>
      <c r="Q857" s="22"/>
      <c r="R857" s="22"/>
      <c r="S857" s="22"/>
      <c r="T857" s="22"/>
      <c r="U857" s="22"/>
      <c r="V857" s="22"/>
      <c r="W857" s="22"/>
      <c r="X857" s="22"/>
      <c r="Y857" s="22"/>
      <c r="Z857" s="22"/>
    </row>
    <row r="858" spans="1:26" ht="16.149999999999999" customHeight="1" x14ac:dyDescent="0.25">
      <c r="A858" s="22"/>
      <c r="B858" s="22"/>
      <c r="C858" s="22"/>
      <c r="D858" s="22"/>
      <c r="E858" s="22"/>
      <c r="F858" s="22"/>
      <c r="G858" s="22"/>
      <c r="H858" s="22"/>
      <c r="I858" s="22"/>
      <c r="J858" s="22"/>
      <c r="K858" s="22"/>
      <c r="L858" s="22"/>
      <c r="M858" s="22"/>
      <c r="N858" s="22"/>
      <c r="O858" s="22"/>
      <c r="P858" s="22"/>
      <c r="Q858" s="22"/>
      <c r="R858" s="22"/>
      <c r="S858" s="22"/>
      <c r="T858" s="22"/>
      <c r="U858" s="22"/>
      <c r="V858" s="22"/>
      <c r="W858" s="22"/>
      <c r="X858" s="22"/>
      <c r="Y858" s="22"/>
      <c r="Z858" s="22"/>
    </row>
    <row r="859" spans="1:26" ht="16.149999999999999" customHeight="1" x14ac:dyDescent="0.25">
      <c r="A859" s="22"/>
      <c r="B859" s="22"/>
      <c r="C859" s="22"/>
      <c r="D859" s="22"/>
      <c r="E859" s="22"/>
      <c r="F859" s="22"/>
      <c r="G859" s="22"/>
      <c r="H859" s="22"/>
      <c r="I859" s="22"/>
      <c r="J859" s="22"/>
      <c r="K859" s="22"/>
      <c r="L859" s="22"/>
      <c r="M859" s="22"/>
      <c r="N859" s="22"/>
      <c r="O859" s="22"/>
      <c r="P859" s="22"/>
      <c r="Q859" s="22"/>
      <c r="R859" s="22"/>
      <c r="S859" s="22"/>
      <c r="T859" s="22"/>
      <c r="U859" s="22"/>
      <c r="V859" s="22"/>
      <c r="W859" s="22"/>
      <c r="X859" s="22"/>
      <c r="Y859" s="22"/>
      <c r="Z859" s="22"/>
    </row>
    <row r="860" spans="1:26" ht="16.149999999999999" customHeight="1" x14ac:dyDescent="0.25">
      <c r="A860" s="22"/>
      <c r="B860" s="22"/>
      <c r="C860" s="22"/>
      <c r="D860" s="22"/>
      <c r="E860" s="22"/>
      <c r="F860" s="22"/>
      <c r="G860" s="22"/>
      <c r="H860" s="22"/>
      <c r="I860" s="22"/>
      <c r="J860" s="22"/>
      <c r="K860" s="22"/>
      <c r="L860" s="22"/>
      <c r="M860" s="22"/>
      <c r="N860" s="22"/>
      <c r="O860" s="22"/>
      <c r="P860" s="22"/>
      <c r="Q860" s="22"/>
      <c r="R860" s="22"/>
      <c r="S860" s="22"/>
      <c r="T860" s="22"/>
      <c r="U860" s="22"/>
      <c r="V860" s="22"/>
      <c r="W860" s="22"/>
      <c r="X860" s="22"/>
      <c r="Y860" s="22"/>
      <c r="Z860" s="22"/>
    </row>
    <row r="861" spans="1:26" ht="16.149999999999999" customHeight="1" x14ac:dyDescent="0.25">
      <c r="A861" s="22"/>
      <c r="B861" s="22"/>
      <c r="C861" s="22"/>
      <c r="D861" s="22"/>
      <c r="E861" s="22"/>
      <c r="F861" s="22"/>
      <c r="G861" s="22"/>
      <c r="H861" s="22"/>
      <c r="I861" s="22"/>
      <c r="J861" s="22"/>
      <c r="K861" s="22"/>
      <c r="L861" s="22"/>
      <c r="M861" s="22"/>
      <c r="N861" s="22"/>
      <c r="O861" s="22"/>
      <c r="P861" s="22"/>
      <c r="Q861" s="22"/>
      <c r="R861" s="22"/>
      <c r="S861" s="22"/>
      <c r="T861" s="22"/>
      <c r="U861" s="22"/>
      <c r="V861" s="22"/>
      <c r="W861" s="22"/>
      <c r="X861" s="22"/>
      <c r="Y861" s="22"/>
      <c r="Z861" s="22"/>
    </row>
    <row r="862" spans="1:26" ht="16.149999999999999" customHeight="1" x14ac:dyDescent="0.25">
      <c r="A862" s="22"/>
      <c r="B862" s="22"/>
      <c r="C862" s="22"/>
      <c r="D862" s="22"/>
      <c r="E862" s="22"/>
      <c r="F862" s="22"/>
      <c r="G862" s="22"/>
      <c r="H862" s="22"/>
      <c r="I862" s="22"/>
      <c r="J862" s="22"/>
      <c r="K862" s="22"/>
      <c r="L862" s="22"/>
      <c r="M862" s="22"/>
      <c r="N862" s="22"/>
      <c r="O862" s="22"/>
      <c r="P862" s="22"/>
      <c r="Q862" s="22"/>
      <c r="R862" s="22"/>
      <c r="S862" s="22"/>
      <c r="T862" s="22"/>
      <c r="U862" s="22"/>
      <c r="V862" s="22"/>
      <c r="W862" s="22"/>
      <c r="X862" s="22"/>
      <c r="Y862" s="22"/>
      <c r="Z862" s="22"/>
    </row>
    <row r="863" spans="1:26" ht="16.149999999999999" customHeight="1" x14ac:dyDescent="0.25">
      <c r="A863" s="22"/>
      <c r="B863" s="22"/>
      <c r="C863" s="22"/>
      <c r="D863" s="22"/>
      <c r="E863" s="22"/>
      <c r="F863" s="22"/>
      <c r="G863" s="22"/>
      <c r="H863" s="22"/>
      <c r="I863" s="22"/>
      <c r="J863" s="22"/>
      <c r="K863" s="22"/>
      <c r="L863" s="22"/>
      <c r="M863" s="22"/>
      <c r="N863" s="22"/>
      <c r="O863" s="22"/>
      <c r="P863" s="22"/>
      <c r="Q863" s="22"/>
      <c r="R863" s="22"/>
      <c r="S863" s="22"/>
      <c r="T863" s="22"/>
      <c r="U863" s="22"/>
      <c r="V863" s="22"/>
      <c r="W863" s="22"/>
      <c r="X863" s="22"/>
      <c r="Y863" s="22"/>
      <c r="Z863" s="22"/>
    </row>
    <row r="864" spans="1:26" ht="16.149999999999999" customHeight="1" x14ac:dyDescent="0.25">
      <c r="A864" s="22"/>
      <c r="B864" s="22"/>
      <c r="C864" s="22"/>
      <c r="D864" s="22"/>
      <c r="E864" s="22"/>
      <c r="F864" s="22"/>
      <c r="G864" s="22"/>
      <c r="H864" s="22"/>
      <c r="I864" s="22"/>
      <c r="J864" s="22"/>
      <c r="K864" s="22"/>
      <c r="L864" s="22"/>
      <c r="M864" s="22"/>
      <c r="N864" s="22"/>
      <c r="O864" s="22"/>
      <c r="P864" s="22"/>
      <c r="Q864" s="22"/>
      <c r="R864" s="22"/>
      <c r="S864" s="22"/>
      <c r="T864" s="22"/>
      <c r="U864" s="22"/>
      <c r="V864" s="22"/>
      <c r="W864" s="22"/>
      <c r="X864" s="22"/>
      <c r="Y864" s="22"/>
      <c r="Z864" s="22"/>
    </row>
    <row r="865" spans="1:26" ht="16.149999999999999" customHeight="1" x14ac:dyDescent="0.25">
      <c r="A865" s="22"/>
      <c r="B865" s="22"/>
      <c r="C865" s="22"/>
      <c r="D865" s="22"/>
      <c r="E865" s="22"/>
      <c r="F865" s="22"/>
      <c r="G865" s="22"/>
      <c r="H865" s="22"/>
      <c r="I865" s="22"/>
      <c r="J865" s="22"/>
      <c r="K865" s="22"/>
      <c r="L865" s="22"/>
      <c r="M865" s="22"/>
      <c r="N865" s="22"/>
      <c r="O865" s="22"/>
      <c r="P865" s="22"/>
      <c r="Q865" s="22"/>
      <c r="R865" s="22"/>
      <c r="S865" s="22"/>
      <c r="T865" s="22"/>
      <c r="U865" s="22"/>
      <c r="V865" s="22"/>
      <c r="W865" s="22"/>
      <c r="X865" s="22"/>
      <c r="Y865" s="22"/>
      <c r="Z865" s="22"/>
    </row>
    <row r="866" spans="1:26" ht="16.149999999999999" customHeight="1" x14ac:dyDescent="0.25">
      <c r="A866" s="22"/>
      <c r="B866" s="22"/>
      <c r="C866" s="22"/>
      <c r="D866" s="22"/>
      <c r="E866" s="22"/>
      <c r="F866" s="22"/>
      <c r="G866" s="22"/>
      <c r="H866" s="22"/>
      <c r="I866" s="22"/>
      <c r="J866" s="22"/>
      <c r="K866" s="22"/>
      <c r="L866" s="22"/>
      <c r="M866" s="22"/>
      <c r="N866" s="22"/>
      <c r="O866" s="22"/>
      <c r="P866" s="22"/>
      <c r="Q866" s="22"/>
      <c r="R866" s="22"/>
      <c r="S866" s="22"/>
      <c r="T866" s="22"/>
      <c r="U866" s="22"/>
      <c r="V866" s="22"/>
      <c r="W866" s="22"/>
      <c r="X866" s="22"/>
      <c r="Y866" s="22"/>
      <c r="Z866" s="22"/>
    </row>
    <row r="867" spans="1:26" ht="16.149999999999999" customHeight="1" x14ac:dyDescent="0.25">
      <c r="A867" s="22"/>
      <c r="B867" s="22"/>
      <c r="C867" s="22"/>
      <c r="D867" s="22"/>
      <c r="E867" s="22"/>
      <c r="F867" s="22"/>
      <c r="G867" s="22"/>
      <c r="H867" s="22"/>
      <c r="I867" s="22"/>
      <c r="J867" s="22"/>
      <c r="K867" s="22"/>
      <c r="L867" s="22"/>
      <c r="M867" s="22"/>
      <c r="N867" s="22"/>
      <c r="O867" s="22"/>
      <c r="P867" s="22"/>
      <c r="Q867" s="22"/>
      <c r="R867" s="22"/>
      <c r="S867" s="22"/>
      <c r="T867" s="22"/>
      <c r="U867" s="22"/>
      <c r="V867" s="22"/>
      <c r="W867" s="22"/>
      <c r="X867" s="22"/>
      <c r="Y867" s="22"/>
      <c r="Z867" s="22"/>
    </row>
    <row r="868" spans="1:26" ht="16.149999999999999" customHeight="1" x14ac:dyDescent="0.25">
      <c r="A868" s="22"/>
      <c r="B868" s="22"/>
      <c r="C868" s="22"/>
      <c r="D868" s="22"/>
      <c r="E868" s="22"/>
      <c r="F868" s="22"/>
      <c r="G868" s="22"/>
      <c r="H868" s="22"/>
      <c r="I868" s="22"/>
      <c r="J868" s="22"/>
      <c r="K868" s="22"/>
      <c r="L868" s="22"/>
      <c r="M868" s="22"/>
      <c r="N868" s="22"/>
      <c r="O868" s="22"/>
      <c r="P868" s="22"/>
      <c r="Q868" s="22"/>
      <c r="R868" s="22"/>
      <c r="S868" s="22"/>
      <c r="T868" s="22"/>
      <c r="U868" s="22"/>
      <c r="V868" s="22"/>
      <c r="W868" s="22"/>
      <c r="X868" s="22"/>
      <c r="Y868" s="22"/>
      <c r="Z868" s="22"/>
    </row>
    <row r="869" spans="1:26" ht="16.149999999999999" customHeight="1" x14ac:dyDescent="0.25">
      <c r="A869" s="22"/>
      <c r="B869" s="22"/>
      <c r="C869" s="22"/>
      <c r="D869" s="22"/>
      <c r="E869" s="22"/>
      <c r="F869" s="22"/>
      <c r="G869" s="22"/>
      <c r="H869" s="22"/>
      <c r="I869" s="22"/>
      <c r="J869" s="22"/>
      <c r="K869" s="22"/>
      <c r="L869" s="22"/>
      <c r="M869" s="22"/>
      <c r="N869" s="22"/>
      <c r="O869" s="22"/>
      <c r="P869" s="22"/>
      <c r="Q869" s="22"/>
      <c r="R869" s="22"/>
      <c r="S869" s="22"/>
      <c r="T869" s="22"/>
      <c r="U869" s="22"/>
      <c r="V869" s="22"/>
      <c r="W869" s="22"/>
      <c r="X869" s="22"/>
      <c r="Y869" s="22"/>
      <c r="Z869" s="22"/>
    </row>
    <row r="870" spans="1:26" ht="16.149999999999999" customHeight="1" x14ac:dyDescent="0.25">
      <c r="A870" s="22"/>
      <c r="B870" s="22"/>
      <c r="C870" s="22"/>
      <c r="D870" s="22"/>
      <c r="E870" s="22"/>
      <c r="F870" s="22"/>
      <c r="G870" s="22"/>
      <c r="H870" s="22"/>
      <c r="I870" s="22"/>
      <c r="J870" s="22"/>
      <c r="K870" s="22"/>
      <c r="L870" s="22"/>
      <c r="M870" s="22"/>
      <c r="N870" s="22"/>
      <c r="O870" s="22"/>
      <c r="P870" s="22"/>
      <c r="Q870" s="22"/>
      <c r="R870" s="22"/>
      <c r="S870" s="22"/>
      <c r="T870" s="22"/>
      <c r="U870" s="22"/>
      <c r="V870" s="22"/>
      <c r="W870" s="22"/>
      <c r="X870" s="22"/>
      <c r="Y870" s="22"/>
      <c r="Z870" s="22"/>
    </row>
    <row r="871" spans="1:26" ht="16.149999999999999" customHeight="1" x14ac:dyDescent="0.25">
      <c r="A871" s="22"/>
      <c r="B871" s="22"/>
      <c r="C871" s="22"/>
      <c r="D871" s="22"/>
      <c r="E871" s="22"/>
      <c r="F871" s="22"/>
      <c r="G871" s="22"/>
      <c r="H871" s="22"/>
      <c r="I871" s="22"/>
      <c r="J871" s="22"/>
      <c r="K871" s="22"/>
      <c r="L871" s="22"/>
      <c r="M871" s="22"/>
      <c r="N871" s="22"/>
      <c r="O871" s="22"/>
      <c r="P871" s="22"/>
      <c r="Q871" s="22"/>
      <c r="R871" s="22"/>
      <c r="S871" s="22"/>
      <c r="T871" s="22"/>
      <c r="U871" s="22"/>
      <c r="V871" s="22"/>
      <c r="W871" s="22"/>
      <c r="X871" s="22"/>
      <c r="Y871" s="22"/>
      <c r="Z871" s="22"/>
    </row>
    <row r="872" spans="1:26" ht="16.149999999999999" customHeight="1" x14ac:dyDescent="0.25">
      <c r="A872" s="22"/>
      <c r="B872" s="22"/>
      <c r="C872" s="22"/>
      <c r="D872" s="22"/>
      <c r="E872" s="22"/>
      <c r="F872" s="22"/>
      <c r="G872" s="22"/>
      <c r="H872" s="22"/>
      <c r="I872" s="22"/>
      <c r="J872" s="22"/>
      <c r="K872" s="22"/>
      <c r="L872" s="22"/>
      <c r="M872" s="22"/>
      <c r="N872" s="22"/>
      <c r="O872" s="22"/>
      <c r="P872" s="22"/>
      <c r="Q872" s="22"/>
      <c r="R872" s="22"/>
      <c r="S872" s="22"/>
      <c r="T872" s="22"/>
      <c r="U872" s="22"/>
      <c r="V872" s="22"/>
      <c r="W872" s="22"/>
      <c r="X872" s="22"/>
      <c r="Y872" s="22"/>
      <c r="Z872" s="22"/>
    </row>
    <row r="873" spans="1:26" ht="16.149999999999999" customHeight="1" x14ac:dyDescent="0.25">
      <c r="A873" s="22"/>
      <c r="B873" s="22"/>
      <c r="C873" s="22"/>
      <c r="D873" s="22"/>
      <c r="E873" s="22"/>
      <c r="F873" s="22"/>
      <c r="G873" s="22"/>
      <c r="H873" s="22"/>
      <c r="I873" s="22"/>
      <c r="J873" s="22"/>
      <c r="K873" s="22"/>
      <c r="L873" s="22"/>
      <c r="M873" s="22"/>
      <c r="N873" s="22"/>
      <c r="O873" s="22"/>
      <c r="P873" s="22"/>
      <c r="Q873" s="22"/>
      <c r="R873" s="22"/>
      <c r="S873" s="22"/>
      <c r="T873" s="22"/>
      <c r="U873" s="22"/>
      <c r="V873" s="22"/>
      <c r="W873" s="22"/>
      <c r="X873" s="22"/>
      <c r="Y873" s="22"/>
      <c r="Z873" s="22"/>
    </row>
    <row r="874" spans="1:26" ht="16.149999999999999" customHeight="1" x14ac:dyDescent="0.25">
      <c r="A874" s="22"/>
      <c r="B874" s="22"/>
      <c r="C874" s="22"/>
      <c r="D874" s="22"/>
      <c r="E874" s="22"/>
      <c r="F874" s="22"/>
      <c r="G874" s="22"/>
      <c r="H874" s="22"/>
      <c r="I874" s="22"/>
      <c r="J874" s="22"/>
      <c r="K874" s="22"/>
      <c r="L874" s="22"/>
      <c r="M874" s="22"/>
      <c r="N874" s="22"/>
      <c r="O874" s="22"/>
      <c r="P874" s="22"/>
      <c r="Q874" s="22"/>
      <c r="R874" s="22"/>
      <c r="S874" s="22"/>
      <c r="T874" s="22"/>
      <c r="U874" s="22"/>
      <c r="V874" s="22"/>
      <c r="W874" s="22"/>
      <c r="X874" s="22"/>
      <c r="Y874" s="22"/>
      <c r="Z874" s="22"/>
    </row>
    <row r="875" spans="1:26" ht="16.149999999999999" customHeight="1" x14ac:dyDescent="0.25">
      <c r="A875" s="22"/>
      <c r="B875" s="22"/>
      <c r="C875" s="22"/>
      <c r="D875" s="22"/>
      <c r="E875" s="22"/>
      <c r="F875" s="22"/>
      <c r="G875" s="22"/>
      <c r="H875" s="22"/>
      <c r="I875" s="22"/>
      <c r="J875" s="22"/>
      <c r="K875" s="22"/>
      <c r="L875" s="22"/>
      <c r="M875" s="22"/>
      <c r="N875" s="22"/>
      <c r="O875" s="22"/>
      <c r="P875" s="22"/>
      <c r="Q875" s="22"/>
      <c r="R875" s="22"/>
      <c r="S875" s="22"/>
      <c r="T875" s="22"/>
      <c r="U875" s="22"/>
      <c r="V875" s="22"/>
      <c r="W875" s="22"/>
      <c r="X875" s="22"/>
      <c r="Y875" s="22"/>
      <c r="Z875" s="22"/>
    </row>
    <row r="876" spans="1:26" ht="16.149999999999999" customHeight="1" x14ac:dyDescent="0.25">
      <c r="A876" s="22"/>
      <c r="B876" s="22"/>
      <c r="C876" s="22"/>
      <c r="D876" s="22"/>
      <c r="E876" s="22"/>
      <c r="F876" s="22"/>
      <c r="G876" s="22"/>
      <c r="H876" s="22"/>
      <c r="I876" s="22"/>
      <c r="J876" s="22"/>
      <c r="K876" s="22"/>
      <c r="L876" s="22"/>
      <c r="M876" s="22"/>
      <c r="N876" s="22"/>
      <c r="O876" s="22"/>
      <c r="P876" s="22"/>
      <c r="Q876" s="22"/>
      <c r="R876" s="22"/>
      <c r="S876" s="22"/>
      <c r="T876" s="22"/>
      <c r="U876" s="22"/>
      <c r="V876" s="22"/>
      <c r="W876" s="22"/>
      <c r="X876" s="22"/>
      <c r="Y876" s="22"/>
      <c r="Z876" s="22"/>
    </row>
    <row r="877" spans="1:26" ht="16.149999999999999" customHeight="1" x14ac:dyDescent="0.25">
      <c r="A877" s="22"/>
      <c r="B877" s="22"/>
      <c r="C877" s="22"/>
      <c r="D877" s="22"/>
      <c r="E877" s="22"/>
      <c r="F877" s="22"/>
      <c r="G877" s="22"/>
      <c r="H877" s="22"/>
      <c r="I877" s="22"/>
      <c r="J877" s="22"/>
      <c r="K877" s="22"/>
      <c r="L877" s="22"/>
      <c r="M877" s="22"/>
      <c r="N877" s="22"/>
      <c r="O877" s="22"/>
      <c r="P877" s="22"/>
      <c r="Q877" s="22"/>
      <c r="R877" s="22"/>
      <c r="S877" s="22"/>
      <c r="T877" s="22"/>
      <c r="U877" s="22"/>
      <c r="V877" s="22"/>
      <c r="W877" s="22"/>
      <c r="X877" s="22"/>
      <c r="Y877" s="22"/>
      <c r="Z877" s="22"/>
    </row>
    <row r="878" spans="1:26" ht="16.149999999999999" customHeight="1" x14ac:dyDescent="0.25">
      <c r="A878" s="22"/>
      <c r="B878" s="22"/>
      <c r="C878" s="22"/>
      <c r="D878" s="22"/>
      <c r="E878" s="22"/>
      <c r="F878" s="22"/>
      <c r="G878" s="22"/>
      <c r="H878" s="22"/>
      <c r="I878" s="22"/>
      <c r="J878" s="22"/>
      <c r="K878" s="22"/>
      <c r="L878" s="22"/>
      <c r="M878" s="22"/>
      <c r="N878" s="22"/>
      <c r="O878" s="22"/>
      <c r="P878" s="22"/>
      <c r="Q878" s="22"/>
      <c r="R878" s="22"/>
      <c r="S878" s="22"/>
      <c r="T878" s="22"/>
      <c r="U878" s="22"/>
      <c r="V878" s="22"/>
      <c r="W878" s="22"/>
      <c r="X878" s="22"/>
      <c r="Y878" s="22"/>
      <c r="Z878" s="22"/>
    </row>
    <row r="879" spans="1:26" ht="16.149999999999999" customHeight="1" x14ac:dyDescent="0.25">
      <c r="A879" s="22"/>
      <c r="B879" s="22"/>
      <c r="C879" s="22"/>
      <c r="D879" s="22"/>
      <c r="E879" s="22"/>
      <c r="F879" s="22"/>
      <c r="G879" s="22"/>
      <c r="H879" s="22"/>
      <c r="I879" s="22"/>
      <c r="J879" s="22"/>
      <c r="K879" s="22"/>
      <c r="L879" s="22"/>
      <c r="M879" s="22"/>
      <c r="N879" s="22"/>
      <c r="O879" s="22"/>
      <c r="P879" s="22"/>
      <c r="Q879" s="22"/>
      <c r="R879" s="22"/>
      <c r="S879" s="22"/>
      <c r="T879" s="22"/>
      <c r="U879" s="22"/>
      <c r="V879" s="22"/>
      <c r="W879" s="22"/>
      <c r="X879" s="22"/>
      <c r="Y879" s="22"/>
      <c r="Z879" s="22"/>
    </row>
    <row r="880" spans="1:26" ht="16.149999999999999" customHeight="1" x14ac:dyDescent="0.25">
      <c r="A880" s="22"/>
      <c r="B880" s="22"/>
      <c r="C880" s="22"/>
      <c r="D880" s="22"/>
      <c r="E880" s="22"/>
      <c r="F880" s="22"/>
      <c r="G880" s="22"/>
      <c r="H880" s="22"/>
      <c r="I880" s="22"/>
      <c r="J880" s="22"/>
      <c r="K880" s="22"/>
      <c r="L880" s="22"/>
      <c r="M880" s="22"/>
      <c r="N880" s="22"/>
      <c r="O880" s="22"/>
      <c r="P880" s="22"/>
      <c r="Q880" s="22"/>
      <c r="R880" s="22"/>
      <c r="S880" s="22"/>
      <c r="T880" s="22"/>
      <c r="U880" s="22"/>
      <c r="V880" s="22"/>
      <c r="W880" s="22"/>
      <c r="X880" s="22"/>
      <c r="Y880" s="22"/>
      <c r="Z880" s="22"/>
    </row>
    <row r="881" spans="1:26" ht="16.149999999999999" customHeight="1" x14ac:dyDescent="0.25">
      <c r="A881" s="22"/>
      <c r="B881" s="22"/>
      <c r="C881" s="22"/>
      <c r="D881" s="22"/>
      <c r="E881" s="22"/>
      <c r="F881" s="22"/>
      <c r="G881" s="22"/>
      <c r="H881" s="22"/>
      <c r="I881" s="22"/>
      <c r="J881" s="22"/>
      <c r="K881" s="22"/>
      <c r="L881" s="22"/>
      <c r="M881" s="22"/>
      <c r="N881" s="22"/>
      <c r="O881" s="22"/>
      <c r="P881" s="22"/>
      <c r="Q881" s="22"/>
      <c r="R881" s="22"/>
      <c r="S881" s="22"/>
      <c r="T881" s="22"/>
      <c r="U881" s="22"/>
      <c r="V881" s="22"/>
      <c r="W881" s="22"/>
      <c r="X881" s="22"/>
      <c r="Y881" s="22"/>
      <c r="Z881" s="22"/>
    </row>
    <row r="882" spans="1:26" ht="16.149999999999999" customHeight="1" x14ac:dyDescent="0.25">
      <c r="A882" s="22"/>
      <c r="B882" s="22"/>
      <c r="C882" s="22"/>
      <c r="D882" s="22"/>
      <c r="E882" s="22"/>
      <c r="F882" s="22"/>
      <c r="G882" s="22"/>
      <c r="H882" s="22"/>
      <c r="I882" s="22"/>
      <c r="J882" s="22"/>
      <c r="K882" s="22"/>
      <c r="L882" s="22"/>
      <c r="M882" s="22"/>
      <c r="N882" s="22"/>
      <c r="O882" s="22"/>
      <c r="P882" s="22"/>
      <c r="Q882" s="22"/>
      <c r="R882" s="22"/>
      <c r="S882" s="22"/>
      <c r="T882" s="22"/>
      <c r="U882" s="22"/>
      <c r="V882" s="22"/>
      <c r="W882" s="22"/>
      <c r="X882" s="22"/>
      <c r="Y882" s="22"/>
      <c r="Z882" s="22"/>
    </row>
    <row r="883" spans="1:26" ht="16.149999999999999" customHeight="1" x14ac:dyDescent="0.25">
      <c r="A883" s="22"/>
      <c r="B883" s="22"/>
      <c r="C883" s="22"/>
      <c r="D883" s="22"/>
      <c r="E883" s="22"/>
      <c r="F883" s="22"/>
      <c r="G883" s="22"/>
      <c r="H883" s="22"/>
      <c r="I883" s="22"/>
      <c r="J883" s="22"/>
      <c r="K883" s="22"/>
      <c r="L883" s="22"/>
      <c r="M883" s="22"/>
      <c r="N883" s="22"/>
      <c r="O883" s="22"/>
      <c r="P883" s="22"/>
      <c r="Q883" s="22"/>
      <c r="R883" s="22"/>
      <c r="S883" s="22"/>
      <c r="T883" s="22"/>
      <c r="U883" s="22"/>
      <c r="V883" s="22"/>
      <c r="W883" s="22"/>
      <c r="X883" s="22"/>
      <c r="Y883" s="22"/>
      <c r="Z883" s="22"/>
    </row>
    <row r="884" spans="1:26" ht="16.149999999999999" customHeight="1" x14ac:dyDescent="0.25">
      <c r="A884" s="22"/>
      <c r="B884" s="22"/>
      <c r="C884" s="22"/>
      <c r="D884" s="22"/>
      <c r="E884" s="22"/>
      <c r="F884" s="22"/>
      <c r="G884" s="22"/>
      <c r="H884" s="22"/>
      <c r="I884" s="22"/>
      <c r="J884" s="22"/>
      <c r="K884" s="22"/>
      <c r="L884" s="22"/>
      <c r="M884" s="22"/>
      <c r="N884" s="22"/>
      <c r="O884" s="22"/>
      <c r="P884" s="22"/>
      <c r="Q884" s="22"/>
      <c r="R884" s="22"/>
      <c r="S884" s="22"/>
      <c r="T884" s="22"/>
      <c r="U884" s="22"/>
      <c r="V884" s="22"/>
      <c r="W884" s="22"/>
      <c r="X884" s="22"/>
      <c r="Y884" s="22"/>
      <c r="Z884" s="22"/>
    </row>
    <row r="885" spans="1:26" ht="16.149999999999999" customHeight="1" x14ac:dyDescent="0.25">
      <c r="A885" s="22"/>
      <c r="B885" s="22"/>
      <c r="C885" s="22"/>
      <c r="D885" s="22"/>
      <c r="E885" s="22"/>
      <c r="F885" s="22"/>
      <c r="G885" s="22"/>
      <c r="H885" s="22"/>
      <c r="I885" s="22"/>
      <c r="J885" s="22"/>
      <c r="K885" s="22"/>
      <c r="L885" s="22"/>
      <c r="M885" s="22"/>
      <c r="N885" s="22"/>
      <c r="O885" s="22"/>
      <c r="P885" s="22"/>
      <c r="Q885" s="22"/>
      <c r="R885" s="22"/>
      <c r="S885" s="22"/>
      <c r="T885" s="22"/>
      <c r="U885" s="22"/>
      <c r="V885" s="22"/>
      <c r="W885" s="22"/>
      <c r="X885" s="22"/>
      <c r="Y885" s="22"/>
      <c r="Z885" s="22"/>
    </row>
    <row r="886" spans="1:26" ht="16.149999999999999" customHeight="1" x14ac:dyDescent="0.25">
      <c r="A886" s="22"/>
      <c r="B886" s="22"/>
      <c r="C886" s="22"/>
      <c r="D886" s="22"/>
      <c r="E886" s="22"/>
      <c r="F886" s="22"/>
      <c r="G886" s="22"/>
      <c r="H886" s="22"/>
      <c r="I886" s="22"/>
      <c r="J886" s="22"/>
      <c r="K886" s="22"/>
      <c r="L886" s="22"/>
      <c r="M886" s="22"/>
      <c r="N886" s="22"/>
      <c r="O886" s="22"/>
      <c r="P886" s="22"/>
      <c r="Q886" s="22"/>
      <c r="R886" s="22"/>
      <c r="S886" s="22"/>
      <c r="T886" s="22"/>
      <c r="U886" s="22"/>
      <c r="V886" s="22"/>
      <c r="W886" s="22"/>
      <c r="X886" s="22"/>
      <c r="Y886" s="22"/>
      <c r="Z886" s="22"/>
    </row>
    <row r="887" spans="1:26" ht="16.149999999999999" customHeight="1" x14ac:dyDescent="0.25">
      <c r="A887" s="22"/>
      <c r="B887" s="22"/>
      <c r="C887" s="22"/>
      <c r="D887" s="22"/>
      <c r="E887" s="22"/>
      <c r="F887" s="22"/>
      <c r="G887" s="22"/>
      <c r="H887" s="22"/>
      <c r="I887" s="22"/>
      <c r="J887" s="22"/>
      <c r="K887" s="22"/>
      <c r="L887" s="22"/>
      <c r="M887" s="22"/>
      <c r="N887" s="22"/>
      <c r="O887" s="22"/>
      <c r="P887" s="22"/>
      <c r="Q887" s="22"/>
      <c r="R887" s="22"/>
      <c r="S887" s="22"/>
      <c r="T887" s="22"/>
      <c r="U887" s="22"/>
      <c r="V887" s="22"/>
      <c r="W887" s="22"/>
      <c r="X887" s="22"/>
      <c r="Y887" s="22"/>
      <c r="Z887" s="22"/>
    </row>
    <row r="888" spans="1:26" ht="16.149999999999999" customHeight="1" x14ac:dyDescent="0.25">
      <c r="A888" s="22"/>
      <c r="B888" s="22"/>
      <c r="C888" s="22"/>
      <c r="D888" s="22"/>
      <c r="E888" s="22"/>
      <c r="F888" s="22"/>
      <c r="G888" s="22"/>
      <c r="H888" s="22"/>
      <c r="I888" s="22"/>
      <c r="J888" s="22"/>
      <c r="K888" s="22"/>
      <c r="L888" s="22"/>
      <c r="M888" s="22"/>
      <c r="N888" s="22"/>
      <c r="O888" s="22"/>
      <c r="P888" s="22"/>
      <c r="Q888" s="22"/>
      <c r="R888" s="22"/>
      <c r="S888" s="22"/>
      <c r="T888" s="22"/>
      <c r="U888" s="22"/>
      <c r="V888" s="22"/>
      <c r="W888" s="22"/>
      <c r="X888" s="22"/>
      <c r="Y888" s="22"/>
      <c r="Z888" s="22"/>
    </row>
    <row r="889" spans="1:26" ht="16.149999999999999" customHeight="1" x14ac:dyDescent="0.25">
      <c r="A889" s="22"/>
      <c r="B889" s="22"/>
      <c r="C889" s="22"/>
      <c r="D889" s="22"/>
      <c r="E889" s="22"/>
      <c r="F889" s="22"/>
      <c r="G889" s="22"/>
      <c r="H889" s="22"/>
      <c r="I889" s="22"/>
      <c r="J889" s="22"/>
      <c r="K889" s="22"/>
      <c r="L889" s="22"/>
      <c r="M889" s="22"/>
      <c r="N889" s="22"/>
      <c r="O889" s="22"/>
      <c r="P889" s="22"/>
      <c r="Q889" s="22"/>
      <c r="R889" s="22"/>
      <c r="S889" s="22"/>
      <c r="T889" s="22"/>
      <c r="U889" s="22"/>
      <c r="V889" s="22"/>
      <c r="W889" s="22"/>
      <c r="X889" s="22"/>
      <c r="Y889" s="22"/>
      <c r="Z889" s="22"/>
    </row>
    <row r="890" spans="1:26" ht="16.149999999999999" customHeight="1" x14ac:dyDescent="0.25">
      <c r="A890" s="22"/>
      <c r="B890" s="22"/>
      <c r="C890" s="22"/>
      <c r="D890" s="22"/>
      <c r="E890" s="22"/>
      <c r="F890" s="22"/>
      <c r="G890" s="22"/>
      <c r="H890" s="22"/>
      <c r="I890" s="22"/>
      <c r="J890" s="22"/>
      <c r="K890" s="22"/>
      <c r="L890" s="22"/>
      <c r="M890" s="22"/>
      <c r="N890" s="22"/>
      <c r="O890" s="22"/>
      <c r="P890" s="22"/>
      <c r="Q890" s="22"/>
      <c r="R890" s="22"/>
      <c r="S890" s="22"/>
      <c r="T890" s="22"/>
      <c r="U890" s="22"/>
      <c r="V890" s="22"/>
      <c r="W890" s="22"/>
      <c r="X890" s="22"/>
      <c r="Y890" s="22"/>
      <c r="Z890" s="22"/>
    </row>
    <row r="891" spans="1:26" ht="16.149999999999999" customHeight="1" x14ac:dyDescent="0.25">
      <c r="A891" s="22"/>
      <c r="B891" s="22"/>
      <c r="C891" s="22"/>
      <c r="D891" s="22"/>
      <c r="E891" s="22"/>
      <c r="F891" s="22"/>
      <c r="G891" s="22"/>
      <c r="H891" s="22"/>
      <c r="I891" s="22"/>
      <c r="J891" s="22"/>
      <c r="K891" s="22"/>
      <c r="L891" s="22"/>
      <c r="M891" s="22"/>
      <c r="N891" s="22"/>
      <c r="O891" s="22"/>
      <c r="P891" s="22"/>
      <c r="Q891" s="22"/>
      <c r="R891" s="22"/>
      <c r="S891" s="22"/>
      <c r="T891" s="22"/>
      <c r="U891" s="22"/>
      <c r="V891" s="22"/>
      <c r="W891" s="22"/>
      <c r="X891" s="22"/>
      <c r="Y891" s="22"/>
      <c r="Z891" s="22"/>
    </row>
    <row r="892" spans="1:26" ht="16.149999999999999" customHeight="1" x14ac:dyDescent="0.25">
      <c r="A892" s="22"/>
      <c r="B892" s="22"/>
      <c r="C892" s="22"/>
      <c r="D892" s="22"/>
      <c r="E892" s="22"/>
      <c r="F892" s="22"/>
      <c r="G892" s="22"/>
      <c r="H892" s="22"/>
      <c r="I892" s="22"/>
      <c r="J892" s="22"/>
      <c r="K892" s="22"/>
      <c r="L892" s="22"/>
      <c r="M892" s="22"/>
      <c r="N892" s="22"/>
      <c r="O892" s="22"/>
      <c r="P892" s="22"/>
      <c r="Q892" s="22"/>
      <c r="R892" s="22"/>
      <c r="S892" s="22"/>
      <c r="T892" s="22"/>
      <c r="U892" s="22"/>
      <c r="V892" s="22"/>
      <c r="W892" s="22"/>
      <c r="X892" s="22"/>
      <c r="Y892" s="22"/>
      <c r="Z892" s="22"/>
    </row>
    <row r="893" spans="1:26" ht="16.149999999999999" customHeight="1" x14ac:dyDescent="0.25">
      <c r="A893" s="22"/>
      <c r="B893" s="22"/>
      <c r="C893" s="22"/>
      <c r="D893" s="22"/>
      <c r="E893" s="22"/>
      <c r="F893" s="22"/>
      <c r="G893" s="22"/>
      <c r="H893" s="22"/>
      <c r="I893" s="22"/>
      <c r="J893" s="22"/>
      <c r="K893" s="22"/>
      <c r="L893" s="22"/>
      <c r="M893" s="22"/>
      <c r="N893" s="22"/>
      <c r="O893" s="22"/>
      <c r="P893" s="22"/>
      <c r="Q893" s="22"/>
      <c r="R893" s="22"/>
      <c r="S893" s="22"/>
      <c r="T893" s="22"/>
      <c r="U893" s="22"/>
      <c r="V893" s="22"/>
      <c r="W893" s="22"/>
      <c r="X893" s="22"/>
      <c r="Y893" s="22"/>
      <c r="Z893" s="22"/>
    </row>
    <row r="894" spans="1:26" ht="16.149999999999999" customHeight="1" x14ac:dyDescent="0.25">
      <c r="A894" s="22"/>
      <c r="B894" s="22"/>
      <c r="C894" s="22"/>
      <c r="D894" s="22"/>
      <c r="E894" s="22"/>
      <c r="F894" s="22"/>
      <c r="G894" s="22"/>
      <c r="H894" s="22"/>
      <c r="I894" s="22"/>
      <c r="J894" s="22"/>
      <c r="K894" s="22"/>
      <c r="L894" s="22"/>
      <c r="M894" s="22"/>
      <c r="N894" s="22"/>
      <c r="O894" s="22"/>
      <c r="P894" s="22"/>
      <c r="Q894" s="22"/>
      <c r="R894" s="22"/>
      <c r="S894" s="22"/>
      <c r="T894" s="22"/>
      <c r="U894" s="22"/>
      <c r="V894" s="22"/>
      <c r="W894" s="22"/>
      <c r="X894" s="22"/>
      <c r="Y894" s="22"/>
      <c r="Z894" s="22"/>
    </row>
    <row r="895" spans="1:26" ht="16.149999999999999" customHeight="1" x14ac:dyDescent="0.25">
      <c r="A895" s="22"/>
      <c r="B895" s="22"/>
      <c r="C895" s="22"/>
      <c r="D895" s="22"/>
      <c r="E895" s="22"/>
      <c r="F895" s="22"/>
      <c r="G895" s="22"/>
      <c r="H895" s="22"/>
      <c r="I895" s="22"/>
      <c r="J895" s="22"/>
      <c r="K895" s="22"/>
      <c r="L895" s="22"/>
      <c r="M895" s="22"/>
      <c r="N895" s="22"/>
      <c r="O895" s="22"/>
      <c r="P895" s="22"/>
      <c r="Q895" s="22"/>
      <c r="R895" s="22"/>
      <c r="S895" s="22"/>
      <c r="T895" s="22"/>
      <c r="U895" s="22"/>
      <c r="V895" s="22"/>
      <c r="W895" s="22"/>
      <c r="X895" s="22"/>
      <c r="Y895" s="22"/>
      <c r="Z895" s="22"/>
    </row>
    <row r="896" spans="1:26" ht="16.149999999999999" customHeight="1" x14ac:dyDescent="0.25">
      <c r="A896" s="22"/>
      <c r="B896" s="22"/>
      <c r="C896" s="22"/>
      <c r="D896" s="22"/>
      <c r="E896" s="22"/>
      <c r="F896" s="22"/>
      <c r="G896" s="22"/>
      <c r="H896" s="22"/>
      <c r="I896" s="22"/>
      <c r="J896" s="22"/>
      <c r="K896" s="22"/>
      <c r="L896" s="22"/>
      <c r="M896" s="22"/>
      <c r="N896" s="22"/>
      <c r="O896" s="22"/>
      <c r="P896" s="22"/>
      <c r="Q896" s="22"/>
      <c r="R896" s="22"/>
      <c r="S896" s="22"/>
      <c r="T896" s="22"/>
      <c r="U896" s="22"/>
      <c r="V896" s="22"/>
      <c r="W896" s="22"/>
      <c r="X896" s="22"/>
      <c r="Y896" s="22"/>
      <c r="Z896" s="22"/>
    </row>
    <row r="897" spans="1:26" ht="16.149999999999999" customHeight="1" x14ac:dyDescent="0.25">
      <c r="A897" s="22"/>
      <c r="B897" s="22"/>
      <c r="C897" s="22"/>
      <c r="D897" s="22"/>
      <c r="E897" s="22"/>
      <c r="F897" s="22"/>
      <c r="G897" s="22"/>
      <c r="H897" s="22"/>
      <c r="I897" s="22"/>
      <c r="J897" s="22"/>
      <c r="K897" s="22"/>
      <c r="L897" s="22"/>
      <c r="M897" s="22"/>
      <c r="N897" s="22"/>
      <c r="O897" s="22"/>
      <c r="P897" s="22"/>
      <c r="Q897" s="22"/>
      <c r="R897" s="22"/>
      <c r="S897" s="22"/>
      <c r="T897" s="22"/>
      <c r="U897" s="22"/>
      <c r="V897" s="22"/>
      <c r="W897" s="22"/>
      <c r="X897" s="22"/>
      <c r="Y897" s="22"/>
      <c r="Z897" s="22"/>
    </row>
    <row r="898" spans="1:26" ht="16.149999999999999" customHeight="1" x14ac:dyDescent="0.25">
      <c r="A898" s="22"/>
      <c r="B898" s="22"/>
      <c r="C898" s="22"/>
      <c r="D898" s="22"/>
      <c r="E898" s="22"/>
      <c r="F898" s="22"/>
      <c r="G898" s="22"/>
      <c r="H898" s="22"/>
      <c r="I898" s="22"/>
      <c r="J898" s="22"/>
      <c r="K898" s="22"/>
      <c r="L898" s="22"/>
      <c r="M898" s="22"/>
      <c r="N898" s="22"/>
      <c r="O898" s="22"/>
      <c r="P898" s="22"/>
      <c r="Q898" s="22"/>
      <c r="R898" s="22"/>
      <c r="S898" s="22"/>
      <c r="T898" s="22"/>
      <c r="U898" s="22"/>
      <c r="V898" s="22"/>
      <c r="W898" s="22"/>
      <c r="X898" s="22"/>
      <c r="Y898" s="22"/>
      <c r="Z898" s="22"/>
    </row>
    <row r="899" spans="1:26" ht="16.149999999999999" customHeight="1" x14ac:dyDescent="0.25">
      <c r="A899" s="22"/>
      <c r="B899" s="22"/>
      <c r="C899" s="22"/>
      <c r="D899" s="22"/>
      <c r="E899" s="22"/>
      <c r="F899" s="22"/>
      <c r="G899" s="22"/>
      <c r="H899" s="22"/>
      <c r="I899" s="22"/>
      <c r="J899" s="22"/>
      <c r="K899" s="22"/>
      <c r="L899" s="22"/>
      <c r="M899" s="22"/>
      <c r="N899" s="22"/>
      <c r="O899" s="22"/>
      <c r="P899" s="22"/>
      <c r="Q899" s="22"/>
      <c r="R899" s="22"/>
      <c r="S899" s="22"/>
      <c r="T899" s="22"/>
      <c r="U899" s="22"/>
      <c r="V899" s="22"/>
      <c r="W899" s="22"/>
      <c r="X899" s="22"/>
      <c r="Y899" s="22"/>
      <c r="Z899" s="22"/>
    </row>
    <row r="900" spans="1:26" ht="16.149999999999999" customHeight="1" x14ac:dyDescent="0.25">
      <c r="A900" s="22"/>
      <c r="B900" s="22"/>
      <c r="C900" s="22"/>
      <c r="D900" s="22"/>
      <c r="E900" s="22"/>
      <c r="F900" s="22"/>
      <c r="G900" s="22"/>
      <c r="H900" s="22"/>
      <c r="I900" s="22"/>
      <c r="J900" s="22"/>
      <c r="K900" s="22"/>
      <c r="L900" s="22"/>
      <c r="M900" s="22"/>
      <c r="N900" s="22"/>
      <c r="O900" s="22"/>
      <c r="P900" s="22"/>
      <c r="Q900" s="22"/>
      <c r="R900" s="22"/>
      <c r="S900" s="22"/>
      <c r="T900" s="22"/>
      <c r="U900" s="22"/>
      <c r="V900" s="22"/>
      <c r="W900" s="22"/>
      <c r="X900" s="22"/>
      <c r="Y900" s="22"/>
      <c r="Z900" s="22"/>
    </row>
    <row r="901" spans="1:26" ht="16.149999999999999" customHeight="1" x14ac:dyDescent="0.25">
      <c r="A901" s="22"/>
      <c r="B901" s="22"/>
      <c r="C901" s="22"/>
      <c r="D901" s="22"/>
      <c r="E901" s="22"/>
      <c r="F901" s="22"/>
      <c r="G901" s="22"/>
      <c r="H901" s="22"/>
      <c r="I901" s="22"/>
      <c r="J901" s="22"/>
      <c r="K901" s="22"/>
      <c r="L901" s="22"/>
      <c r="M901" s="22"/>
      <c r="N901" s="22"/>
      <c r="O901" s="22"/>
      <c r="P901" s="22"/>
      <c r="Q901" s="22"/>
      <c r="R901" s="22"/>
      <c r="S901" s="22"/>
      <c r="T901" s="22"/>
      <c r="U901" s="22"/>
      <c r="V901" s="22"/>
      <c r="W901" s="22"/>
      <c r="X901" s="22"/>
      <c r="Y901" s="22"/>
      <c r="Z901" s="22"/>
    </row>
    <row r="902" spans="1:26" ht="16.149999999999999" customHeight="1" x14ac:dyDescent="0.25">
      <c r="A902" s="22"/>
      <c r="B902" s="22"/>
      <c r="C902" s="22"/>
      <c r="D902" s="22"/>
      <c r="E902" s="22"/>
      <c r="F902" s="22"/>
      <c r="G902" s="22"/>
      <c r="H902" s="22"/>
      <c r="I902" s="22"/>
      <c r="J902" s="22"/>
      <c r="K902" s="22"/>
      <c r="L902" s="22"/>
      <c r="M902" s="22"/>
      <c r="N902" s="22"/>
      <c r="O902" s="22"/>
      <c r="P902" s="22"/>
      <c r="Q902" s="22"/>
      <c r="R902" s="22"/>
      <c r="S902" s="22"/>
      <c r="T902" s="22"/>
      <c r="U902" s="22"/>
      <c r="V902" s="22"/>
      <c r="W902" s="22"/>
      <c r="X902" s="22"/>
      <c r="Y902" s="22"/>
      <c r="Z902" s="22"/>
    </row>
    <row r="903" spans="1:26" ht="16.149999999999999" customHeight="1" x14ac:dyDescent="0.25">
      <c r="A903" s="22"/>
      <c r="B903" s="22"/>
      <c r="C903" s="22"/>
      <c r="D903" s="22"/>
      <c r="E903" s="22"/>
      <c r="F903" s="22"/>
      <c r="G903" s="22"/>
      <c r="H903" s="22"/>
      <c r="I903" s="22"/>
      <c r="J903" s="22"/>
      <c r="K903" s="22"/>
      <c r="L903" s="22"/>
      <c r="M903" s="22"/>
      <c r="N903" s="22"/>
      <c r="O903" s="22"/>
      <c r="P903" s="22"/>
      <c r="Q903" s="22"/>
      <c r="R903" s="22"/>
      <c r="S903" s="22"/>
      <c r="T903" s="22"/>
      <c r="U903" s="22"/>
      <c r="V903" s="22"/>
      <c r="W903" s="22"/>
      <c r="X903" s="22"/>
      <c r="Y903" s="22"/>
      <c r="Z903" s="22"/>
    </row>
    <row r="904" spans="1:26" ht="16.149999999999999" customHeight="1" x14ac:dyDescent="0.25">
      <c r="A904" s="22"/>
      <c r="B904" s="22"/>
      <c r="C904" s="22"/>
      <c r="D904" s="22"/>
      <c r="E904" s="22"/>
      <c r="F904" s="22"/>
      <c r="G904" s="22"/>
      <c r="H904" s="22"/>
      <c r="I904" s="22"/>
      <c r="J904" s="22"/>
      <c r="K904" s="22"/>
      <c r="L904" s="22"/>
      <c r="M904" s="22"/>
      <c r="N904" s="22"/>
      <c r="O904" s="22"/>
      <c r="P904" s="22"/>
      <c r="Q904" s="22"/>
      <c r="R904" s="22"/>
      <c r="S904" s="22"/>
      <c r="T904" s="22"/>
      <c r="U904" s="22"/>
      <c r="V904" s="22"/>
      <c r="W904" s="22"/>
      <c r="X904" s="22"/>
      <c r="Y904" s="22"/>
      <c r="Z904" s="22"/>
    </row>
    <row r="905" spans="1:26" ht="16.149999999999999" customHeight="1" x14ac:dyDescent="0.25">
      <c r="A905" s="22"/>
      <c r="B905" s="22"/>
      <c r="C905" s="22"/>
      <c r="D905" s="22"/>
      <c r="E905" s="22"/>
      <c r="F905" s="22"/>
      <c r="G905" s="22"/>
      <c r="H905" s="22"/>
      <c r="I905" s="22"/>
      <c r="J905" s="22"/>
      <c r="K905" s="22"/>
      <c r="L905" s="22"/>
      <c r="M905" s="22"/>
      <c r="N905" s="22"/>
      <c r="O905" s="22"/>
      <c r="P905" s="22"/>
      <c r="Q905" s="22"/>
      <c r="R905" s="22"/>
      <c r="S905" s="22"/>
      <c r="T905" s="22"/>
      <c r="U905" s="22"/>
      <c r="V905" s="22"/>
      <c r="W905" s="22"/>
      <c r="X905" s="22"/>
      <c r="Y905" s="22"/>
      <c r="Z905" s="22"/>
    </row>
    <row r="906" spans="1:26" ht="16.149999999999999" customHeight="1" x14ac:dyDescent="0.25">
      <c r="A906" s="22"/>
      <c r="B906" s="22"/>
      <c r="C906" s="22"/>
      <c r="D906" s="22"/>
      <c r="E906" s="22"/>
      <c r="F906" s="22"/>
      <c r="G906" s="22"/>
      <c r="H906" s="22"/>
      <c r="I906" s="22"/>
      <c r="J906" s="22"/>
      <c r="K906" s="22"/>
      <c r="L906" s="22"/>
      <c r="M906" s="22"/>
      <c r="N906" s="22"/>
      <c r="O906" s="22"/>
      <c r="P906" s="22"/>
      <c r="Q906" s="22"/>
      <c r="R906" s="22"/>
      <c r="S906" s="22"/>
      <c r="T906" s="22"/>
      <c r="U906" s="22"/>
      <c r="V906" s="22"/>
      <c r="W906" s="22"/>
      <c r="X906" s="22"/>
      <c r="Y906" s="22"/>
      <c r="Z906" s="22"/>
    </row>
    <row r="907" spans="1:26" ht="16.149999999999999" customHeight="1" x14ac:dyDescent="0.25">
      <c r="A907" s="22"/>
      <c r="B907" s="22"/>
      <c r="C907" s="22"/>
      <c r="D907" s="22"/>
      <c r="E907" s="22"/>
      <c r="F907" s="22"/>
      <c r="G907" s="22"/>
      <c r="H907" s="22"/>
      <c r="I907" s="22"/>
      <c r="J907" s="22"/>
      <c r="K907" s="22"/>
      <c r="L907" s="22"/>
      <c r="M907" s="22"/>
      <c r="N907" s="22"/>
      <c r="O907" s="22"/>
      <c r="P907" s="22"/>
      <c r="Q907" s="22"/>
      <c r="R907" s="22"/>
      <c r="S907" s="22"/>
      <c r="T907" s="22"/>
      <c r="U907" s="22"/>
      <c r="V907" s="22"/>
      <c r="W907" s="22"/>
      <c r="X907" s="22"/>
      <c r="Y907" s="22"/>
      <c r="Z907" s="22"/>
    </row>
    <row r="908" spans="1:26" ht="16.149999999999999" customHeight="1" x14ac:dyDescent="0.25">
      <c r="A908" s="22"/>
      <c r="B908" s="22"/>
      <c r="C908" s="22"/>
      <c r="D908" s="22"/>
      <c r="E908" s="22"/>
      <c r="F908" s="22"/>
      <c r="G908" s="22"/>
      <c r="H908" s="22"/>
      <c r="I908" s="22"/>
      <c r="J908" s="22"/>
      <c r="K908" s="22"/>
      <c r="L908" s="22"/>
      <c r="M908" s="22"/>
      <c r="N908" s="22"/>
      <c r="O908" s="22"/>
      <c r="P908" s="22"/>
      <c r="Q908" s="22"/>
      <c r="R908" s="22"/>
      <c r="S908" s="22"/>
      <c r="T908" s="22"/>
      <c r="U908" s="22"/>
      <c r="V908" s="22"/>
      <c r="W908" s="22"/>
      <c r="X908" s="22"/>
      <c r="Y908" s="22"/>
      <c r="Z908" s="22"/>
    </row>
    <row r="909" spans="1:26" ht="16.149999999999999" customHeight="1" x14ac:dyDescent="0.25">
      <c r="A909" s="22"/>
      <c r="B909" s="22"/>
      <c r="C909" s="22"/>
      <c r="D909" s="22"/>
      <c r="E909" s="22"/>
      <c r="F909" s="22"/>
      <c r="G909" s="22"/>
      <c r="H909" s="22"/>
      <c r="I909" s="22"/>
      <c r="J909" s="22"/>
      <c r="K909" s="22"/>
      <c r="L909" s="22"/>
      <c r="M909" s="22"/>
      <c r="N909" s="22"/>
      <c r="O909" s="22"/>
      <c r="P909" s="22"/>
      <c r="Q909" s="22"/>
      <c r="R909" s="22"/>
      <c r="S909" s="22"/>
      <c r="T909" s="22"/>
      <c r="U909" s="22"/>
      <c r="V909" s="22"/>
      <c r="W909" s="22"/>
      <c r="X909" s="22"/>
      <c r="Y909" s="22"/>
      <c r="Z909" s="22"/>
    </row>
    <row r="910" spans="1:26" ht="16.149999999999999" customHeight="1" x14ac:dyDescent="0.25">
      <c r="A910" s="22"/>
      <c r="B910" s="22"/>
      <c r="C910" s="22"/>
      <c r="D910" s="22"/>
      <c r="E910" s="22"/>
      <c r="F910" s="22"/>
      <c r="G910" s="22"/>
      <c r="H910" s="22"/>
      <c r="I910" s="22"/>
      <c r="J910" s="22"/>
      <c r="K910" s="22"/>
      <c r="L910" s="22"/>
      <c r="M910" s="22"/>
      <c r="N910" s="22"/>
      <c r="O910" s="22"/>
      <c r="P910" s="22"/>
      <c r="Q910" s="22"/>
      <c r="R910" s="22"/>
      <c r="S910" s="22"/>
      <c r="T910" s="22"/>
      <c r="U910" s="22"/>
      <c r="V910" s="22"/>
      <c r="W910" s="22"/>
      <c r="X910" s="22"/>
      <c r="Y910" s="22"/>
      <c r="Z910" s="22"/>
    </row>
    <row r="911" spans="1:26" ht="16.149999999999999" customHeight="1" x14ac:dyDescent="0.25">
      <c r="A911" s="22"/>
      <c r="B911" s="22"/>
      <c r="C911" s="22"/>
      <c r="D911" s="22"/>
      <c r="E911" s="22"/>
      <c r="F911" s="22"/>
      <c r="G911" s="22"/>
      <c r="H911" s="22"/>
      <c r="I911" s="22"/>
      <c r="J911" s="22"/>
      <c r="K911" s="22"/>
      <c r="L911" s="22"/>
      <c r="M911" s="22"/>
      <c r="N911" s="22"/>
      <c r="O911" s="22"/>
      <c r="P911" s="22"/>
      <c r="Q911" s="22"/>
      <c r="R911" s="22"/>
      <c r="S911" s="22"/>
      <c r="T911" s="22"/>
      <c r="U911" s="22"/>
      <c r="V911" s="22"/>
      <c r="W911" s="22"/>
      <c r="X911" s="22"/>
      <c r="Y911" s="22"/>
      <c r="Z911" s="22"/>
    </row>
    <row r="912" spans="1:26" ht="16.149999999999999" customHeight="1" x14ac:dyDescent="0.25">
      <c r="A912" s="22"/>
      <c r="B912" s="22"/>
      <c r="C912" s="22"/>
      <c r="D912" s="22"/>
      <c r="E912" s="22"/>
      <c r="F912" s="22"/>
      <c r="G912" s="22"/>
      <c r="H912" s="22"/>
      <c r="I912" s="22"/>
      <c r="J912" s="22"/>
      <c r="K912" s="22"/>
      <c r="L912" s="22"/>
      <c r="M912" s="22"/>
      <c r="N912" s="22"/>
      <c r="O912" s="22"/>
      <c r="P912" s="22"/>
      <c r="Q912" s="22"/>
      <c r="R912" s="22"/>
      <c r="S912" s="22"/>
      <c r="T912" s="22"/>
      <c r="U912" s="22"/>
      <c r="V912" s="22"/>
      <c r="W912" s="22"/>
      <c r="X912" s="22"/>
      <c r="Y912" s="22"/>
      <c r="Z912" s="22"/>
    </row>
    <row r="913" spans="1:26" ht="16.149999999999999" customHeight="1" x14ac:dyDescent="0.25">
      <c r="A913" s="22"/>
      <c r="B913" s="22"/>
      <c r="C913" s="22"/>
      <c r="D913" s="22"/>
      <c r="E913" s="22"/>
      <c r="F913" s="22"/>
      <c r="G913" s="22"/>
      <c r="H913" s="22"/>
      <c r="I913" s="22"/>
      <c r="J913" s="22"/>
      <c r="K913" s="22"/>
      <c r="L913" s="22"/>
      <c r="M913" s="22"/>
      <c r="N913" s="22"/>
      <c r="O913" s="22"/>
      <c r="P913" s="22"/>
      <c r="Q913" s="22"/>
      <c r="R913" s="22"/>
      <c r="S913" s="22"/>
      <c r="T913" s="22"/>
      <c r="U913" s="22"/>
      <c r="V913" s="22"/>
      <c r="W913" s="22"/>
      <c r="X913" s="22"/>
      <c r="Y913" s="22"/>
      <c r="Z913" s="22"/>
    </row>
    <row r="914" spans="1:26" ht="16.149999999999999" customHeight="1" x14ac:dyDescent="0.25">
      <c r="A914" s="22"/>
      <c r="B914" s="22"/>
      <c r="C914" s="22"/>
      <c r="D914" s="22"/>
      <c r="E914" s="22"/>
      <c r="F914" s="22"/>
      <c r="G914" s="22"/>
      <c r="H914" s="22"/>
      <c r="I914" s="22"/>
      <c r="J914" s="22"/>
      <c r="K914" s="22"/>
      <c r="L914" s="22"/>
      <c r="M914" s="22"/>
      <c r="N914" s="22"/>
      <c r="O914" s="22"/>
      <c r="P914" s="22"/>
      <c r="Q914" s="22"/>
      <c r="R914" s="22"/>
      <c r="S914" s="22"/>
      <c r="T914" s="22"/>
      <c r="U914" s="22"/>
      <c r="V914" s="22"/>
      <c r="W914" s="22"/>
      <c r="X914" s="22"/>
      <c r="Y914" s="22"/>
      <c r="Z914" s="22"/>
    </row>
    <row r="915" spans="1:26" ht="16.149999999999999" customHeight="1" x14ac:dyDescent="0.25">
      <c r="A915" s="22"/>
      <c r="B915" s="22"/>
      <c r="C915" s="22"/>
      <c r="D915" s="22"/>
      <c r="E915" s="22"/>
      <c r="F915" s="22"/>
      <c r="G915" s="22"/>
      <c r="H915" s="22"/>
      <c r="I915" s="22"/>
      <c r="J915" s="22"/>
      <c r="K915" s="22"/>
      <c r="L915" s="22"/>
      <c r="M915" s="22"/>
      <c r="N915" s="22"/>
      <c r="O915" s="22"/>
      <c r="P915" s="22"/>
      <c r="Q915" s="22"/>
      <c r="R915" s="22"/>
      <c r="S915" s="22"/>
      <c r="T915" s="22"/>
      <c r="U915" s="22"/>
      <c r="V915" s="22"/>
      <c r="W915" s="22"/>
      <c r="X915" s="22"/>
      <c r="Y915" s="22"/>
      <c r="Z915" s="22"/>
    </row>
    <row r="916" spans="1:26" ht="16.149999999999999" customHeight="1" x14ac:dyDescent="0.25">
      <c r="A916" s="22"/>
      <c r="B916" s="22"/>
      <c r="C916" s="22"/>
      <c r="D916" s="22"/>
      <c r="E916" s="22"/>
      <c r="F916" s="22"/>
      <c r="G916" s="22"/>
      <c r="H916" s="22"/>
      <c r="I916" s="22"/>
      <c r="J916" s="22"/>
      <c r="K916" s="22"/>
      <c r="L916" s="22"/>
      <c r="M916" s="22"/>
      <c r="N916" s="22"/>
      <c r="O916" s="22"/>
      <c r="P916" s="22"/>
      <c r="Q916" s="22"/>
      <c r="R916" s="22"/>
      <c r="S916" s="22"/>
      <c r="T916" s="22"/>
      <c r="U916" s="22"/>
      <c r="V916" s="22"/>
      <c r="W916" s="22"/>
      <c r="X916" s="22"/>
      <c r="Y916" s="22"/>
      <c r="Z916" s="22"/>
    </row>
    <row r="917" spans="1:26" ht="16.149999999999999" customHeight="1" x14ac:dyDescent="0.25">
      <c r="A917" s="22"/>
      <c r="B917" s="22"/>
      <c r="C917" s="22"/>
      <c r="D917" s="22"/>
      <c r="E917" s="22"/>
      <c r="F917" s="22"/>
      <c r="G917" s="22"/>
      <c r="H917" s="22"/>
      <c r="I917" s="22"/>
      <c r="J917" s="22"/>
      <c r="K917" s="22"/>
      <c r="L917" s="22"/>
      <c r="M917" s="22"/>
      <c r="N917" s="22"/>
      <c r="O917" s="22"/>
      <c r="P917" s="22"/>
      <c r="Q917" s="22"/>
      <c r="R917" s="22"/>
      <c r="S917" s="22"/>
      <c r="T917" s="22"/>
      <c r="U917" s="22"/>
      <c r="V917" s="22"/>
      <c r="W917" s="22"/>
      <c r="X917" s="22"/>
      <c r="Y917" s="22"/>
      <c r="Z917" s="22"/>
    </row>
    <row r="918" spans="1:26" ht="16.149999999999999" customHeight="1" x14ac:dyDescent="0.25">
      <c r="A918" s="22"/>
      <c r="B918" s="22"/>
      <c r="C918" s="22"/>
      <c r="D918" s="22"/>
      <c r="E918" s="22"/>
      <c r="F918" s="22"/>
      <c r="G918" s="22"/>
      <c r="H918" s="22"/>
      <c r="I918" s="22"/>
      <c r="J918" s="22"/>
      <c r="K918" s="22"/>
      <c r="L918" s="22"/>
      <c r="M918" s="22"/>
      <c r="N918" s="22"/>
      <c r="O918" s="22"/>
      <c r="P918" s="22"/>
      <c r="Q918" s="22"/>
      <c r="R918" s="22"/>
      <c r="S918" s="22"/>
      <c r="T918" s="22"/>
      <c r="U918" s="22"/>
      <c r="V918" s="22"/>
      <c r="W918" s="22"/>
      <c r="X918" s="22"/>
      <c r="Y918" s="22"/>
      <c r="Z918" s="22"/>
    </row>
    <row r="919" spans="1:26" ht="16.149999999999999" customHeight="1" x14ac:dyDescent="0.25">
      <c r="A919" s="22"/>
      <c r="B919" s="22"/>
      <c r="C919" s="22"/>
      <c r="D919" s="22"/>
      <c r="E919" s="22"/>
      <c r="F919" s="22"/>
      <c r="G919" s="22"/>
      <c r="H919" s="22"/>
      <c r="I919" s="22"/>
      <c r="J919" s="22"/>
      <c r="K919" s="22"/>
      <c r="L919" s="22"/>
      <c r="M919" s="22"/>
      <c r="N919" s="22"/>
      <c r="O919" s="22"/>
      <c r="P919" s="22"/>
      <c r="Q919" s="22"/>
      <c r="R919" s="22"/>
      <c r="S919" s="22"/>
      <c r="T919" s="22"/>
      <c r="U919" s="22"/>
      <c r="V919" s="22"/>
      <c r="W919" s="22"/>
      <c r="X919" s="22"/>
      <c r="Y919" s="22"/>
      <c r="Z919" s="22"/>
    </row>
    <row r="920" spans="1:26" ht="16.149999999999999" customHeight="1" x14ac:dyDescent="0.25">
      <c r="A920" s="22"/>
      <c r="B920" s="22"/>
      <c r="C920" s="22"/>
      <c r="D920" s="22"/>
      <c r="E920" s="22"/>
      <c r="F920" s="22"/>
      <c r="G920" s="22"/>
      <c r="H920" s="22"/>
      <c r="I920" s="22"/>
      <c r="J920" s="22"/>
      <c r="K920" s="22"/>
      <c r="L920" s="22"/>
      <c r="M920" s="22"/>
      <c r="N920" s="22"/>
      <c r="O920" s="22"/>
      <c r="P920" s="22"/>
      <c r="Q920" s="22"/>
      <c r="R920" s="22"/>
      <c r="S920" s="22"/>
      <c r="T920" s="22"/>
      <c r="U920" s="22"/>
      <c r="V920" s="22"/>
      <c r="W920" s="22"/>
      <c r="X920" s="22"/>
      <c r="Y920" s="22"/>
      <c r="Z920" s="22"/>
    </row>
    <row r="921" spans="1:26" ht="16.149999999999999" customHeight="1" x14ac:dyDescent="0.25">
      <c r="A921" s="22"/>
      <c r="B921" s="22"/>
      <c r="C921" s="22"/>
      <c r="D921" s="22"/>
      <c r="E921" s="22"/>
      <c r="F921" s="22"/>
      <c r="G921" s="22"/>
      <c r="H921" s="22"/>
      <c r="I921" s="22"/>
      <c r="J921" s="22"/>
      <c r="K921" s="22"/>
      <c r="L921" s="22"/>
      <c r="M921" s="22"/>
      <c r="N921" s="22"/>
      <c r="O921" s="22"/>
      <c r="P921" s="22"/>
      <c r="Q921" s="22"/>
      <c r="R921" s="22"/>
      <c r="S921" s="22"/>
      <c r="T921" s="22"/>
      <c r="U921" s="22"/>
      <c r="V921" s="22"/>
      <c r="W921" s="22"/>
      <c r="X921" s="22"/>
      <c r="Y921" s="22"/>
      <c r="Z921" s="22"/>
    </row>
    <row r="922" spans="1:26" ht="16.149999999999999" customHeight="1" x14ac:dyDescent="0.25">
      <c r="A922" s="22"/>
      <c r="B922" s="22"/>
      <c r="C922" s="22"/>
      <c r="D922" s="22"/>
      <c r="E922" s="22"/>
      <c r="F922" s="22"/>
      <c r="G922" s="22"/>
      <c r="H922" s="22"/>
      <c r="I922" s="22"/>
      <c r="J922" s="22"/>
      <c r="K922" s="22"/>
      <c r="L922" s="22"/>
      <c r="M922" s="22"/>
      <c r="N922" s="22"/>
      <c r="O922" s="22"/>
      <c r="P922" s="22"/>
      <c r="Q922" s="22"/>
      <c r="R922" s="22"/>
      <c r="S922" s="22"/>
      <c r="T922" s="22"/>
      <c r="U922" s="22"/>
      <c r="V922" s="22"/>
      <c r="W922" s="22"/>
      <c r="X922" s="22"/>
      <c r="Y922" s="22"/>
      <c r="Z922" s="22"/>
    </row>
    <row r="923" spans="1:26" ht="16.149999999999999" customHeight="1" x14ac:dyDescent="0.25">
      <c r="A923" s="22"/>
      <c r="B923" s="22"/>
      <c r="C923" s="22"/>
      <c r="D923" s="22"/>
      <c r="E923" s="22"/>
      <c r="F923" s="22"/>
      <c r="G923" s="22"/>
      <c r="H923" s="22"/>
      <c r="I923" s="22"/>
      <c r="J923" s="22"/>
      <c r="K923" s="22"/>
      <c r="L923" s="22"/>
      <c r="M923" s="22"/>
      <c r="N923" s="22"/>
      <c r="O923" s="22"/>
      <c r="P923" s="22"/>
      <c r="Q923" s="22"/>
      <c r="R923" s="22"/>
      <c r="S923" s="22"/>
      <c r="T923" s="22"/>
      <c r="U923" s="22"/>
      <c r="V923" s="22"/>
      <c r="W923" s="22"/>
      <c r="X923" s="22"/>
      <c r="Y923" s="22"/>
      <c r="Z923" s="22"/>
    </row>
    <row r="924" spans="1:26" ht="16.149999999999999" customHeight="1" x14ac:dyDescent="0.25">
      <c r="A924" s="22"/>
      <c r="B924" s="22"/>
      <c r="C924" s="22"/>
      <c r="D924" s="22"/>
      <c r="E924" s="22"/>
      <c r="F924" s="22"/>
      <c r="G924" s="22"/>
      <c r="H924" s="22"/>
      <c r="I924" s="22"/>
      <c r="J924" s="22"/>
      <c r="K924" s="22"/>
      <c r="L924" s="22"/>
      <c r="M924" s="22"/>
      <c r="N924" s="22"/>
      <c r="O924" s="22"/>
      <c r="P924" s="22"/>
      <c r="Q924" s="22"/>
      <c r="R924" s="22"/>
      <c r="S924" s="22"/>
      <c r="T924" s="22"/>
      <c r="U924" s="22"/>
      <c r="V924" s="22"/>
      <c r="W924" s="22"/>
      <c r="X924" s="22"/>
      <c r="Y924" s="22"/>
      <c r="Z924" s="22"/>
    </row>
    <row r="925" spans="1:26" ht="16.149999999999999" customHeight="1" x14ac:dyDescent="0.25">
      <c r="A925" s="22"/>
      <c r="B925" s="22"/>
      <c r="C925" s="22"/>
      <c r="D925" s="22"/>
      <c r="E925" s="22"/>
      <c r="F925" s="22"/>
      <c r="G925" s="22"/>
      <c r="H925" s="22"/>
      <c r="I925" s="22"/>
      <c r="J925" s="22"/>
      <c r="K925" s="22"/>
      <c r="L925" s="22"/>
      <c r="M925" s="22"/>
      <c r="N925" s="22"/>
      <c r="O925" s="22"/>
      <c r="P925" s="22"/>
      <c r="Q925" s="22"/>
      <c r="R925" s="22"/>
      <c r="S925" s="22"/>
      <c r="T925" s="22"/>
      <c r="U925" s="22"/>
      <c r="V925" s="22"/>
      <c r="W925" s="22"/>
      <c r="X925" s="22"/>
      <c r="Y925" s="22"/>
      <c r="Z925" s="22"/>
    </row>
    <row r="926" spans="1:26" ht="16.149999999999999" customHeight="1" x14ac:dyDescent="0.25">
      <c r="A926" s="22"/>
      <c r="B926" s="22"/>
      <c r="C926" s="22"/>
      <c r="D926" s="22"/>
      <c r="E926" s="22"/>
      <c r="F926" s="22"/>
      <c r="G926" s="22"/>
      <c r="H926" s="22"/>
      <c r="I926" s="22"/>
      <c r="J926" s="22"/>
      <c r="K926" s="22"/>
      <c r="L926" s="22"/>
      <c r="M926" s="22"/>
      <c r="N926" s="22"/>
      <c r="O926" s="22"/>
      <c r="P926" s="22"/>
      <c r="Q926" s="22"/>
      <c r="R926" s="22"/>
      <c r="S926" s="22"/>
      <c r="T926" s="22"/>
      <c r="U926" s="22"/>
      <c r="V926" s="22"/>
      <c r="W926" s="22"/>
      <c r="X926" s="22"/>
      <c r="Y926" s="22"/>
      <c r="Z926" s="22"/>
    </row>
    <row r="927" spans="1:26" ht="16.149999999999999" customHeight="1" x14ac:dyDescent="0.25">
      <c r="A927" s="22"/>
      <c r="B927" s="22"/>
      <c r="C927" s="22"/>
      <c r="D927" s="22"/>
      <c r="E927" s="22"/>
      <c r="F927" s="22"/>
      <c r="G927" s="22"/>
      <c r="H927" s="22"/>
      <c r="I927" s="22"/>
      <c r="J927" s="22"/>
      <c r="K927" s="22"/>
      <c r="L927" s="22"/>
      <c r="M927" s="22"/>
      <c r="N927" s="22"/>
      <c r="O927" s="22"/>
      <c r="P927" s="22"/>
      <c r="Q927" s="22"/>
      <c r="R927" s="22"/>
      <c r="S927" s="22"/>
      <c r="T927" s="22"/>
      <c r="U927" s="22"/>
      <c r="V927" s="22"/>
      <c r="W927" s="22"/>
      <c r="X927" s="22"/>
      <c r="Y927" s="22"/>
      <c r="Z927" s="22"/>
    </row>
    <row r="928" spans="1:26" ht="16.149999999999999" customHeight="1" x14ac:dyDescent="0.25">
      <c r="A928" s="22"/>
      <c r="B928" s="22"/>
      <c r="C928" s="22"/>
      <c r="D928" s="22"/>
      <c r="E928" s="22"/>
      <c r="F928" s="22"/>
      <c r="G928" s="22"/>
      <c r="H928" s="22"/>
      <c r="I928" s="22"/>
      <c r="J928" s="22"/>
      <c r="K928" s="22"/>
      <c r="L928" s="22"/>
      <c r="M928" s="22"/>
      <c r="N928" s="22"/>
      <c r="O928" s="22"/>
      <c r="P928" s="22"/>
      <c r="Q928" s="22"/>
      <c r="R928" s="22"/>
      <c r="S928" s="22"/>
      <c r="T928" s="22"/>
      <c r="U928" s="22"/>
      <c r="V928" s="22"/>
      <c r="W928" s="22"/>
      <c r="X928" s="22"/>
      <c r="Y928" s="22"/>
      <c r="Z928" s="22"/>
    </row>
    <row r="929" spans="1:26" ht="16.149999999999999" customHeight="1" x14ac:dyDescent="0.25">
      <c r="A929" s="22"/>
      <c r="B929" s="22"/>
      <c r="C929" s="22"/>
      <c r="D929" s="22"/>
      <c r="E929" s="22"/>
      <c r="F929" s="22"/>
      <c r="G929" s="22"/>
      <c r="H929" s="22"/>
      <c r="I929" s="22"/>
      <c r="J929" s="22"/>
      <c r="K929" s="22"/>
      <c r="L929" s="22"/>
      <c r="M929" s="22"/>
      <c r="N929" s="22"/>
      <c r="O929" s="22"/>
      <c r="P929" s="22"/>
      <c r="Q929" s="22"/>
      <c r="R929" s="22"/>
      <c r="S929" s="22"/>
      <c r="T929" s="22"/>
      <c r="U929" s="22"/>
      <c r="V929" s="22"/>
      <c r="W929" s="22"/>
      <c r="X929" s="22"/>
      <c r="Y929" s="22"/>
      <c r="Z929" s="22"/>
    </row>
    <row r="930" spans="1:26" ht="16.149999999999999" customHeight="1" x14ac:dyDescent="0.25">
      <c r="A930" s="22"/>
      <c r="B930" s="22"/>
      <c r="C930" s="22"/>
      <c r="D930" s="22"/>
      <c r="E930" s="22"/>
      <c r="F930" s="22"/>
      <c r="G930" s="22"/>
      <c r="H930" s="22"/>
      <c r="I930" s="22"/>
      <c r="J930" s="22"/>
      <c r="K930" s="22"/>
      <c r="L930" s="22"/>
      <c r="M930" s="22"/>
      <c r="N930" s="22"/>
      <c r="O930" s="22"/>
      <c r="P930" s="22"/>
      <c r="Q930" s="22"/>
      <c r="R930" s="22"/>
      <c r="S930" s="22"/>
      <c r="T930" s="22"/>
      <c r="U930" s="22"/>
      <c r="V930" s="22"/>
      <c r="W930" s="22"/>
      <c r="X930" s="22"/>
      <c r="Y930" s="22"/>
      <c r="Z930" s="22"/>
    </row>
    <row r="931" spans="1:26" ht="16.149999999999999" customHeight="1" x14ac:dyDescent="0.25">
      <c r="A931" s="22"/>
      <c r="B931" s="22"/>
      <c r="C931" s="22"/>
      <c r="D931" s="22"/>
      <c r="E931" s="22"/>
      <c r="F931" s="22"/>
      <c r="G931" s="22"/>
      <c r="H931" s="22"/>
      <c r="I931" s="22"/>
      <c r="J931" s="22"/>
      <c r="K931" s="22"/>
      <c r="L931" s="22"/>
      <c r="M931" s="22"/>
      <c r="N931" s="22"/>
      <c r="O931" s="22"/>
      <c r="P931" s="22"/>
      <c r="Q931" s="22"/>
      <c r="R931" s="22"/>
      <c r="S931" s="22"/>
      <c r="T931" s="22"/>
      <c r="U931" s="22"/>
      <c r="V931" s="22"/>
      <c r="W931" s="22"/>
      <c r="X931" s="22"/>
      <c r="Y931" s="22"/>
      <c r="Z931" s="22"/>
    </row>
    <row r="932" spans="1:26" ht="16.149999999999999" customHeight="1" x14ac:dyDescent="0.25">
      <c r="A932" s="22"/>
      <c r="B932" s="22"/>
      <c r="C932" s="22"/>
      <c r="D932" s="22"/>
      <c r="E932" s="22"/>
      <c r="F932" s="22"/>
      <c r="G932" s="22"/>
      <c r="H932" s="22"/>
      <c r="I932" s="22"/>
      <c r="J932" s="22"/>
      <c r="K932" s="22"/>
      <c r="L932" s="22"/>
      <c r="M932" s="22"/>
      <c r="N932" s="22"/>
      <c r="O932" s="22"/>
      <c r="P932" s="22"/>
      <c r="Q932" s="22"/>
      <c r="R932" s="22"/>
      <c r="S932" s="22"/>
      <c r="T932" s="22"/>
      <c r="U932" s="22"/>
      <c r="V932" s="22"/>
      <c r="W932" s="22"/>
      <c r="X932" s="22"/>
      <c r="Y932" s="22"/>
      <c r="Z932" s="22"/>
    </row>
    <row r="933" spans="1:26" ht="16.149999999999999" customHeight="1" x14ac:dyDescent="0.25">
      <c r="A933" s="22"/>
      <c r="B933" s="22"/>
      <c r="C933" s="22"/>
      <c r="D933" s="22"/>
      <c r="E933" s="22"/>
      <c r="F933" s="22"/>
      <c r="G933" s="22"/>
      <c r="H933" s="22"/>
      <c r="I933" s="22"/>
      <c r="J933" s="22"/>
      <c r="K933" s="22"/>
      <c r="L933" s="22"/>
      <c r="M933" s="22"/>
      <c r="N933" s="22"/>
      <c r="O933" s="22"/>
      <c r="P933" s="22"/>
      <c r="Q933" s="22"/>
      <c r="R933" s="22"/>
      <c r="S933" s="22"/>
      <c r="T933" s="22"/>
      <c r="U933" s="22"/>
      <c r="V933" s="22"/>
      <c r="W933" s="22"/>
      <c r="X933" s="22"/>
      <c r="Y933" s="22"/>
      <c r="Z933" s="22"/>
    </row>
    <row r="934" spans="1:26" ht="16.149999999999999" customHeight="1" x14ac:dyDescent="0.25">
      <c r="A934" s="22"/>
      <c r="B934" s="22"/>
      <c r="C934" s="22"/>
      <c r="D934" s="22"/>
      <c r="E934" s="22"/>
      <c r="F934" s="22"/>
      <c r="G934" s="22"/>
      <c r="H934" s="22"/>
      <c r="I934" s="22"/>
      <c r="J934" s="22"/>
      <c r="K934" s="22"/>
      <c r="L934" s="22"/>
      <c r="M934" s="22"/>
      <c r="N934" s="22"/>
      <c r="O934" s="22"/>
      <c r="P934" s="22"/>
      <c r="Q934" s="22"/>
      <c r="R934" s="22"/>
      <c r="S934" s="22"/>
      <c r="T934" s="22"/>
      <c r="U934" s="22"/>
      <c r="V934" s="22"/>
      <c r="W934" s="22"/>
      <c r="X934" s="22"/>
      <c r="Y934" s="22"/>
      <c r="Z934" s="22"/>
    </row>
    <row r="935" spans="1:26" ht="16.149999999999999" customHeight="1" x14ac:dyDescent="0.25">
      <c r="A935" s="22"/>
      <c r="B935" s="22"/>
      <c r="C935" s="22"/>
      <c r="D935" s="22"/>
      <c r="E935" s="22"/>
      <c r="F935" s="22"/>
      <c r="G935" s="22"/>
      <c r="H935" s="22"/>
      <c r="I935" s="22"/>
      <c r="J935" s="22"/>
      <c r="K935" s="22"/>
      <c r="L935" s="22"/>
      <c r="M935" s="22"/>
      <c r="N935" s="22"/>
      <c r="O935" s="22"/>
      <c r="P935" s="22"/>
      <c r="Q935" s="22"/>
      <c r="R935" s="22"/>
      <c r="S935" s="22"/>
      <c r="T935" s="22"/>
      <c r="U935" s="22"/>
      <c r="V935" s="22"/>
      <c r="W935" s="22"/>
      <c r="X935" s="22"/>
      <c r="Y935" s="22"/>
      <c r="Z935" s="22"/>
    </row>
    <row r="936" spans="1:26" ht="16.149999999999999" customHeight="1" x14ac:dyDescent="0.25">
      <c r="A936" s="22"/>
      <c r="B936" s="22"/>
      <c r="C936" s="22"/>
      <c r="D936" s="22"/>
      <c r="E936" s="22"/>
      <c r="F936" s="22"/>
      <c r="G936" s="22"/>
      <c r="H936" s="22"/>
      <c r="I936" s="22"/>
      <c r="J936" s="22"/>
      <c r="K936" s="22"/>
      <c r="L936" s="22"/>
      <c r="M936" s="22"/>
      <c r="N936" s="22"/>
      <c r="O936" s="22"/>
      <c r="P936" s="22"/>
      <c r="Q936" s="22"/>
      <c r="R936" s="22"/>
      <c r="S936" s="22"/>
      <c r="T936" s="22"/>
      <c r="U936" s="22"/>
      <c r="V936" s="22"/>
      <c r="W936" s="22"/>
      <c r="X936" s="22"/>
      <c r="Y936" s="22"/>
      <c r="Z936" s="22"/>
    </row>
    <row r="937" spans="1:26" ht="16.149999999999999" customHeight="1" x14ac:dyDescent="0.25">
      <c r="A937" s="22"/>
      <c r="B937" s="22"/>
      <c r="C937" s="22"/>
      <c r="D937" s="22"/>
      <c r="E937" s="22"/>
      <c r="F937" s="22"/>
      <c r="G937" s="22"/>
      <c r="H937" s="22"/>
      <c r="I937" s="22"/>
      <c r="J937" s="22"/>
      <c r="K937" s="22"/>
      <c r="L937" s="22"/>
      <c r="M937" s="22"/>
      <c r="N937" s="22"/>
      <c r="O937" s="22"/>
      <c r="P937" s="22"/>
      <c r="Q937" s="22"/>
      <c r="R937" s="22"/>
      <c r="S937" s="22"/>
      <c r="T937" s="22"/>
      <c r="U937" s="22"/>
      <c r="V937" s="22"/>
      <c r="W937" s="22"/>
      <c r="X937" s="22"/>
      <c r="Y937" s="22"/>
      <c r="Z937" s="22"/>
    </row>
    <row r="938" spans="1:26" ht="16.149999999999999" customHeight="1" x14ac:dyDescent="0.25">
      <c r="A938" s="22"/>
      <c r="B938" s="22"/>
      <c r="C938" s="22"/>
      <c r="D938" s="22"/>
      <c r="E938" s="22"/>
      <c r="F938" s="22"/>
      <c r="G938" s="22"/>
      <c r="H938" s="22"/>
      <c r="I938" s="22"/>
      <c r="J938" s="22"/>
      <c r="K938" s="22"/>
      <c r="L938" s="22"/>
      <c r="M938" s="22"/>
      <c r="N938" s="22"/>
      <c r="O938" s="22"/>
      <c r="P938" s="22"/>
      <c r="Q938" s="22"/>
      <c r="R938" s="22"/>
      <c r="S938" s="22"/>
      <c r="T938" s="22"/>
      <c r="U938" s="22"/>
      <c r="V938" s="22"/>
      <c r="W938" s="22"/>
      <c r="X938" s="22"/>
      <c r="Y938" s="22"/>
      <c r="Z938" s="22"/>
    </row>
    <row r="939" spans="1:26" ht="16.149999999999999" customHeight="1" x14ac:dyDescent="0.25">
      <c r="A939" s="22"/>
      <c r="B939" s="22"/>
      <c r="C939" s="22"/>
      <c r="D939" s="22"/>
      <c r="E939" s="22"/>
      <c r="F939" s="22"/>
      <c r="G939" s="22"/>
      <c r="H939" s="22"/>
      <c r="I939" s="22"/>
      <c r="J939" s="22"/>
      <c r="K939" s="22"/>
      <c r="L939" s="22"/>
      <c r="M939" s="22"/>
      <c r="N939" s="22"/>
      <c r="O939" s="22"/>
      <c r="P939" s="22"/>
      <c r="Q939" s="22"/>
      <c r="R939" s="22"/>
      <c r="S939" s="22"/>
      <c r="T939" s="22"/>
      <c r="U939" s="22"/>
      <c r="V939" s="22"/>
      <c r="W939" s="22"/>
      <c r="X939" s="22"/>
      <c r="Y939" s="22"/>
      <c r="Z939" s="22"/>
    </row>
    <row r="940" spans="1:26" ht="16.149999999999999" customHeight="1" x14ac:dyDescent="0.25">
      <c r="A940" s="22"/>
      <c r="B940" s="22"/>
      <c r="C940" s="22"/>
      <c r="D940" s="22"/>
      <c r="E940" s="22"/>
      <c r="F940" s="22"/>
      <c r="G940" s="22"/>
      <c r="H940" s="22"/>
      <c r="I940" s="22"/>
      <c r="J940" s="22"/>
      <c r="K940" s="22"/>
      <c r="L940" s="22"/>
      <c r="M940" s="22"/>
      <c r="N940" s="22"/>
      <c r="O940" s="22"/>
      <c r="P940" s="22"/>
      <c r="Q940" s="22"/>
      <c r="R940" s="22"/>
      <c r="S940" s="22"/>
      <c r="T940" s="22"/>
      <c r="U940" s="22"/>
      <c r="V940" s="22"/>
      <c r="W940" s="22"/>
      <c r="X940" s="22"/>
      <c r="Y940" s="22"/>
      <c r="Z940" s="22"/>
    </row>
    <row r="941" spans="1:26" ht="16.149999999999999" customHeight="1" x14ac:dyDescent="0.25">
      <c r="A941" s="22"/>
      <c r="B941" s="22"/>
      <c r="C941" s="22"/>
      <c r="D941" s="22"/>
      <c r="E941" s="22"/>
      <c r="F941" s="22"/>
      <c r="G941" s="22"/>
      <c r="H941" s="22"/>
      <c r="I941" s="22"/>
      <c r="J941" s="22"/>
      <c r="K941" s="22"/>
      <c r="L941" s="22"/>
      <c r="M941" s="22"/>
      <c r="N941" s="22"/>
      <c r="O941" s="22"/>
      <c r="P941" s="22"/>
      <c r="Q941" s="22"/>
      <c r="R941" s="22"/>
      <c r="S941" s="22"/>
      <c r="T941" s="22"/>
      <c r="U941" s="22"/>
      <c r="V941" s="22"/>
      <c r="W941" s="22"/>
      <c r="X941" s="22"/>
      <c r="Y941" s="22"/>
      <c r="Z941" s="22"/>
    </row>
    <row r="942" spans="1:26" ht="16.149999999999999" customHeight="1" x14ac:dyDescent="0.25">
      <c r="A942" s="22"/>
      <c r="B942" s="22"/>
      <c r="C942" s="22"/>
      <c r="D942" s="22"/>
      <c r="E942" s="22"/>
      <c r="F942" s="22"/>
      <c r="G942" s="22"/>
      <c r="H942" s="22"/>
      <c r="I942" s="22"/>
      <c r="J942" s="22"/>
      <c r="K942" s="22"/>
      <c r="L942" s="22"/>
      <c r="M942" s="22"/>
      <c r="N942" s="22"/>
      <c r="O942" s="22"/>
      <c r="P942" s="22"/>
      <c r="Q942" s="22"/>
      <c r="R942" s="22"/>
      <c r="S942" s="22"/>
      <c r="T942" s="22"/>
      <c r="U942" s="22"/>
      <c r="V942" s="22"/>
      <c r="W942" s="22"/>
      <c r="X942" s="22"/>
      <c r="Y942" s="22"/>
      <c r="Z942" s="22"/>
    </row>
    <row r="943" spans="1:26" ht="16.149999999999999" customHeight="1" x14ac:dyDescent="0.25">
      <c r="A943" s="22"/>
      <c r="B943" s="22"/>
      <c r="C943" s="22"/>
      <c r="D943" s="22"/>
      <c r="E943" s="22"/>
      <c r="F943" s="22"/>
      <c r="G943" s="22"/>
      <c r="H943" s="22"/>
      <c r="I943" s="22"/>
      <c r="J943" s="22"/>
      <c r="K943" s="22"/>
      <c r="L943" s="22"/>
      <c r="M943" s="22"/>
      <c r="N943" s="22"/>
      <c r="O943" s="22"/>
      <c r="P943" s="22"/>
      <c r="Q943" s="22"/>
      <c r="R943" s="22"/>
      <c r="S943" s="22"/>
      <c r="T943" s="22"/>
      <c r="U943" s="22"/>
      <c r="V943" s="22"/>
      <c r="W943" s="22"/>
      <c r="X943" s="22"/>
      <c r="Y943" s="22"/>
      <c r="Z943" s="22"/>
    </row>
    <row r="944" spans="1:26" ht="16.149999999999999" customHeight="1" x14ac:dyDescent="0.25">
      <c r="A944" s="22"/>
      <c r="B944" s="22"/>
      <c r="C944" s="22"/>
      <c r="D944" s="22"/>
      <c r="E944" s="22"/>
      <c r="F944" s="22"/>
      <c r="G944" s="22"/>
      <c r="H944" s="22"/>
      <c r="I944" s="22"/>
      <c r="J944" s="22"/>
      <c r="K944" s="22"/>
      <c r="L944" s="22"/>
      <c r="M944" s="22"/>
      <c r="N944" s="22"/>
      <c r="O944" s="22"/>
      <c r="P944" s="22"/>
      <c r="Q944" s="22"/>
      <c r="R944" s="22"/>
      <c r="S944" s="22"/>
      <c r="T944" s="22"/>
      <c r="U944" s="22"/>
      <c r="V944" s="22"/>
      <c r="W944" s="22"/>
      <c r="X944" s="22"/>
      <c r="Y944" s="22"/>
      <c r="Z944" s="22"/>
    </row>
    <row r="945" spans="1:26" ht="16.149999999999999" customHeight="1" x14ac:dyDescent="0.25">
      <c r="A945" s="22"/>
      <c r="B945" s="22"/>
      <c r="C945" s="22"/>
      <c r="D945" s="22"/>
      <c r="E945" s="22"/>
      <c r="F945" s="22"/>
      <c r="G945" s="22"/>
      <c r="H945" s="22"/>
      <c r="I945" s="22"/>
      <c r="J945" s="22"/>
      <c r="K945" s="22"/>
      <c r="L945" s="22"/>
      <c r="M945" s="22"/>
      <c r="N945" s="22"/>
      <c r="O945" s="22"/>
      <c r="P945" s="22"/>
      <c r="Q945" s="22"/>
      <c r="R945" s="22"/>
      <c r="S945" s="22"/>
      <c r="T945" s="22"/>
      <c r="U945" s="22"/>
      <c r="V945" s="22"/>
      <c r="W945" s="22"/>
      <c r="X945" s="22"/>
      <c r="Y945" s="22"/>
      <c r="Z945" s="22"/>
    </row>
    <row r="946" spans="1:26" ht="16.149999999999999" customHeight="1" x14ac:dyDescent="0.25">
      <c r="A946" s="22"/>
      <c r="B946" s="22"/>
      <c r="C946" s="22"/>
      <c r="D946" s="22"/>
      <c r="E946" s="22"/>
      <c r="F946" s="22"/>
      <c r="G946" s="22"/>
      <c r="H946" s="22"/>
      <c r="I946" s="22"/>
      <c r="J946" s="22"/>
      <c r="K946" s="22"/>
      <c r="L946" s="22"/>
      <c r="M946" s="22"/>
      <c r="N946" s="22"/>
      <c r="O946" s="22"/>
      <c r="P946" s="22"/>
      <c r="Q946" s="22"/>
      <c r="R946" s="22"/>
      <c r="S946" s="22"/>
      <c r="T946" s="22"/>
      <c r="U946" s="22"/>
      <c r="V946" s="22"/>
      <c r="W946" s="22"/>
      <c r="X946" s="22"/>
      <c r="Y946" s="22"/>
      <c r="Z946" s="22"/>
    </row>
    <row r="947" spans="1:26" ht="16.149999999999999" customHeight="1" x14ac:dyDescent="0.25">
      <c r="A947" s="22"/>
      <c r="B947" s="22"/>
      <c r="C947" s="22"/>
      <c r="D947" s="22"/>
      <c r="E947" s="22"/>
      <c r="F947" s="22"/>
      <c r="G947" s="22"/>
      <c r="H947" s="22"/>
      <c r="I947" s="22"/>
      <c r="J947" s="22"/>
      <c r="K947" s="22"/>
      <c r="L947" s="22"/>
      <c r="M947" s="22"/>
      <c r="N947" s="22"/>
      <c r="O947" s="22"/>
      <c r="P947" s="22"/>
      <c r="Q947" s="22"/>
      <c r="R947" s="22"/>
      <c r="S947" s="22"/>
      <c r="T947" s="22"/>
      <c r="U947" s="22"/>
      <c r="V947" s="22"/>
      <c r="W947" s="22"/>
      <c r="X947" s="22"/>
      <c r="Y947" s="22"/>
      <c r="Z947" s="22"/>
    </row>
    <row r="948" spans="1:26" ht="16.149999999999999" customHeight="1" x14ac:dyDescent="0.25">
      <c r="A948" s="22"/>
      <c r="B948" s="22"/>
      <c r="C948" s="22"/>
      <c r="D948" s="22"/>
      <c r="E948" s="22"/>
      <c r="F948" s="22"/>
      <c r="G948" s="22"/>
      <c r="H948" s="22"/>
      <c r="I948" s="22"/>
      <c r="J948" s="22"/>
      <c r="K948" s="22"/>
      <c r="L948" s="22"/>
      <c r="M948" s="22"/>
      <c r="N948" s="22"/>
      <c r="O948" s="22"/>
      <c r="P948" s="22"/>
      <c r="Q948" s="22"/>
      <c r="R948" s="22"/>
      <c r="S948" s="22"/>
      <c r="T948" s="22"/>
      <c r="U948" s="22"/>
      <c r="V948" s="22"/>
      <c r="W948" s="22"/>
      <c r="X948" s="22"/>
      <c r="Y948" s="22"/>
      <c r="Z948" s="22"/>
    </row>
    <row r="949" spans="1:26" ht="16.149999999999999" customHeight="1" x14ac:dyDescent="0.25">
      <c r="A949" s="22"/>
      <c r="B949" s="22"/>
      <c r="C949" s="22"/>
      <c r="D949" s="22"/>
      <c r="E949" s="22"/>
      <c r="F949" s="22"/>
      <c r="G949" s="22"/>
      <c r="H949" s="22"/>
      <c r="I949" s="22"/>
      <c r="J949" s="22"/>
      <c r="K949" s="22"/>
      <c r="L949" s="22"/>
      <c r="M949" s="22"/>
      <c r="N949" s="22"/>
      <c r="O949" s="22"/>
      <c r="P949" s="22"/>
      <c r="Q949" s="22"/>
      <c r="R949" s="22"/>
      <c r="S949" s="22"/>
      <c r="T949" s="22"/>
      <c r="U949" s="22"/>
      <c r="V949" s="22"/>
      <c r="W949" s="22"/>
      <c r="X949" s="22"/>
      <c r="Y949" s="22"/>
      <c r="Z949" s="22"/>
    </row>
    <row r="950" spans="1:26" ht="16.149999999999999" customHeight="1" x14ac:dyDescent="0.25">
      <c r="A950" s="22"/>
      <c r="B950" s="22"/>
      <c r="C950" s="22"/>
      <c r="D950" s="22"/>
      <c r="E950" s="22"/>
      <c r="F950" s="22"/>
      <c r="G950" s="22"/>
      <c r="H950" s="22"/>
      <c r="I950" s="22"/>
      <c r="J950" s="22"/>
      <c r="K950" s="22"/>
      <c r="L950" s="22"/>
      <c r="M950" s="22"/>
      <c r="N950" s="22"/>
      <c r="O950" s="22"/>
      <c r="P950" s="22"/>
      <c r="Q950" s="22"/>
      <c r="R950" s="22"/>
      <c r="S950" s="22"/>
      <c r="T950" s="22"/>
      <c r="U950" s="22"/>
      <c r="V950" s="22"/>
      <c r="W950" s="22"/>
      <c r="X950" s="22"/>
      <c r="Y950" s="22"/>
      <c r="Z950" s="22"/>
    </row>
    <row r="951" spans="1:26" ht="16.149999999999999" customHeight="1" x14ac:dyDescent="0.25">
      <c r="A951" s="22"/>
      <c r="B951" s="22"/>
      <c r="C951" s="22"/>
      <c r="D951" s="22"/>
      <c r="E951" s="22"/>
      <c r="F951" s="22"/>
      <c r="G951" s="22"/>
      <c r="H951" s="22"/>
      <c r="I951" s="22"/>
      <c r="J951" s="22"/>
      <c r="K951" s="22"/>
      <c r="L951" s="22"/>
      <c r="M951" s="22"/>
      <c r="N951" s="22"/>
      <c r="O951" s="22"/>
      <c r="P951" s="22"/>
      <c r="Q951" s="22"/>
      <c r="R951" s="22"/>
      <c r="S951" s="22"/>
      <c r="T951" s="22"/>
      <c r="U951" s="22"/>
      <c r="V951" s="22"/>
      <c r="W951" s="22"/>
      <c r="X951" s="22"/>
      <c r="Y951" s="22"/>
      <c r="Z951" s="22"/>
    </row>
    <row r="952" spans="1:26" ht="16.149999999999999" customHeight="1" x14ac:dyDescent="0.25">
      <c r="A952" s="22"/>
      <c r="B952" s="22"/>
      <c r="C952" s="22"/>
      <c r="D952" s="22"/>
      <c r="E952" s="22"/>
      <c r="F952" s="22"/>
      <c r="G952" s="22"/>
      <c r="H952" s="22"/>
      <c r="I952" s="22"/>
      <c r="J952" s="22"/>
      <c r="K952" s="22"/>
      <c r="L952" s="22"/>
      <c r="M952" s="22"/>
      <c r="N952" s="22"/>
      <c r="O952" s="22"/>
      <c r="P952" s="22"/>
      <c r="Q952" s="22"/>
      <c r="R952" s="22"/>
      <c r="S952" s="22"/>
      <c r="T952" s="22"/>
      <c r="U952" s="22"/>
      <c r="V952" s="22"/>
      <c r="W952" s="22"/>
      <c r="X952" s="22"/>
      <c r="Y952" s="22"/>
      <c r="Z952" s="22"/>
    </row>
    <row r="953" spans="1:26" ht="16.149999999999999" customHeight="1" x14ac:dyDescent="0.25">
      <c r="A953" s="22"/>
      <c r="B953" s="22"/>
      <c r="C953" s="22"/>
      <c r="D953" s="22"/>
      <c r="E953" s="22"/>
      <c r="F953" s="22"/>
      <c r="G953" s="22"/>
      <c r="H953" s="22"/>
      <c r="I953" s="22"/>
      <c r="J953" s="22"/>
      <c r="K953" s="22"/>
      <c r="L953" s="22"/>
      <c r="M953" s="22"/>
      <c r="N953" s="22"/>
      <c r="O953" s="22"/>
      <c r="P953" s="22"/>
      <c r="Q953" s="22"/>
      <c r="R953" s="22"/>
      <c r="S953" s="22"/>
      <c r="T953" s="22"/>
      <c r="U953" s="22"/>
      <c r="V953" s="22"/>
      <c r="W953" s="22"/>
      <c r="X953" s="22"/>
      <c r="Y953" s="22"/>
      <c r="Z953" s="22"/>
    </row>
    <row r="954" spans="1:26" ht="16.149999999999999" customHeight="1" x14ac:dyDescent="0.25">
      <c r="A954" s="22"/>
      <c r="B954" s="22"/>
      <c r="C954" s="22"/>
      <c r="D954" s="22"/>
      <c r="E954" s="22"/>
      <c r="F954" s="22"/>
      <c r="G954" s="22"/>
      <c r="H954" s="22"/>
      <c r="I954" s="22"/>
      <c r="J954" s="22"/>
      <c r="K954" s="22"/>
      <c r="L954" s="22"/>
      <c r="M954" s="22"/>
      <c r="N954" s="22"/>
      <c r="O954" s="22"/>
      <c r="P954" s="22"/>
      <c r="Q954" s="22"/>
      <c r="R954" s="22"/>
      <c r="S954" s="22"/>
      <c r="T954" s="22"/>
      <c r="U954" s="22"/>
      <c r="V954" s="22"/>
      <c r="W954" s="22"/>
      <c r="X954" s="22"/>
      <c r="Y954" s="22"/>
      <c r="Z954" s="22"/>
    </row>
    <row r="955" spans="1:26" ht="16.149999999999999" customHeight="1" x14ac:dyDescent="0.25">
      <c r="A955" s="22"/>
      <c r="B955" s="22"/>
      <c r="C955" s="22"/>
      <c r="D955" s="22"/>
      <c r="E955" s="22"/>
      <c r="F955" s="22"/>
      <c r="G955" s="22"/>
      <c r="H955" s="22"/>
      <c r="I955" s="22"/>
      <c r="J955" s="22"/>
      <c r="K955" s="22"/>
      <c r="L955" s="22"/>
      <c r="M955" s="22"/>
      <c r="N955" s="22"/>
      <c r="O955" s="22"/>
      <c r="P955" s="22"/>
      <c r="Q955" s="22"/>
      <c r="R955" s="22"/>
      <c r="S955" s="22"/>
      <c r="T955" s="22"/>
      <c r="U955" s="22"/>
      <c r="V955" s="22"/>
      <c r="W955" s="22"/>
      <c r="X955" s="22"/>
      <c r="Y955" s="22"/>
      <c r="Z955" s="22"/>
    </row>
    <row r="956" spans="1:26" ht="16.149999999999999" customHeight="1" x14ac:dyDescent="0.25">
      <c r="A956" s="22"/>
      <c r="B956" s="22"/>
      <c r="C956" s="22"/>
      <c r="D956" s="22"/>
      <c r="E956" s="22"/>
      <c r="F956" s="22"/>
      <c r="G956" s="22"/>
      <c r="H956" s="22"/>
      <c r="I956" s="22"/>
      <c r="J956" s="22"/>
      <c r="K956" s="22"/>
      <c r="L956" s="22"/>
      <c r="M956" s="22"/>
      <c r="N956" s="22"/>
      <c r="O956" s="22"/>
      <c r="P956" s="22"/>
      <c r="Q956" s="22"/>
      <c r="R956" s="22"/>
      <c r="S956" s="22"/>
      <c r="T956" s="22"/>
      <c r="U956" s="22"/>
      <c r="V956" s="22"/>
      <c r="W956" s="22"/>
      <c r="X956" s="22"/>
      <c r="Y956" s="22"/>
      <c r="Z956" s="22"/>
    </row>
    <row r="957" spans="1:26" ht="16.149999999999999" customHeight="1" x14ac:dyDescent="0.25">
      <c r="A957" s="22"/>
      <c r="B957" s="22"/>
      <c r="C957" s="22"/>
      <c r="D957" s="22"/>
      <c r="E957" s="22"/>
      <c r="F957" s="22"/>
      <c r="G957" s="22"/>
      <c r="H957" s="22"/>
      <c r="I957" s="22"/>
      <c r="J957" s="22"/>
      <c r="K957" s="22"/>
      <c r="L957" s="22"/>
      <c r="M957" s="22"/>
      <c r="N957" s="22"/>
      <c r="O957" s="22"/>
      <c r="P957" s="22"/>
      <c r="Q957" s="22"/>
      <c r="R957" s="22"/>
      <c r="S957" s="22"/>
      <c r="T957" s="22"/>
      <c r="U957" s="22"/>
      <c r="V957" s="22"/>
      <c r="W957" s="22"/>
      <c r="X957" s="22"/>
      <c r="Y957" s="22"/>
      <c r="Z957" s="22"/>
    </row>
    <row r="958" spans="1:26" ht="16.149999999999999" customHeight="1" x14ac:dyDescent="0.25">
      <c r="A958" s="22"/>
      <c r="B958" s="22"/>
      <c r="C958" s="22"/>
      <c r="D958" s="22"/>
      <c r="E958" s="22"/>
      <c r="F958" s="22"/>
      <c r="G958" s="22"/>
      <c r="H958" s="22"/>
      <c r="I958" s="22"/>
      <c r="J958" s="22"/>
      <c r="K958" s="22"/>
      <c r="L958" s="22"/>
      <c r="M958" s="22"/>
      <c r="N958" s="22"/>
      <c r="O958" s="22"/>
      <c r="P958" s="22"/>
      <c r="Q958" s="22"/>
      <c r="R958" s="22"/>
      <c r="S958" s="22"/>
      <c r="T958" s="22"/>
      <c r="U958" s="22"/>
      <c r="V958" s="22"/>
      <c r="W958" s="22"/>
      <c r="X958" s="22"/>
      <c r="Y958" s="22"/>
      <c r="Z958" s="22"/>
    </row>
    <row r="959" spans="1:26" ht="16.149999999999999" customHeight="1" x14ac:dyDescent="0.25">
      <c r="A959" s="22"/>
      <c r="B959" s="22"/>
      <c r="C959" s="22"/>
      <c r="D959" s="22"/>
      <c r="E959" s="22"/>
      <c r="F959" s="22"/>
      <c r="G959" s="22"/>
      <c r="H959" s="22"/>
      <c r="I959" s="22"/>
      <c r="J959" s="22"/>
      <c r="K959" s="22"/>
      <c r="L959" s="22"/>
      <c r="M959" s="22"/>
      <c r="N959" s="22"/>
      <c r="O959" s="22"/>
      <c r="P959" s="22"/>
      <c r="Q959" s="22"/>
      <c r="R959" s="22"/>
      <c r="S959" s="22"/>
      <c r="T959" s="22"/>
      <c r="U959" s="22"/>
      <c r="V959" s="22"/>
      <c r="W959" s="22"/>
      <c r="X959" s="22"/>
      <c r="Y959" s="22"/>
      <c r="Z959" s="22"/>
    </row>
    <row r="960" spans="1:26" ht="16.149999999999999" customHeight="1" x14ac:dyDescent="0.25">
      <c r="A960" s="22"/>
      <c r="B960" s="22"/>
      <c r="C960" s="22"/>
      <c r="D960" s="22"/>
      <c r="E960" s="22"/>
      <c r="F960" s="22"/>
      <c r="G960" s="22"/>
      <c r="H960" s="22"/>
      <c r="I960" s="22"/>
      <c r="J960" s="22"/>
      <c r="K960" s="22"/>
      <c r="L960" s="22"/>
      <c r="M960" s="22"/>
      <c r="N960" s="22"/>
      <c r="O960" s="22"/>
      <c r="P960" s="22"/>
      <c r="Q960" s="22"/>
      <c r="R960" s="22"/>
      <c r="S960" s="22"/>
      <c r="T960" s="22"/>
      <c r="U960" s="22"/>
      <c r="V960" s="22"/>
      <c r="W960" s="22"/>
      <c r="X960" s="22"/>
      <c r="Y960" s="22"/>
      <c r="Z960" s="22"/>
    </row>
    <row r="961" spans="1:26" ht="16.149999999999999" customHeight="1" x14ac:dyDescent="0.25">
      <c r="A961" s="22"/>
      <c r="B961" s="22"/>
      <c r="C961" s="22"/>
      <c r="D961" s="22"/>
      <c r="E961" s="22"/>
      <c r="F961" s="22"/>
      <c r="G961" s="22"/>
      <c r="H961" s="22"/>
      <c r="I961" s="22"/>
      <c r="J961" s="22"/>
      <c r="K961" s="22"/>
      <c r="L961" s="22"/>
      <c r="M961" s="22"/>
      <c r="N961" s="22"/>
      <c r="O961" s="22"/>
      <c r="P961" s="22"/>
      <c r="Q961" s="22"/>
      <c r="R961" s="22"/>
      <c r="S961" s="22"/>
      <c r="T961" s="22"/>
      <c r="U961" s="22"/>
      <c r="V961" s="22"/>
      <c r="W961" s="22"/>
      <c r="X961" s="22"/>
      <c r="Y961" s="22"/>
      <c r="Z961" s="22"/>
    </row>
    <row r="962" spans="1:26" ht="16.149999999999999" customHeight="1" x14ac:dyDescent="0.25">
      <c r="A962" s="22"/>
      <c r="B962" s="22"/>
      <c r="C962" s="22"/>
      <c r="D962" s="22"/>
      <c r="E962" s="22"/>
      <c r="F962" s="22"/>
      <c r="G962" s="22"/>
      <c r="H962" s="22"/>
      <c r="I962" s="22"/>
      <c r="J962" s="22"/>
      <c r="K962" s="22"/>
      <c r="L962" s="22"/>
      <c r="M962" s="22"/>
      <c r="N962" s="22"/>
      <c r="O962" s="22"/>
      <c r="P962" s="22"/>
      <c r="Q962" s="22"/>
      <c r="R962" s="22"/>
      <c r="S962" s="22"/>
      <c r="T962" s="22"/>
      <c r="U962" s="22"/>
      <c r="V962" s="22"/>
      <c r="W962" s="22"/>
      <c r="X962" s="22"/>
      <c r="Y962" s="22"/>
      <c r="Z962" s="22"/>
    </row>
    <row r="963" spans="1:26" ht="16.149999999999999" customHeight="1" x14ac:dyDescent="0.25">
      <c r="A963" s="22"/>
      <c r="B963" s="22"/>
      <c r="C963" s="22"/>
      <c r="D963" s="22"/>
      <c r="E963" s="22"/>
      <c r="F963" s="22"/>
      <c r="G963" s="22"/>
      <c r="H963" s="22"/>
      <c r="I963" s="22"/>
      <c r="J963" s="22"/>
      <c r="K963" s="22"/>
      <c r="L963" s="22"/>
      <c r="M963" s="22"/>
      <c r="N963" s="22"/>
      <c r="O963" s="22"/>
      <c r="P963" s="22"/>
      <c r="Q963" s="22"/>
      <c r="R963" s="22"/>
      <c r="S963" s="22"/>
      <c r="T963" s="22"/>
      <c r="U963" s="22"/>
      <c r="V963" s="22"/>
      <c r="W963" s="22"/>
      <c r="X963" s="22"/>
      <c r="Y963" s="22"/>
      <c r="Z963" s="22"/>
    </row>
    <row r="964" spans="1:26" ht="16.149999999999999" customHeight="1" x14ac:dyDescent="0.25">
      <c r="A964" s="22"/>
      <c r="B964" s="22"/>
      <c r="C964" s="22"/>
      <c r="D964" s="22"/>
      <c r="E964" s="22"/>
      <c r="F964" s="22"/>
      <c r="G964" s="22"/>
      <c r="H964" s="22"/>
      <c r="I964" s="22"/>
      <c r="J964" s="22"/>
      <c r="K964" s="22"/>
      <c r="L964" s="22"/>
      <c r="M964" s="22"/>
      <c r="N964" s="22"/>
      <c r="O964" s="22"/>
      <c r="P964" s="22"/>
      <c r="Q964" s="22"/>
      <c r="R964" s="22"/>
      <c r="S964" s="22"/>
      <c r="T964" s="22"/>
      <c r="U964" s="22"/>
      <c r="V964" s="22"/>
      <c r="W964" s="22"/>
      <c r="X964" s="22"/>
      <c r="Y964" s="22"/>
      <c r="Z964" s="22"/>
    </row>
    <row r="965" spans="1:26" ht="16.149999999999999" customHeight="1" x14ac:dyDescent="0.25">
      <c r="A965" s="22"/>
      <c r="B965" s="22"/>
      <c r="C965" s="22"/>
      <c r="D965" s="22"/>
      <c r="E965" s="22"/>
      <c r="F965" s="22"/>
      <c r="G965" s="22"/>
      <c r="H965" s="22"/>
      <c r="I965" s="22"/>
      <c r="J965" s="22"/>
      <c r="K965" s="22"/>
      <c r="L965" s="22"/>
      <c r="M965" s="22"/>
      <c r="N965" s="22"/>
      <c r="O965" s="22"/>
      <c r="P965" s="22"/>
      <c r="Q965" s="22"/>
      <c r="R965" s="22"/>
      <c r="S965" s="22"/>
      <c r="T965" s="22"/>
      <c r="U965" s="22"/>
      <c r="V965" s="22"/>
      <c r="W965" s="22"/>
      <c r="X965" s="22"/>
      <c r="Y965" s="22"/>
      <c r="Z965" s="22"/>
    </row>
    <row r="966" spans="1:26" ht="16.149999999999999" customHeight="1" x14ac:dyDescent="0.25">
      <c r="A966" s="22"/>
      <c r="B966" s="22"/>
      <c r="C966" s="22"/>
      <c r="D966" s="22"/>
      <c r="E966" s="22"/>
      <c r="F966" s="22"/>
      <c r="G966" s="22"/>
      <c r="H966" s="22"/>
      <c r="I966" s="22"/>
      <c r="J966" s="22"/>
      <c r="K966" s="22"/>
      <c r="L966" s="22"/>
      <c r="M966" s="22"/>
      <c r="N966" s="22"/>
      <c r="O966" s="22"/>
      <c r="P966" s="22"/>
      <c r="Q966" s="22"/>
      <c r="R966" s="22"/>
      <c r="S966" s="22"/>
      <c r="T966" s="22"/>
      <c r="U966" s="22"/>
      <c r="V966" s="22"/>
      <c r="W966" s="22"/>
      <c r="X966" s="22"/>
      <c r="Y966" s="22"/>
      <c r="Z966" s="22"/>
    </row>
    <row r="967" spans="1:26" ht="16.149999999999999" customHeight="1" x14ac:dyDescent="0.25">
      <c r="A967" s="22"/>
      <c r="B967" s="22"/>
      <c r="C967" s="22"/>
      <c r="D967" s="22"/>
      <c r="E967" s="22"/>
      <c r="F967" s="22"/>
      <c r="G967" s="22"/>
      <c r="H967" s="22"/>
      <c r="I967" s="22"/>
      <c r="J967" s="22"/>
      <c r="K967" s="22"/>
      <c r="L967" s="22"/>
      <c r="M967" s="22"/>
      <c r="N967" s="22"/>
      <c r="O967" s="22"/>
      <c r="P967" s="22"/>
      <c r="Q967" s="22"/>
      <c r="R967" s="22"/>
      <c r="S967" s="22"/>
      <c r="T967" s="22"/>
      <c r="U967" s="22"/>
      <c r="V967" s="22"/>
      <c r="W967" s="22"/>
      <c r="X967" s="22"/>
      <c r="Y967" s="22"/>
      <c r="Z967" s="22"/>
    </row>
    <row r="968" spans="1:26" ht="16.149999999999999" customHeight="1" x14ac:dyDescent="0.25">
      <c r="A968" s="22"/>
      <c r="B968" s="22"/>
      <c r="C968" s="22"/>
      <c r="D968" s="22"/>
      <c r="E968" s="22"/>
      <c r="F968" s="22"/>
      <c r="G968" s="22"/>
      <c r="H968" s="22"/>
      <c r="I968" s="22"/>
      <c r="J968" s="22"/>
      <c r="K968" s="22"/>
      <c r="L968" s="22"/>
      <c r="M968" s="22"/>
      <c r="N968" s="22"/>
      <c r="O968" s="22"/>
      <c r="P968" s="22"/>
      <c r="Q968" s="22"/>
      <c r="R968" s="22"/>
      <c r="S968" s="22"/>
      <c r="T968" s="22"/>
      <c r="U968" s="22"/>
      <c r="V968" s="22"/>
      <c r="W968" s="22"/>
      <c r="X968" s="22"/>
      <c r="Y968" s="22"/>
      <c r="Z968" s="22"/>
    </row>
    <row r="969" spans="1:26" ht="16.149999999999999" customHeight="1" x14ac:dyDescent="0.25">
      <c r="A969" s="22"/>
      <c r="B969" s="22"/>
      <c r="C969" s="22"/>
      <c r="D969" s="22"/>
      <c r="E969" s="22"/>
      <c r="F969" s="22"/>
      <c r="G969" s="22"/>
      <c r="H969" s="22"/>
      <c r="I969" s="22"/>
      <c r="J969" s="22"/>
      <c r="K969" s="22"/>
      <c r="L969" s="22"/>
      <c r="M969" s="22"/>
      <c r="N969" s="22"/>
      <c r="O969" s="22"/>
      <c r="P969" s="22"/>
      <c r="Q969" s="22"/>
      <c r="R969" s="22"/>
      <c r="S969" s="22"/>
      <c r="T969" s="22"/>
      <c r="U969" s="22"/>
      <c r="V969" s="22"/>
      <c r="W969" s="22"/>
      <c r="X969" s="22"/>
      <c r="Y969" s="22"/>
      <c r="Z969" s="22"/>
    </row>
    <row r="970" spans="1:26" ht="16.149999999999999" customHeight="1" x14ac:dyDescent="0.25">
      <c r="A970" s="22"/>
      <c r="B970" s="22"/>
      <c r="C970" s="22"/>
      <c r="D970" s="22"/>
      <c r="E970" s="22"/>
      <c r="F970" s="22"/>
      <c r="G970" s="22"/>
      <c r="H970" s="22"/>
      <c r="I970" s="22"/>
      <c r="J970" s="22"/>
      <c r="K970" s="22"/>
      <c r="L970" s="22"/>
      <c r="M970" s="22"/>
      <c r="N970" s="22"/>
      <c r="O970" s="22"/>
      <c r="P970" s="22"/>
      <c r="Q970" s="22"/>
      <c r="R970" s="22"/>
      <c r="S970" s="22"/>
      <c r="T970" s="22"/>
      <c r="U970" s="22"/>
      <c r="V970" s="22"/>
      <c r="W970" s="22"/>
      <c r="X970" s="22"/>
      <c r="Y970" s="22"/>
      <c r="Z970" s="22"/>
    </row>
    <row r="971" spans="1:26" ht="16.149999999999999" customHeight="1" x14ac:dyDescent="0.25">
      <c r="A971" s="22"/>
      <c r="B971" s="22"/>
      <c r="C971" s="22"/>
      <c r="D971" s="22"/>
      <c r="E971" s="22"/>
      <c r="F971" s="22"/>
      <c r="G971" s="22"/>
      <c r="H971" s="22"/>
      <c r="I971" s="22"/>
      <c r="J971" s="22"/>
      <c r="K971" s="22"/>
      <c r="L971" s="22"/>
      <c r="M971" s="22"/>
      <c r="N971" s="22"/>
      <c r="O971" s="22"/>
      <c r="P971" s="22"/>
      <c r="Q971" s="22"/>
      <c r="R971" s="22"/>
      <c r="S971" s="22"/>
      <c r="T971" s="22"/>
      <c r="U971" s="22"/>
      <c r="V971" s="22"/>
      <c r="W971" s="22"/>
      <c r="X971" s="22"/>
      <c r="Y971" s="22"/>
      <c r="Z971" s="22"/>
    </row>
    <row r="972" spans="1:26" ht="16.149999999999999" customHeight="1" x14ac:dyDescent="0.25">
      <c r="A972" s="22"/>
      <c r="B972" s="22"/>
      <c r="C972" s="22"/>
      <c r="D972" s="22"/>
      <c r="E972" s="22"/>
      <c r="F972" s="22"/>
      <c r="G972" s="22"/>
      <c r="H972" s="22"/>
      <c r="I972" s="22"/>
      <c r="J972" s="22"/>
      <c r="K972" s="22"/>
      <c r="L972" s="22"/>
      <c r="M972" s="22"/>
      <c r="N972" s="22"/>
      <c r="O972" s="22"/>
      <c r="P972" s="22"/>
      <c r="Q972" s="22"/>
      <c r="R972" s="22"/>
      <c r="S972" s="22"/>
      <c r="T972" s="22"/>
      <c r="U972" s="22"/>
      <c r="V972" s="22"/>
      <c r="W972" s="22"/>
      <c r="X972" s="22"/>
      <c r="Y972" s="22"/>
      <c r="Z972" s="22"/>
    </row>
    <row r="973" spans="1:26" ht="16.149999999999999" customHeight="1" x14ac:dyDescent="0.25">
      <c r="A973" s="22"/>
      <c r="B973" s="22"/>
      <c r="C973" s="22"/>
      <c r="D973" s="22"/>
      <c r="E973" s="22"/>
      <c r="F973" s="22"/>
      <c r="G973" s="22"/>
      <c r="H973" s="22"/>
      <c r="I973" s="22"/>
      <c r="J973" s="22"/>
      <c r="K973" s="22"/>
      <c r="L973" s="22"/>
      <c r="M973" s="22"/>
      <c r="N973" s="22"/>
      <c r="O973" s="22"/>
      <c r="P973" s="22"/>
      <c r="Q973" s="22"/>
      <c r="R973" s="22"/>
      <c r="S973" s="22"/>
      <c r="T973" s="22"/>
      <c r="U973" s="22"/>
      <c r="V973" s="22"/>
      <c r="W973" s="22"/>
      <c r="X973" s="22"/>
      <c r="Y973" s="22"/>
      <c r="Z973" s="22"/>
    </row>
    <row r="974" spans="1:26" ht="16.149999999999999" customHeight="1" x14ac:dyDescent="0.25">
      <c r="A974" s="22"/>
      <c r="B974" s="22"/>
      <c r="C974" s="22"/>
      <c r="D974" s="22"/>
      <c r="E974" s="22"/>
      <c r="F974" s="22"/>
      <c r="G974" s="22"/>
      <c r="H974" s="22"/>
      <c r="I974" s="22"/>
      <c r="J974" s="22"/>
      <c r="K974" s="22"/>
      <c r="L974" s="22"/>
      <c r="M974" s="22"/>
      <c r="N974" s="22"/>
      <c r="O974" s="22"/>
      <c r="P974" s="22"/>
      <c r="Q974" s="22"/>
      <c r="R974" s="22"/>
      <c r="S974" s="22"/>
      <c r="T974" s="22"/>
      <c r="U974" s="22"/>
      <c r="V974" s="22"/>
      <c r="W974" s="22"/>
      <c r="X974" s="22"/>
      <c r="Y974" s="22"/>
      <c r="Z974" s="22"/>
    </row>
    <row r="975" spans="1:26" ht="16.149999999999999" customHeight="1" x14ac:dyDescent="0.25">
      <c r="A975" s="22"/>
      <c r="B975" s="22"/>
      <c r="C975" s="22"/>
      <c r="D975" s="22"/>
      <c r="E975" s="22"/>
      <c r="F975" s="22"/>
      <c r="G975" s="22"/>
      <c r="H975" s="22"/>
      <c r="I975" s="22"/>
      <c r="J975" s="22"/>
      <c r="K975" s="22"/>
      <c r="L975" s="22"/>
      <c r="M975" s="22"/>
      <c r="N975" s="22"/>
      <c r="O975" s="22"/>
      <c r="P975" s="22"/>
      <c r="Q975" s="22"/>
      <c r="R975" s="22"/>
      <c r="S975" s="22"/>
      <c r="T975" s="22"/>
      <c r="U975" s="22"/>
      <c r="V975" s="22"/>
      <c r="W975" s="22"/>
      <c r="X975" s="22"/>
      <c r="Y975" s="22"/>
      <c r="Z975" s="22"/>
    </row>
    <row r="976" spans="1:26" ht="16.149999999999999" customHeight="1" x14ac:dyDescent="0.25">
      <c r="A976" s="22"/>
      <c r="B976" s="22"/>
      <c r="C976" s="22"/>
      <c r="D976" s="22"/>
      <c r="E976" s="22"/>
      <c r="F976" s="22"/>
      <c r="G976" s="22"/>
      <c r="H976" s="22"/>
      <c r="I976" s="22"/>
      <c r="J976" s="22"/>
      <c r="K976" s="22"/>
      <c r="L976" s="22"/>
      <c r="M976" s="22"/>
      <c r="N976" s="22"/>
      <c r="O976" s="22"/>
      <c r="P976" s="22"/>
      <c r="Q976" s="22"/>
      <c r="R976" s="22"/>
      <c r="S976" s="22"/>
      <c r="T976" s="22"/>
      <c r="U976" s="22"/>
      <c r="V976" s="22"/>
      <c r="W976" s="22"/>
      <c r="X976" s="22"/>
      <c r="Y976" s="22"/>
      <c r="Z976" s="22"/>
    </row>
    <row r="977" spans="1:26" ht="16.149999999999999" customHeight="1" x14ac:dyDescent="0.25">
      <c r="A977" s="22"/>
      <c r="B977" s="22"/>
      <c r="C977" s="22"/>
      <c r="D977" s="22"/>
      <c r="E977" s="22"/>
      <c r="F977" s="22"/>
      <c r="G977" s="22"/>
      <c r="H977" s="22"/>
      <c r="I977" s="22"/>
      <c r="J977" s="22"/>
      <c r="K977" s="22"/>
      <c r="L977" s="22"/>
      <c r="M977" s="22"/>
      <c r="N977" s="22"/>
      <c r="O977" s="22"/>
      <c r="P977" s="22"/>
      <c r="Q977" s="22"/>
      <c r="R977" s="22"/>
      <c r="S977" s="22"/>
      <c r="T977" s="22"/>
      <c r="U977" s="22"/>
      <c r="V977" s="22"/>
      <c r="W977" s="22"/>
      <c r="X977" s="22"/>
      <c r="Y977" s="22"/>
      <c r="Z977" s="22"/>
    </row>
    <row r="978" spans="1:26" ht="16.149999999999999" customHeight="1" x14ac:dyDescent="0.25">
      <c r="A978" s="22"/>
      <c r="B978" s="22"/>
      <c r="C978" s="22"/>
      <c r="D978" s="22"/>
      <c r="E978" s="22"/>
      <c r="F978" s="22"/>
      <c r="G978" s="22"/>
      <c r="H978" s="22"/>
      <c r="I978" s="22"/>
      <c r="J978" s="22"/>
      <c r="K978" s="22"/>
      <c r="L978" s="22"/>
      <c r="M978" s="22"/>
      <c r="N978" s="22"/>
      <c r="O978" s="22"/>
      <c r="P978" s="22"/>
      <c r="Q978" s="22"/>
      <c r="R978" s="22"/>
      <c r="S978" s="22"/>
      <c r="T978" s="22"/>
      <c r="U978" s="22"/>
      <c r="V978" s="22"/>
      <c r="W978" s="22"/>
      <c r="X978" s="22"/>
      <c r="Y978" s="22"/>
      <c r="Z978" s="22"/>
    </row>
    <row r="979" spans="1:26" ht="16.149999999999999" customHeight="1" x14ac:dyDescent="0.25">
      <c r="A979" s="22"/>
      <c r="B979" s="22"/>
      <c r="C979" s="22"/>
      <c r="D979" s="22"/>
      <c r="E979" s="22"/>
      <c r="F979" s="22"/>
      <c r="G979" s="22"/>
      <c r="H979" s="22"/>
      <c r="I979" s="22"/>
      <c r="J979" s="22"/>
      <c r="K979" s="22"/>
      <c r="L979" s="22"/>
      <c r="M979" s="22"/>
      <c r="N979" s="22"/>
      <c r="O979" s="22"/>
      <c r="P979" s="22"/>
      <c r="Q979" s="22"/>
      <c r="R979" s="22"/>
      <c r="S979" s="22"/>
      <c r="T979" s="22"/>
      <c r="U979" s="22"/>
      <c r="V979" s="22"/>
      <c r="W979" s="22"/>
      <c r="X979" s="22"/>
      <c r="Y979" s="22"/>
      <c r="Z979" s="22"/>
    </row>
    <row r="980" spans="1:26" ht="16.149999999999999" customHeight="1" x14ac:dyDescent="0.25">
      <c r="A980" s="22"/>
      <c r="B980" s="22"/>
      <c r="C980" s="22"/>
      <c r="D980" s="22"/>
      <c r="E980" s="22"/>
      <c r="F980" s="22"/>
      <c r="G980" s="22"/>
      <c r="H980" s="22"/>
      <c r="I980" s="22"/>
      <c r="J980" s="22"/>
      <c r="K980" s="22"/>
      <c r="L980" s="22"/>
      <c r="M980" s="22"/>
      <c r="N980" s="22"/>
      <c r="O980" s="22"/>
      <c r="P980" s="22"/>
      <c r="Q980" s="22"/>
      <c r="R980" s="22"/>
      <c r="S980" s="22"/>
      <c r="T980" s="22"/>
      <c r="U980" s="22"/>
      <c r="V980" s="22"/>
      <c r="W980" s="22"/>
      <c r="X980" s="22"/>
      <c r="Y980" s="22"/>
      <c r="Z980" s="22"/>
    </row>
    <row r="981" spans="1:26" ht="16.149999999999999" customHeight="1" x14ac:dyDescent="0.25">
      <c r="A981" s="22"/>
      <c r="B981" s="22"/>
      <c r="C981" s="22"/>
      <c r="D981" s="22"/>
      <c r="E981" s="22"/>
      <c r="F981" s="22"/>
      <c r="G981" s="22"/>
      <c r="H981" s="22"/>
      <c r="I981" s="22"/>
      <c r="J981" s="22"/>
      <c r="K981" s="22"/>
      <c r="L981" s="22"/>
      <c r="M981" s="22"/>
      <c r="N981" s="22"/>
      <c r="O981" s="22"/>
      <c r="P981" s="22"/>
      <c r="Q981" s="22"/>
      <c r="R981" s="22"/>
      <c r="S981" s="22"/>
      <c r="T981" s="22"/>
      <c r="U981" s="22"/>
      <c r="V981" s="22"/>
      <c r="W981" s="22"/>
      <c r="X981" s="22"/>
      <c r="Y981" s="22"/>
      <c r="Z981" s="22"/>
    </row>
    <row r="982" spans="1:26" ht="16.149999999999999" customHeight="1" x14ac:dyDescent="0.25">
      <c r="A982" s="22"/>
      <c r="B982" s="22"/>
      <c r="C982" s="22"/>
      <c r="D982" s="22"/>
      <c r="E982" s="22"/>
      <c r="F982" s="22"/>
      <c r="G982" s="22"/>
      <c r="H982" s="22"/>
      <c r="I982" s="22"/>
      <c r="J982" s="22"/>
      <c r="K982" s="22"/>
      <c r="L982" s="22"/>
      <c r="M982" s="22"/>
      <c r="N982" s="22"/>
      <c r="O982" s="22"/>
      <c r="P982" s="22"/>
      <c r="Q982" s="22"/>
      <c r="R982" s="22"/>
      <c r="S982" s="22"/>
      <c r="T982" s="22"/>
      <c r="U982" s="22"/>
      <c r="V982" s="22"/>
      <c r="W982" s="22"/>
      <c r="X982" s="22"/>
      <c r="Y982" s="22"/>
      <c r="Z982" s="22"/>
    </row>
    <row r="983" spans="1:26" ht="16.149999999999999" customHeight="1" x14ac:dyDescent="0.25">
      <c r="A983" s="22"/>
      <c r="B983" s="22"/>
      <c r="C983" s="22"/>
      <c r="D983" s="22"/>
      <c r="E983" s="22"/>
      <c r="F983" s="22"/>
      <c r="G983" s="22"/>
      <c r="H983" s="22"/>
      <c r="I983" s="22"/>
      <c r="J983" s="22"/>
      <c r="K983" s="22"/>
      <c r="L983" s="22"/>
      <c r="M983" s="22"/>
      <c r="N983" s="22"/>
      <c r="O983" s="22"/>
      <c r="P983" s="22"/>
      <c r="Q983" s="22"/>
      <c r="R983" s="22"/>
      <c r="S983" s="22"/>
      <c r="T983" s="22"/>
      <c r="U983" s="22"/>
      <c r="V983" s="22"/>
      <c r="W983" s="22"/>
      <c r="X983" s="22"/>
      <c r="Y983" s="22"/>
      <c r="Z983" s="22"/>
    </row>
    <row r="984" spans="1:26" ht="16.149999999999999" customHeight="1" x14ac:dyDescent="0.25">
      <c r="A984" s="22"/>
      <c r="B984" s="22"/>
      <c r="C984" s="22"/>
      <c r="D984" s="22"/>
      <c r="E984" s="22"/>
      <c r="F984" s="22"/>
      <c r="G984" s="22"/>
      <c r="H984" s="22"/>
      <c r="I984" s="22"/>
      <c r="J984" s="22"/>
      <c r="K984" s="22"/>
      <c r="L984" s="22"/>
      <c r="M984" s="22"/>
      <c r="N984" s="22"/>
      <c r="O984" s="22"/>
      <c r="P984" s="22"/>
      <c r="Q984" s="22"/>
      <c r="R984" s="22"/>
      <c r="S984" s="22"/>
      <c r="T984" s="22"/>
      <c r="U984" s="22"/>
      <c r="V984" s="22"/>
      <c r="W984" s="22"/>
      <c r="X984" s="22"/>
      <c r="Y984" s="22"/>
      <c r="Z984" s="22"/>
    </row>
    <row r="985" spans="1:26" ht="16.149999999999999" customHeight="1" x14ac:dyDescent="0.25">
      <c r="A985" s="22"/>
      <c r="B985" s="22"/>
      <c r="C985" s="22"/>
      <c r="D985" s="22"/>
      <c r="E985" s="22"/>
      <c r="F985" s="22"/>
      <c r="G985" s="22"/>
      <c r="H985" s="22"/>
      <c r="I985" s="22"/>
      <c r="J985" s="22"/>
      <c r="K985" s="22"/>
      <c r="L985" s="22"/>
      <c r="M985" s="22"/>
      <c r="N985" s="22"/>
      <c r="O985" s="22"/>
      <c r="P985" s="22"/>
      <c r="Q985" s="22"/>
      <c r="R985" s="22"/>
      <c r="S985" s="22"/>
      <c r="T985" s="22"/>
      <c r="U985" s="22"/>
      <c r="V985" s="22"/>
      <c r="W985" s="22"/>
      <c r="X985" s="22"/>
      <c r="Y985" s="22"/>
      <c r="Z985" s="22"/>
    </row>
    <row r="986" spans="1:26" ht="16.149999999999999" customHeight="1" x14ac:dyDescent="0.25">
      <c r="A986" s="22"/>
      <c r="B986" s="22"/>
      <c r="C986" s="22"/>
      <c r="D986" s="22"/>
      <c r="E986" s="22"/>
      <c r="F986" s="22"/>
      <c r="G986" s="22"/>
      <c r="H986" s="22"/>
      <c r="I986" s="22"/>
      <c r="J986" s="22"/>
      <c r="K986" s="22"/>
      <c r="L986" s="22"/>
      <c r="M986" s="22"/>
      <c r="N986" s="22"/>
      <c r="O986" s="22"/>
      <c r="P986" s="22"/>
      <c r="Q986" s="22"/>
      <c r="R986" s="22"/>
      <c r="S986" s="22"/>
      <c r="T986" s="22"/>
      <c r="U986" s="22"/>
      <c r="V986" s="22"/>
      <c r="W986" s="22"/>
      <c r="X986" s="22"/>
      <c r="Y986" s="22"/>
      <c r="Z986" s="22"/>
    </row>
    <row r="987" spans="1:26" ht="16.149999999999999" customHeight="1" x14ac:dyDescent="0.25">
      <c r="A987" s="22"/>
      <c r="B987" s="22"/>
      <c r="C987" s="22"/>
      <c r="D987" s="22"/>
      <c r="E987" s="22"/>
      <c r="F987" s="22"/>
      <c r="G987" s="22"/>
      <c r="H987" s="22"/>
      <c r="I987" s="22"/>
      <c r="J987" s="22"/>
      <c r="K987" s="22"/>
      <c r="L987" s="22"/>
      <c r="M987" s="22"/>
      <c r="N987" s="22"/>
      <c r="O987" s="22"/>
      <c r="P987" s="22"/>
      <c r="Q987" s="22"/>
      <c r="R987" s="22"/>
      <c r="S987" s="22"/>
      <c r="T987" s="22"/>
      <c r="U987" s="22"/>
      <c r="V987" s="22"/>
      <c r="W987" s="22"/>
      <c r="X987" s="22"/>
      <c r="Y987" s="22"/>
      <c r="Z987" s="22"/>
    </row>
    <row r="988" spans="1:26" ht="16.149999999999999" customHeight="1" x14ac:dyDescent="0.25">
      <c r="A988" s="22"/>
      <c r="B988" s="22"/>
      <c r="C988" s="22"/>
      <c r="D988" s="22"/>
      <c r="E988" s="22"/>
      <c r="F988" s="22"/>
      <c r="G988" s="22"/>
      <c r="H988" s="22"/>
      <c r="I988" s="22"/>
      <c r="J988" s="22"/>
      <c r="K988" s="22"/>
      <c r="L988" s="22"/>
      <c r="M988" s="22"/>
      <c r="N988" s="22"/>
      <c r="O988" s="22"/>
      <c r="P988" s="22"/>
      <c r="Q988" s="22"/>
      <c r="R988" s="22"/>
      <c r="S988" s="22"/>
      <c r="T988" s="22"/>
      <c r="U988" s="22"/>
      <c r="V988" s="22"/>
      <c r="W988" s="22"/>
      <c r="X988" s="22"/>
      <c r="Y988" s="22"/>
      <c r="Z988" s="22"/>
    </row>
    <row r="989" spans="1:26" ht="16.149999999999999" customHeight="1" x14ac:dyDescent="0.25">
      <c r="A989" s="22"/>
      <c r="B989" s="22"/>
      <c r="C989" s="22"/>
      <c r="D989" s="22"/>
      <c r="E989" s="22"/>
      <c r="F989" s="22"/>
      <c r="G989" s="22"/>
      <c r="H989" s="22"/>
      <c r="I989" s="22"/>
      <c r="J989" s="22"/>
      <c r="K989" s="22"/>
      <c r="L989" s="22"/>
      <c r="M989" s="22"/>
      <c r="N989" s="22"/>
      <c r="O989" s="22"/>
      <c r="P989" s="22"/>
      <c r="Q989" s="22"/>
      <c r="R989" s="22"/>
      <c r="S989" s="22"/>
      <c r="T989" s="22"/>
      <c r="U989" s="22"/>
      <c r="V989" s="22"/>
      <c r="W989" s="22"/>
      <c r="X989" s="22"/>
      <c r="Y989" s="22"/>
      <c r="Z989" s="22"/>
    </row>
    <row r="990" spans="1:26" ht="16.149999999999999" customHeight="1" x14ac:dyDescent="0.25">
      <c r="A990" s="22"/>
      <c r="B990" s="22"/>
      <c r="C990" s="22"/>
      <c r="D990" s="22"/>
      <c r="E990" s="22"/>
      <c r="F990" s="22"/>
      <c r="G990" s="22"/>
      <c r="H990" s="22"/>
      <c r="I990" s="22"/>
      <c r="J990" s="22"/>
      <c r="K990" s="22"/>
      <c r="L990" s="22"/>
      <c r="M990" s="22"/>
      <c r="N990" s="22"/>
      <c r="O990" s="22"/>
      <c r="P990" s="22"/>
      <c r="Q990" s="22"/>
      <c r="R990" s="22"/>
      <c r="S990" s="22"/>
      <c r="T990" s="22"/>
      <c r="U990" s="22"/>
      <c r="V990" s="22"/>
      <c r="W990" s="22"/>
      <c r="X990" s="22"/>
      <c r="Y990" s="22"/>
      <c r="Z990" s="22"/>
    </row>
    <row r="991" spans="1:26" ht="16.149999999999999" customHeight="1" x14ac:dyDescent="0.25">
      <c r="A991" s="22"/>
      <c r="B991" s="22"/>
      <c r="C991" s="22"/>
      <c r="D991" s="22"/>
      <c r="E991" s="22"/>
      <c r="F991" s="22"/>
      <c r="G991" s="22"/>
      <c r="H991" s="22"/>
      <c r="I991" s="22"/>
      <c r="J991" s="22"/>
      <c r="K991" s="22"/>
      <c r="L991" s="22"/>
      <c r="M991" s="22"/>
      <c r="N991" s="22"/>
      <c r="O991" s="22"/>
      <c r="P991" s="22"/>
      <c r="Q991" s="22"/>
      <c r="R991" s="22"/>
      <c r="S991" s="22"/>
      <c r="T991" s="22"/>
      <c r="U991" s="22"/>
      <c r="V991" s="22"/>
      <c r="W991" s="22"/>
      <c r="X991" s="22"/>
      <c r="Y991" s="22"/>
      <c r="Z991" s="22"/>
    </row>
    <row r="992" spans="1:26" ht="16.149999999999999" customHeight="1" x14ac:dyDescent="0.25">
      <c r="A992" s="22"/>
      <c r="B992" s="22"/>
      <c r="C992" s="22"/>
      <c r="D992" s="22"/>
      <c r="E992" s="22"/>
      <c r="F992" s="22"/>
      <c r="G992" s="22"/>
      <c r="H992" s="22"/>
      <c r="I992" s="22"/>
      <c r="J992" s="22"/>
      <c r="K992" s="22"/>
      <c r="L992" s="22"/>
      <c r="M992" s="22"/>
      <c r="N992" s="22"/>
      <c r="O992" s="22"/>
      <c r="P992" s="22"/>
      <c r="Q992" s="22"/>
      <c r="R992" s="22"/>
      <c r="S992" s="22"/>
      <c r="T992" s="22"/>
      <c r="U992" s="22"/>
      <c r="V992" s="22"/>
      <c r="W992" s="22"/>
      <c r="X992" s="22"/>
      <c r="Y992" s="22"/>
      <c r="Z992" s="22"/>
    </row>
    <row r="993" spans="1:26" ht="16.149999999999999" customHeight="1" x14ac:dyDescent="0.25">
      <c r="A993" s="22"/>
      <c r="B993" s="22"/>
      <c r="C993" s="22"/>
      <c r="D993" s="22"/>
      <c r="E993" s="22"/>
      <c r="F993" s="22"/>
      <c r="G993" s="22"/>
      <c r="H993" s="22"/>
      <c r="I993" s="22"/>
      <c r="J993" s="22"/>
      <c r="K993" s="22"/>
      <c r="L993" s="22"/>
      <c r="M993" s="22"/>
      <c r="N993" s="22"/>
      <c r="O993" s="22"/>
      <c r="P993" s="22"/>
      <c r="Q993" s="22"/>
      <c r="R993" s="22"/>
      <c r="S993" s="22"/>
      <c r="T993" s="22"/>
      <c r="U993" s="22"/>
      <c r="V993" s="22"/>
      <c r="W993" s="22"/>
      <c r="X993" s="22"/>
      <c r="Y993" s="22"/>
      <c r="Z993" s="22"/>
    </row>
    <row r="994" spans="1:26" ht="16.149999999999999" customHeight="1" x14ac:dyDescent="0.25">
      <c r="A994" s="22"/>
      <c r="B994" s="22"/>
      <c r="C994" s="22"/>
      <c r="D994" s="22"/>
      <c r="E994" s="22"/>
      <c r="F994" s="22"/>
      <c r="G994" s="22"/>
      <c r="H994" s="22"/>
      <c r="I994" s="22"/>
      <c r="J994" s="22"/>
      <c r="K994" s="22"/>
      <c r="L994" s="22"/>
      <c r="M994" s="22"/>
      <c r="N994" s="22"/>
      <c r="O994" s="22"/>
      <c r="P994" s="22"/>
      <c r="Q994" s="22"/>
      <c r="R994" s="22"/>
      <c r="S994" s="22"/>
      <c r="T994" s="22"/>
      <c r="U994" s="22"/>
      <c r="V994" s="22"/>
      <c r="W994" s="22"/>
      <c r="X994" s="22"/>
      <c r="Y994" s="22"/>
      <c r="Z994" s="22"/>
    </row>
    <row r="995" spans="1:26" ht="16.149999999999999" customHeight="1" x14ac:dyDescent="0.25">
      <c r="A995" s="22"/>
      <c r="B995" s="22"/>
      <c r="C995" s="22"/>
      <c r="D995" s="22"/>
      <c r="E995" s="22"/>
      <c r="F995" s="22"/>
      <c r="G995" s="22"/>
      <c r="H995" s="22"/>
      <c r="I995" s="22"/>
      <c r="J995" s="22"/>
      <c r="K995" s="22"/>
      <c r="L995" s="22"/>
      <c r="M995" s="22"/>
      <c r="N995" s="22"/>
      <c r="O995" s="22"/>
      <c r="P995" s="22"/>
      <c r="Q995" s="22"/>
      <c r="R995" s="22"/>
      <c r="S995" s="22"/>
      <c r="T995" s="22"/>
      <c r="U995" s="22"/>
      <c r="V995" s="22"/>
      <c r="W995" s="22"/>
      <c r="X995" s="22"/>
      <c r="Y995" s="22"/>
      <c r="Z995" s="22"/>
    </row>
    <row r="996" spans="1:26" ht="16.149999999999999" customHeight="1" x14ac:dyDescent="0.25">
      <c r="A996" s="22"/>
      <c r="B996" s="22"/>
      <c r="C996" s="22"/>
      <c r="D996" s="22"/>
      <c r="E996" s="22"/>
      <c r="F996" s="22"/>
      <c r="G996" s="22"/>
      <c r="H996" s="22"/>
      <c r="I996" s="22"/>
      <c r="J996" s="22"/>
      <c r="K996" s="22"/>
      <c r="L996" s="22"/>
      <c r="M996" s="22"/>
      <c r="N996" s="22"/>
      <c r="O996" s="22"/>
      <c r="P996" s="22"/>
      <c r="Q996" s="22"/>
      <c r="R996" s="22"/>
      <c r="S996" s="22"/>
      <c r="T996" s="22"/>
      <c r="U996" s="22"/>
      <c r="V996" s="22"/>
      <c r="W996" s="22"/>
      <c r="X996" s="22"/>
      <c r="Y996" s="22"/>
      <c r="Z996" s="22"/>
    </row>
    <row r="997" spans="1:26" ht="16.149999999999999" customHeight="1" x14ac:dyDescent="0.25">
      <c r="A997" s="22"/>
      <c r="B997" s="22"/>
      <c r="C997" s="22"/>
      <c r="D997" s="22"/>
      <c r="E997" s="22"/>
      <c r="F997" s="22"/>
      <c r="G997" s="22"/>
      <c r="H997" s="22"/>
      <c r="I997" s="22"/>
      <c r="J997" s="22"/>
      <c r="K997" s="22"/>
      <c r="L997" s="22"/>
      <c r="M997" s="22"/>
      <c r="N997" s="22"/>
      <c r="O997" s="22"/>
      <c r="P997" s="22"/>
      <c r="Q997" s="22"/>
      <c r="R997" s="22"/>
      <c r="S997" s="22"/>
      <c r="T997" s="22"/>
      <c r="U997" s="22"/>
      <c r="V997" s="22"/>
      <c r="W997" s="22"/>
      <c r="X997" s="22"/>
      <c r="Y997" s="22"/>
      <c r="Z997" s="22"/>
    </row>
    <row r="998" spans="1:26" ht="16.149999999999999" customHeight="1" x14ac:dyDescent="0.25">
      <c r="A998" s="22"/>
      <c r="B998" s="22"/>
      <c r="C998" s="22"/>
      <c r="D998" s="22"/>
      <c r="E998" s="22"/>
      <c r="F998" s="22"/>
      <c r="G998" s="22"/>
      <c r="H998" s="22"/>
      <c r="I998" s="22"/>
      <c r="J998" s="22"/>
      <c r="K998" s="22"/>
      <c r="L998" s="22"/>
      <c r="M998" s="22"/>
      <c r="N998" s="22"/>
      <c r="O998" s="22"/>
      <c r="P998" s="22"/>
      <c r="Q998" s="22"/>
      <c r="R998" s="22"/>
      <c r="S998" s="22"/>
      <c r="T998" s="22"/>
      <c r="U998" s="22"/>
      <c r="V998" s="22"/>
      <c r="W998" s="22"/>
      <c r="X998" s="22"/>
      <c r="Y998" s="22"/>
      <c r="Z998" s="22"/>
    </row>
    <row r="999" spans="1:26" ht="16.149999999999999" customHeight="1" x14ac:dyDescent="0.25">
      <c r="A999" s="22"/>
      <c r="B999" s="22"/>
      <c r="C999" s="22"/>
      <c r="D999" s="22"/>
      <c r="E999" s="22"/>
      <c r="F999" s="22"/>
      <c r="G999" s="22"/>
      <c r="H999" s="22"/>
      <c r="I999" s="22"/>
      <c r="J999" s="22"/>
      <c r="K999" s="22"/>
      <c r="L999" s="22"/>
      <c r="M999" s="22"/>
      <c r="N999" s="22"/>
      <c r="O999" s="22"/>
      <c r="P999" s="22"/>
      <c r="Q999" s="22"/>
      <c r="R999" s="22"/>
      <c r="S999" s="22"/>
      <c r="T999" s="22"/>
      <c r="U999" s="22"/>
      <c r="V999" s="22"/>
      <c r="W999" s="22"/>
      <c r="X999" s="22"/>
      <c r="Y999" s="22"/>
      <c r="Z999" s="22"/>
    </row>
    <row r="1000" spans="1:26" ht="16.149999999999999" customHeight="1" x14ac:dyDescent="0.25">
      <c r="A1000" s="22"/>
      <c r="B1000" s="22"/>
      <c r="C1000" s="22"/>
      <c r="D1000" s="22"/>
      <c r="E1000" s="22"/>
      <c r="F1000" s="22"/>
      <c r="G1000" s="22"/>
      <c r="H1000" s="22"/>
      <c r="I1000" s="22"/>
      <c r="J1000" s="22"/>
      <c r="K1000" s="22"/>
      <c r="L1000" s="22"/>
      <c r="M1000" s="22"/>
      <c r="N1000" s="22"/>
      <c r="O1000" s="22"/>
      <c r="P1000" s="22"/>
      <c r="Q1000" s="22"/>
      <c r="R1000" s="22"/>
      <c r="S1000" s="22"/>
      <c r="T1000" s="22"/>
      <c r="U1000" s="22"/>
      <c r="V1000" s="22"/>
      <c r="W1000" s="22"/>
      <c r="X1000" s="22"/>
      <c r="Y1000" s="22"/>
      <c r="Z1000" s="22"/>
    </row>
    <row r="1001" spans="1:26" ht="16.149999999999999" customHeight="1" x14ac:dyDescent="0.25">
      <c r="A1001" s="22"/>
      <c r="B1001" s="22"/>
      <c r="C1001" s="22"/>
      <c r="D1001" s="22"/>
      <c r="E1001" s="22"/>
      <c r="F1001" s="22"/>
      <c r="G1001" s="22"/>
      <c r="H1001" s="22"/>
      <c r="I1001" s="22"/>
      <c r="J1001" s="22"/>
      <c r="K1001" s="22"/>
      <c r="L1001" s="22"/>
      <c r="M1001" s="22"/>
      <c r="N1001" s="22"/>
      <c r="O1001" s="22"/>
      <c r="P1001" s="22"/>
      <c r="Q1001" s="22"/>
      <c r="R1001" s="22"/>
      <c r="S1001" s="22"/>
      <c r="T1001" s="22"/>
      <c r="U1001" s="22"/>
      <c r="V1001" s="22"/>
      <c r="W1001" s="22"/>
      <c r="X1001" s="22"/>
      <c r="Y1001" s="22"/>
      <c r="Z1001" s="22"/>
    </row>
    <row r="1002" spans="1:26" ht="16.149999999999999" customHeight="1" x14ac:dyDescent="0.25">
      <c r="A1002" s="22"/>
      <c r="B1002" s="22"/>
      <c r="C1002" s="22"/>
      <c r="D1002" s="22"/>
      <c r="E1002" s="22"/>
      <c r="F1002" s="22"/>
      <c r="G1002" s="22"/>
      <c r="H1002" s="22"/>
      <c r="I1002" s="22"/>
      <c r="J1002" s="22"/>
      <c r="K1002" s="22"/>
      <c r="L1002" s="22"/>
      <c r="M1002" s="22"/>
      <c r="N1002" s="22"/>
      <c r="O1002" s="22"/>
      <c r="P1002" s="22"/>
      <c r="Q1002" s="22"/>
      <c r="R1002" s="22"/>
      <c r="S1002" s="22"/>
      <c r="T1002" s="22"/>
      <c r="U1002" s="22"/>
      <c r="V1002" s="22"/>
      <c r="W1002" s="22"/>
      <c r="X1002" s="22"/>
      <c r="Y1002" s="22"/>
      <c r="Z1002" s="22"/>
    </row>
    <row r="1003" spans="1:26" ht="16.149999999999999" customHeight="1" x14ac:dyDescent="0.25">
      <c r="A1003" s="22"/>
      <c r="B1003" s="22"/>
      <c r="C1003" s="22"/>
      <c r="D1003" s="22"/>
      <c r="E1003" s="22"/>
      <c r="F1003" s="22"/>
      <c r="G1003" s="22"/>
      <c r="H1003" s="22"/>
      <c r="I1003" s="22"/>
      <c r="J1003" s="22"/>
      <c r="K1003" s="22"/>
      <c r="L1003" s="22"/>
      <c r="M1003" s="22"/>
      <c r="N1003" s="22"/>
      <c r="O1003" s="22"/>
      <c r="P1003" s="22"/>
      <c r="Q1003" s="22"/>
      <c r="R1003" s="22"/>
      <c r="S1003" s="22"/>
      <c r="T1003" s="22"/>
      <c r="U1003" s="22"/>
      <c r="V1003" s="22"/>
      <c r="W1003" s="22"/>
      <c r="X1003" s="22"/>
      <c r="Y1003" s="22"/>
      <c r="Z1003" s="22"/>
    </row>
    <row r="1004" spans="1:26" ht="16.149999999999999" customHeight="1" x14ac:dyDescent="0.25">
      <c r="A1004" s="22"/>
      <c r="B1004" s="22"/>
      <c r="C1004" s="22"/>
      <c r="D1004" s="22"/>
      <c r="E1004" s="22"/>
      <c r="F1004" s="22"/>
      <c r="G1004" s="22"/>
      <c r="H1004" s="22"/>
      <c r="I1004" s="22"/>
      <c r="J1004" s="22"/>
      <c r="K1004" s="22"/>
      <c r="L1004" s="22"/>
      <c r="M1004" s="22"/>
      <c r="N1004" s="22"/>
      <c r="O1004" s="22"/>
      <c r="P1004" s="22"/>
      <c r="Q1004" s="22"/>
      <c r="R1004" s="22"/>
      <c r="S1004" s="22"/>
      <c r="T1004" s="22"/>
      <c r="U1004" s="22"/>
      <c r="V1004" s="22"/>
      <c r="W1004" s="22"/>
      <c r="X1004" s="22"/>
      <c r="Y1004" s="22"/>
      <c r="Z1004" s="22"/>
    </row>
    <row r="1005" spans="1:26" ht="16.149999999999999" customHeight="1" x14ac:dyDescent="0.25">
      <c r="A1005" s="22"/>
      <c r="B1005" s="22"/>
      <c r="C1005" s="22"/>
      <c r="D1005" s="22"/>
      <c r="E1005" s="22"/>
      <c r="F1005" s="22"/>
      <c r="G1005" s="22"/>
      <c r="H1005" s="22"/>
      <c r="I1005" s="22"/>
      <c r="J1005" s="22"/>
      <c r="K1005" s="22"/>
      <c r="L1005" s="22"/>
      <c r="M1005" s="22"/>
      <c r="N1005" s="22"/>
      <c r="O1005" s="22"/>
      <c r="P1005" s="22"/>
      <c r="Q1005" s="22"/>
      <c r="R1005" s="22"/>
      <c r="S1005" s="22"/>
      <c r="T1005" s="22"/>
      <c r="U1005" s="22"/>
      <c r="V1005" s="22"/>
      <c r="W1005" s="22"/>
      <c r="X1005" s="22"/>
      <c r="Y1005" s="22"/>
      <c r="Z1005" s="22"/>
    </row>
    <row r="1006" spans="1:26" ht="16.149999999999999" customHeight="1" x14ac:dyDescent="0.25">
      <c r="A1006" s="22"/>
      <c r="B1006" s="22"/>
      <c r="C1006" s="22"/>
      <c r="D1006" s="22"/>
      <c r="E1006" s="22"/>
      <c r="F1006" s="22"/>
      <c r="G1006" s="22"/>
      <c r="H1006" s="22"/>
      <c r="I1006" s="22"/>
      <c r="J1006" s="22"/>
      <c r="K1006" s="22"/>
      <c r="L1006" s="22"/>
      <c r="M1006" s="22"/>
      <c r="N1006" s="22"/>
      <c r="O1006" s="22"/>
      <c r="P1006" s="22"/>
      <c r="Q1006" s="22"/>
      <c r="R1006" s="22"/>
      <c r="S1006" s="22"/>
      <c r="T1006" s="22"/>
      <c r="U1006" s="22"/>
      <c r="V1006" s="22"/>
      <c r="W1006" s="22"/>
      <c r="X1006" s="22"/>
      <c r="Y1006" s="22"/>
      <c r="Z1006" s="22"/>
    </row>
    <row r="1007" spans="1:26" ht="16.149999999999999" customHeight="1" x14ac:dyDescent="0.25">
      <c r="A1007" s="22"/>
      <c r="B1007" s="22"/>
      <c r="C1007" s="22"/>
      <c r="D1007" s="22"/>
      <c r="E1007" s="22"/>
      <c r="F1007" s="22"/>
      <c r="G1007" s="22"/>
      <c r="H1007" s="22"/>
      <c r="I1007" s="22"/>
      <c r="J1007" s="22"/>
      <c r="K1007" s="22"/>
      <c r="L1007" s="22"/>
      <c r="M1007" s="22"/>
      <c r="N1007" s="22"/>
      <c r="O1007" s="22"/>
      <c r="P1007" s="22"/>
      <c r="Q1007" s="22"/>
      <c r="R1007" s="22"/>
      <c r="S1007" s="22"/>
      <c r="T1007" s="22"/>
      <c r="U1007" s="22"/>
      <c r="V1007" s="22"/>
      <c r="W1007" s="22"/>
      <c r="X1007" s="22"/>
      <c r="Y1007" s="22"/>
      <c r="Z1007" s="22"/>
    </row>
    <row r="1008" spans="1:26" ht="16.149999999999999" customHeight="1" x14ac:dyDescent="0.25">
      <c r="A1008" s="22"/>
      <c r="B1008" s="22"/>
      <c r="C1008" s="22"/>
      <c r="D1008" s="22"/>
      <c r="E1008" s="22"/>
      <c r="F1008" s="22"/>
      <c r="G1008" s="22"/>
      <c r="H1008" s="22"/>
      <c r="I1008" s="22"/>
      <c r="J1008" s="22"/>
      <c r="K1008" s="22"/>
      <c r="L1008" s="22"/>
      <c r="M1008" s="22"/>
      <c r="N1008" s="22"/>
      <c r="O1008" s="22"/>
      <c r="P1008" s="22"/>
      <c r="Q1008" s="22"/>
      <c r="R1008" s="22"/>
      <c r="S1008" s="22"/>
      <c r="T1008" s="22"/>
      <c r="U1008" s="22"/>
      <c r="V1008" s="22"/>
      <c r="W1008" s="22"/>
      <c r="X1008" s="22"/>
      <c r="Y1008" s="22"/>
      <c r="Z1008" s="22"/>
    </row>
    <row r="1009" spans="1:26" ht="16.149999999999999" customHeight="1" x14ac:dyDescent="0.25">
      <c r="A1009" s="22"/>
      <c r="B1009" s="22"/>
      <c r="C1009" s="22"/>
      <c r="D1009" s="22"/>
      <c r="E1009" s="22"/>
      <c r="F1009" s="22"/>
      <c r="G1009" s="22"/>
      <c r="H1009" s="22"/>
      <c r="I1009" s="22"/>
      <c r="J1009" s="22"/>
      <c r="K1009" s="22"/>
      <c r="L1009" s="22"/>
      <c r="M1009" s="22"/>
      <c r="N1009" s="22"/>
      <c r="O1009" s="22"/>
      <c r="P1009" s="22"/>
      <c r="Q1009" s="22"/>
      <c r="R1009" s="22"/>
      <c r="S1009" s="22"/>
      <c r="T1009" s="22"/>
      <c r="U1009" s="22"/>
      <c r="V1009" s="22"/>
      <c r="W1009" s="22"/>
      <c r="X1009" s="22"/>
      <c r="Y1009" s="22"/>
      <c r="Z1009" s="22"/>
    </row>
    <row r="1010" spans="1:26" ht="16.149999999999999" customHeight="1" x14ac:dyDescent="0.25">
      <c r="A1010" s="22"/>
      <c r="B1010" s="22"/>
      <c r="C1010" s="22"/>
      <c r="D1010" s="22"/>
      <c r="E1010" s="22"/>
      <c r="F1010" s="22"/>
      <c r="G1010" s="22"/>
      <c r="H1010" s="22"/>
      <c r="I1010" s="22"/>
      <c r="J1010" s="22"/>
      <c r="K1010" s="22"/>
      <c r="L1010" s="22"/>
      <c r="M1010" s="22"/>
      <c r="N1010" s="22"/>
      <c r="O1010" s="22"/>
      <c r="P1010" s="22"/>
      <c r="Q1010" s="22"/>
      <c r="R1010" s="22"/>
      <c r="S1010" s="22"/>
      <c r="T1010" s="22"/>
      <c r="U1010" s="22"/>
      <c r="V1010" s="22"/>
      <c r="W1010" s="22"/>
      <c r="X1010" s="22"/>
      <c r="Y1010" s="22"/>
      <c r="Z1010" s="22"/>
    </row>
    <row r="1011" spans="1:26" ht="16.149999999999999" customHeight="1" x14ac:dyDescent="0.25">
      <c r="A1011" s="22"/>
      <c r="B1011" s="22"/>
      <c r="C1011" s="22"/>
      <c r="D1011" s="22"/>
      <c r="E1011" s="22"/>
      <c r="F1011" s="22"/>
      <c r="G1011" s="22"/>
      <c r="H1011" s="22"/>
      <c r="I1011" s="22"/>
      <c r="J1011" s="22"/>
      <c r="K1011" s="22"/>
      <c r="L1011" s="22"/>
      <c r="M1011" s="22"/>
      <c r="N1011" s="22"/>
      <c r="O1011" s="22"/>
      <c r="P1011" s="22"/>
      <c r="Q1011" s="22"/>
      <c r="R1011" s="22"/>
      <c r="S1011" s="22"/>
      <c r="T1011" s="22"/>
      <c r="U1011" s="22"/>
      <c r="V1011" s="22"/>
      <c r="W1011" s="22"/>
      <c r="X1011" s="22"/>
      <c r="Y1011" s="22"/>
      <c r="Z1011" s="22"/>
    </row>
    <row r="1012" spans="1:26" ht="16.149999999999999" customHeight="1" x14ac:dyDescent="0.25">
      <c r="A1012" s="22"/>
      <c r="B1012" s="22"/>
      <c r="C1012" s="22"/>
      <c r="D1012" s="22"/>
      <c r="E1012" s="22"/>
      <c r="F1012" s="22"/>
      <c r="G1012" s="22"/>
      <c r="H1012" s="22"/>
      <c r="I1012" s="22"/>
      <c r="J1012" s="22"/>
      <c r="K1012" s="22"/>
      <c r="L1012" s="22"/>
      <c r="M1012" s="22"/>
      <c r="N1012" s="22"/>
      <c r="O1012" s="22"/>
      <c r="P1012" s="22"/>
      <c r="Q1012" s="22"/>
      <c r="R1012" s="22"/>
      <c r="S1012" s="22"/>
      <c r="T1012" s="22"/>
      <c r="U1012" s="22"/>
      <c r="V1012" s="22"/>
      <c r="W1012" s="22"/>
      <c r="X1012" s="22"/>
      <c r="Y1012" s="22"/>
      <c r="Z1012" s="22"/>
    </row>
    <row r="1013" spans="1:26" ht="16.149999999999999" customHeight="1" x14ac:dyDescent="0.25">
      <c r="A1013" s="22"/>
      <c r="B1013" s="22"/>
      <c r="C1013" s="22"/>
      <c r="D1013" s="22"/>
      <c r="E1013" s="22"/>
      <c r="F1013" s="22"/>
      <c r="G1013" s="22"/>
      <c r="H1013" s="22"/>
      <c r="I1013" s="22"/>
      <c r="J1013" s="22"/>
      <c r="K1013" s="22"/>
      <c r="L1013" s="22"/>
      <c r="M1013" s="22"/>
      <c r="N1013" s="22"/>
      <c r="O1013" s="22"/>
      <c r="P1013" s="22"/>
      <c r="Q1013" s="22"/>
      <c r="R1013" s="22"/>
      <c r="S1013" s="22"/>
      <c r="T1013" s="22"/>
      <c r="U1013" s="22"/>
      <c r="V1013" s="22"/>
      <c r="W1013" s="22"/>
      <c r="X1013" s="22"/>
      <c r="Y1013" s="22"/>
      <c r="Z1013" s="22"/>
    </row>
    <row r="1014" spans="1:26" ht="16.149999999999999" customHeight="1" x14ac:dyDescent="0.25">
      <c r="A1014" s="22"/>
      <c r="B1014" s="22"/>
      <c r="C1014" s="22"/>
      <c r="D1014" s="22"/>
      <c r="E1014" s="22"/>
      <c r="F1014" s="22"/>
      <c r="G1014" s="22"/>
      <c r="H1014" s="22"/>
      <c r="I1014" s="22"/>
      <c r="J1014" s="22"/>
      <c r="K1014" s="22"/>
      <c r="L1014" s="22"/>
      <c r="M1014" s="22"/>
      <c r="N1014" s="22"/>
      <c r="O1014" s="22"/>
      <c r="P1014" s="22"/>
      <c r="Q1014" s="22"/>
      <c r="R1014" s="22"/>
      <c r="S1014" s="22"/>
      <c r="T1014" s="22"/>
      <c r="U1014" s="22"/>
      <c r="V1014" s="22"/>
      <c r="W1014" s="22"/>
      <c r="X1014" s="22"/>
      <c r="Y1014" s="22"/>
      <c r="Z1014" s="22"/>
    </row>
    <row r="1015" spans="1:26" ht="16.149999999999999" customHeight="1" x14ac:dyDescent="0.25">
      <c r="A1015" s="22"/>
      <c r="B1015" s="22"/>
      <c r="C1015" s="22"/>
      <c r="D1015" s="22"/>
      <c r="E1015" s="22"/>
      <c r="F1015" s="22"/>
      <c r="G1015" s="22"/>
      <c r="H1015" s="22"/>
      <c r="I1015" s="22"/>
      <c r="J1015" s="22"/>
      <c r="K1015" s="22"/>
      <c r="L1015" s="22"/>
      <c r="M1015" s="22"/>
      <c r="N1015" s="22"/>
      <c r="O1015" s="22"/>
      <c r="P1015" s="22"/>
      <c r="Q1015" s="22"/>
      <c r="R1015" s="22"/>
      <c r="S1015" s="22"/>
      <c r="T1015" s="22"/>
      <c r="U1015" s="22"/>
      <c r="V1015" s="22"/>
      <c r="W1015" s="22"/>
      <c r="X1015" s="22"/>
      <c r="Y1015" s="22"/>
      <c r="Z1015" s="22"/>
    </row>
    <row r="1016" spans="1:26" ht="16.149999999999999" customHeight="1" x14ac:dyDescent="0.25">
      <c r="A1016" s="22"/>
      <c r="B1016" s="22"/>
      <c r="C1016" s="22"/>
      <c r="D1016" s="22"/>
      <c r="E1016" s="22"/>
      <c r="F1016" s="22"/>
      <c r="G1016" s="22"/>
      <c r="H1016" s="22"/>
      <c r="I1016" s="22"/>
      <c r="J1016" s="22"/>
      <c r="K1016" s="22"/>
      <c r="L1016" s="22"/>
      <c r="M1016" s="22"/>
      <c r="N1016" s="22"/>
      <c r="O1016" s="22"/>
      <c r="P1016" s="22"/>
      <c r="Q1016" s="22"/>
      <c r="R1016" s="22"/>
      <c r="S1016" s="22"/>
      <c r="T1016" s="22"/>
      <c r="U1016" s="22"/>
      <c r="V1016" s="22"/>
      <c r="W1016" s="22"/>
      <c r="X1016" s="22"/>
      <c r="Y1016" s="22"/>
      <c r="Z1016" s="22"/>
    </row>
    <row r="1017" spans="1:26" ht="16.149999999999999" customHeight="1" x14ac:dyDescent="0.25">
      <c r="A1017" s="22"/>
      <c r="B1017" s="22"/>
      <c r="C1017" s="22"/>
      <c r="D1017" s="22"/>
      <c r="E1017" s="22"/>
      <c r="F1017" s="22"/>
      <c r="G1017" s="22"/>
      <c r="H1017" s="22"/>
      <c r="I1017" s="22"/>
      <c r="J1017" s="22"/>
      <c r="K1017" s="22"/>
      <c r="L1017" s="22"/>
      <c r="M1017" s="22"/>
      <c r="N1017" s="22"/>
      <c r="O1017" s="22"/>
      <c r="P1017" s="22"/>
      <c r="Q1017" s="22"/>
      <c r="R1017" s="22"/>
      <c r="S1017" s="22"/>
      <c r="T1017" s="22"/>
      <c r="U1017" s="22"/>
      <c r="V1017" s="22"/>
      <c r="W1017" s="22"/>
      <c r="X1017" s="22"/>
      <c r="Y1017" s="22"/>
      <c r="Z1017" s="22"/>
    </row>
    <row r="1018" spans="1:26" ht="16.149999999999999" customHeight="1" x14ac:dyDescent="0.25">
      <c r="A1018" s="22"/>
      <c r="B1018" s="22"/>
      <c r="C1018" s="22"/>
      <c r="D1018" s="22"/>
      <c r="E1018" s="22"/>
      <c r="F1018" s="22"/>
      <c r="G1018" s="22"/>
      <c r="H1018" s="22"/>
      <c r="I1018" s="22"/>
      <c r="J1018" s="22"/>
      <c r="K1018" s="22"/>
      <c r="L1018" s="22"/>
      <c r="M1018" s="22"/>
      <c r="N1018" s="22"/>
      <c r="O1018" s="22"/>
      <c r="P1018" s="22"/>
      <c r="Q1018" s="22"/>
      <c r="R1018" s="22"/>
      <c r="S1018" s="22"/>
      <c r="T1018" s="22"/>
      <c r="U1018" s="22"/>
      <c r="V1018" s="22"/>
      <c r="W1018" s="22"/>
      <c r="X1018" s="22"/>
      <c r="Y1018" s="22"/>
      <c r="Z1018" s="22"/>
    </row>
    <row r="1019" spans="1:26" ht="16.149999999999999" customHeight="1" x14ac:dyDescent="0.25">
      <c r="A1019" s="22"/>
      <c r="B1019" s="22"/>
      <c r="C1019" s="22"/>
      <c r="D1019" s="22"/>
      <c r="E1019" s="22"/>
      <c r="F1019" s="22"/>
      <c r="G1019" s="22"/>
      <c r="H1019" s="22"/>
      <c r="I1019" s="22"/>
      <c r="J1019" s="22"/>
      <c r="K1019" s="22"/>
      <c r="L1019" s="22"/>
      <c r="M1019" s="22"/>
      <c r="N1019" s="22"/>
      <c r="O1019" s="22"/>
      <c r="P1019" s="22"/>
      <c r="Q1019" s="22"/>
      <c r="R1019" s="22"/>
      <c r="S1019" s="22"/>
      <c r="T1019" s="22"/>
      <c r="U1019" s="22"/>
      <c r="V1019" s="22"/>
      <c r="W1019" s="22"/>
      <c r="X1019" s="22"/>
      <c r="Y1019" s="22"/>
      <c r="Z1019" s="22"/>
    </row>
    <row r="1020" spans="1:26" ht="16.149999999999999" customHeight="1" x14ac:dyDescent="0.25">
      <c r="A1020" s="22"/>
      <c r="B1020" s="22"/>
      <c r="C1020" s="22"/>
      <c r="D1020" s="22"/>
      <c r="E1020" s="22"/>
      <c r="F1020" s="22"/>
      <c r="G1020" s="22"/>
      <c r="H1020" s="22"/>
      <c r="I1020" s="22"/>
      <c r="J1020" s="22"/>
      <c r="K1020" s="22"/>
      <c r="L1020" s="22"/>
      <c r="M1020" s="22"/>
      <c r="N1020" s="22"/>
      <c r="O1020" s="22"/>
      <c r="P1020" s="22"/>
      <c r="Q1020" s="22"/>
      <c r="R1020" s="22"/>
      <c r="S1020" s="22"/>
      <c r="T1020" s="22"/>
      <c r="U1020" s="22"/>
      <c r="V1020" s="22"/>
      <c r="W1020" s="22"/>
      <c r="X1020" s="22"/>
      <c r="Y1020" s="22"/>
      <c r="Z1020" s="22"/>
    </row>
    <row r="1021" spans="1:26" ht="16.149999999999999" customHeight="1" x14ac:dyDescent="0.25">
      <c r="A1021" s="22"/>
      <c r="B1021" s="22"/>
      <c r="C1021" s="22"/>
      <c r="D1021" s="22"/>
      <c r="E1021" s="22"/>
      <c r="F1021" s="22"/>
      <c r="G1021" s="22"/>
      <c r="H1021" s="22"/>
      <c r="I1021" s="22"/>
      <c r="J1021" s="22"/>
      <c r="K1021" s="22"/>
      <c r="L1021" s="22"/>
      <c r="M1021" s="22"/>
      <c r="N1021" s="22"/>
      <c r="O1021" s="22"/>
      <c r="P1021" s="22"/>
      <c r="Q1021" s="22"/>
      <c r="R1021" s="22"/>
      <c r="S1021" s="22"/>
      <c r="T1021" s="22"/>
      <c r="U1021" s="22"/>
      <c r="V1021" s="22"/>
      <c r="W1021" s="22"/>
      <c r="X1021" s="22"/>
      <c r="Y1021" s="22"/>
      <c r="Z1021" s="22"/>
    </row>
    <row r="1022" spans="1:26" ht="16.149999999999999" customHeight="1" x14ac:dyDescent="0.25">
      <c r="A1022" s="22"/>
      <c r="B1022" s="22"/>
      <c r="C1022" s="22"/>
      <c r="D1022" s="22"/>
      <c r="E1022" s="22"/>
      <c r="F1022" s="22"/>
      <c r="G1022" s="22"/>
      <c r="H1022" s="22"/>
      <c r="I1022" s="22"/>
      <c r="J1022" s="22"/>
      <c r="K1022" s="22"/>
      <c r="L1022" s="22"/>
      <c r="M1022" s="22"/>
      <c r="N1022" s="22"/>
      <c r="O1022" s="22"/>
      <c r="P1022" s="22"/>
      <c r="Q1022" s="22"/>
      <c r="R1022" s="22"/>
      <c r="S1022" s="22"/>
      <c r="T1022" s="22"/>
      <c r="U1022" s="22"/>
      <c r="V1022" s="22"/>
      <c r="W1022" s="22"/>
      <c r="X1022" s="22"/>
      <c r="Y1022" s="22"/>
      <c r="Z1022" s="22"/>
    </row>
    <row r="1023" spans="1:26" ht="16.149999999999999" customHeight="1" x14ac:dyDescent="0.25">
      <c r="A1023" s="22"/>
      <c r="B1023" s="22"/>
      <c r="C1023" s="22"/>
      <c r="D1023" s="22"/>
      <c r="E1023" s="22"/>
      <c r="F1023" s="22"/>
      <c r="G1023" s="22"/>
      <c r="H1023" s="22"/>
      <c r="I1023" s="22"/>
      <c r="J1023" s="22"/>
      <c r="K1023" s="22"/>
      <c r="L1023" s="22"/>
      <c r="M1023" s="22"/>
      <c r="N1023" s="22"/>
      <c r="O1023" s="22"/>
      <c r="P1023" s="22"/>
      <c r="Q1023" s="22"/>
      <c r="R1023" s="22"/>
      <c r="S1023" s="22"/>
      <c r="T1023" s="22"/>
      <c r="U1023" s="22"/>
      <c r="V1023" s="22"/>
      <c r="W1023" s="22"/>
      <c r="X1023" s="22"/>
      <c r="Y1023" s="22"/>
      <c r="Z1023" s="22"/>
    </row>
    <row r="1024" spans="1:26" ht="16.149999999999999" customHeight="1" x14ac:dyDescent="0.25">
      <c r="A1024" s="22"/>
      <c r="B1024" s="22"/>
      <c r="C1024" s="22"/>
      <c r="D1024" s="22"/>
      <c r="E1024" s="22"/>
      <c r="F1024" s="22"/>
      <c r="G1024" s="22"/>
      <c r="H1024" s="22"/>
      <c r="I1024" s="22"/>
      <c r="J1024" s="22"/>
      <c r="K1024" s="22"/>
      <c r="L1024" s="22"/>
      <c r="M1024" s="22"/>
      <c r="N1024" s="22"/>
      <c r="O1024" s="22"/>
      <c r="P1024" s="22"/>
      <c r="Q1024" s="22"/>
      <c r="R1024" s="22"/>
      <c r="S1024" s="22"/>
      <c r="T1024" s="22"/>
      <c r="U1024" s="22"/>
      <c r="V1024" s="22"/>
      <c r="W1024" s="22"/>
      <c r="X1024" s="22"/>
      <c r="Y1024" s="22"/>
      <c r="Z1024" s="22"/>
    </row>
    <row r="1025" spans="1:26" ht="16.149999999999999" customHeight="1" x14ac:dyDescent="0.25">
      <c r="A1025" s="22"/>
      <c r="B1025" s="22"/>
      <c r="C1025" s="22"/>
      <c r="D1025" s="22"/>
      <c r="E1025" s="22"/>
      <c r="F1025" s="22"/>
      <c r="G1025" s="22"/>
      <c r="H1025" s="22"/>
      <c r="I1025" s="22"/>
      <c r="J1025" s="22"/>
      <c r="K1025" s="22"/>
      <c r="L1025" s="22"/>
      <c r="M1025" s="22"/>
      <c r="N1025" s="22"/>
      <c r="O1025" s="22"/>
      <c r="P1025" s="22"/>
      <c r="Q1025" s="22"/>
      <c r="R1025" s="22"/>
      <c r="S1025" s="22"/>
      <c r="T1025" s="22"/>
      <c r="U1025" s="22"/>
      <c r="V1025" s="22"/>
      <c r="W1025" s="22"/>
      <c r="X1025" s="22"/>
      <c r="Y1025" s="22"/>
      <c r="Z1025" s="22"/>
    </row>
    <row r="1026" spans="1:26" ht="16.149999999999999" customHeight="1" x14ac:dyDescent="0.25">
      <c r="A1026" s="22"/>
      <c r="B1026" s="22"/>
      <c r="C1026" s="22"/>
      <c r="D1026" s="22"/>
      <c r="E1026" s="22"/>
      <c r="F1026" s="22"/>
      <c r="G1026" s="22"/>
      <c r="H1026" s="22"/>
      <c r="I1026" s="22"/>
      <c r="J1026" s="22"/>
      <c r="K1026" s="22"/>
      <c r="L1026" s="22"/>
      <c r="M1026" s="22"/>
      <c r="N1026" s="22"/>
      <c r="O1026" s="22"/>
      <c r="P1026" s="22"/>
      <c r="Q1026" s="22"/>
      <c r="R1026" s="22"/>
      <c r="S1026" s="22"/>
      <c r="T1026" s="22"/>
      <c r="U1026" s="22"/>
      <c r="V1026" s="22"/>
      <c r="W1026" s="22"/>
      <c r="X1026" s="22"/>
      <c r="Y1026" s="22"/>
      <c r="Z1026" s="22"/>
    </row>
    <row r="1027" spans="1:26" ht="16.149999999999999" customHeight="1" x14ac:dyDescent="0.25">
      <c r="A1027" s="22"/>
      <c r="B1027" s="22"/>
      <c r="C1027" s="22"/>
      <c r="D1027" s="22"/>
      <c r="E1027" s="22"/>
      <c r="F1027" s="22"/>
      <c r="G1027" s="22"/>
      <c r="H1027" s="22"/>
      <c r="I1027" s="22"/>
      <c r="J1027" s="22"/>
      <c r="K1027" s="22"/>
      <c r="L1027" s="22"/>
      <c r="M1027" s="22"/>
      <c r="N1027" s="22"/>
      <c r="O1027" s="22"/>
      <c r="P1027" s="22"/>
      <c r="Q1027" s="22"/>
      <c r="R1027" s="22"/>
      <c r="S1027" s="22"/>
      <c r="T1027" s="22"/>
      <c r="U1027" s="22"/>
      <c r="V1027" s="22"/>
      <c r="W1027" s="22"/>
      <c r="X1027" s="22"/>
      <c r="Y1027" s="22"/>
      <c r="Z1027" s="22"/>
    </row>
    <row r="1028" spans="1:26" ht="16.149999999999999" customHeight="1" x14ac:dyDescent="0.25">
      <c r="A1028" s="22"/>
      <c r="B1028" s="22"/>
      <c r="C1028" s="22"/>
      <c r="D1028" s="22"/>
      <c r="E1028" s="22"/>
      <c r="F1028" s="22"/>
      <c r="G1028" s="22"/>
      <c r="H1028" s="22"/>
      <c r="I1028" s="22"/>
      <c r="J1028" s="22"/>
      <c r="K1028" s="22"/>
      <c r="L1028" s="22"/>
      <c r="M1028" s="22"/>
      <c r="N1028" s="22"/>
      <c r="O1028" s="22"/>
      <c r="P1028" s="22"/>
      <c r="Q1028" s="22"/>
      <c r="R1028" s="22"/>
      <c r="S1028" s="22"/>
      <c r="T1028" s="22"/>
      <c r="U1028" s="22"/>
      <c r="V1028" s="22"/>
      <c r="W1028" s="22"/>
      <c r="X1028" s="22"/>
      <c r="Y1028" s="22"/>
      <c r="Z1028" s="22"/>
    </row>
    <row r="1029" spans="1:26" ht="16.149999999999999" customHeight="1" x14ac:dyDescent="0.25">
      <c r="A1029" s="22"/>
      <c r="B1029" s="22"/>
      <c r="C1029" s="22"/>
      <c r="D1029" s="22"/>
      <c r="E1029" s="22"/>
      <c r="F1029" s="22"/>
      <c r="G1029" s="22"/>
      <c r="H1029" s="22"/>
      <c r="I1029" s="22"/>
      <c r="J1029" s="22"/>
      <c r="K1029" s="22"/>
      <c r="L1029" s="22"/>
      <c r="M1029" s="22"/>
      <c r="N1029" s="22"/>
      <c r="O1029" s="22"/>
      <c r="P1029" s="22"/>
      <c r="Q1029" s="22"/>
      <c r="R1029" s="22"/>
      <c r="S1029" s="22"/>
      <c r="T1029" s="22"/>
      <c r="U1029" s="22"/>
      <c r="V1029" s="22"/>
      <c r="W1029" s="22"/>
      <c r="X1029" s="22"/>
      <c r="Y1029" s="22"/>
      <c r="Z1029" s="22"/>
    </row>
    <row r="1030" spans="1:26" ht="16.149999999999999" customHeight="1" x14ac:dyDescent="0.25">
      <c r="A1030" s="22"/>
      <c r="B1030" s="22"/>
      <c r="C1030" s="22"/>
      <c r="D1030" s="22"/>
      <c r="E1030" s="22"/>
      <c r="F1030" s="22"/>
      <c r="G1030" s="22"/>
      <c r="H1030" s="22"/>
      <c r="I1030" s="22"/>
      <c r="J1030" s="22"/>
      <c r="K1030" s="22"/>
      <c r="L1030" s="22"/>
      <c r="M1030" s="22"/>
      <c r="N1030" s="22"/>
      <c r="O1030" s="22"/>
      <c r="P1030" s="22"/>
      <c r="Q1030" s="22"/>
      <c r="R1030" s="22"/>
      <c r="S1030" s="22"/>
      <c r="T1030" s="22"/>
      <c r="U1030" s="22"/>
      <c r="V1030" s="22"/>
      <c r="W1030" s="22"/>
      <c r="X1030" s="22"/>
      <c r="Y1030" s="22"/>
      <c r="Z1030" s="22"/>
    </row>
    <row r="1031" spans="1:26" ht="16.149999999999999" customHeight="1" x14ac:dyDescent="0.25">
      <c r="A1031" s="22"/>
      <c r="B1031" s="22"/>
      <c r="C1031" s="22"/>
      <c r="D1031" s="22"/>
      <c r="E1031" s="22"/>
      <c r="F1031" s="22"/>
      <c r="G1031" s="22"/>
      <c r="H1031" s="22"/>
      <c r="I1031" s="22"/>
      <c r="J1031" s="22"/>
      <c r="K1031" s="22"/>
      <c r="L1031" s="22"/>
      <c r="M1031" s="22"/>
      <c r="N1031" s="22"/>
      <c r="O1031" s="22"/>
      <c r="P1031" s="22"/>
      <c r="Q1031" s="22"/>
      <c r="R1031" s="22"/>
      <c r="S1031" s="22"/>
      <c r="T1031" s="22"/>
      <c r="U1031" s="22"/>
      <c r="V1031" s="22"/>
      <c r="W1031" s="22"/>
      <c r="X1031" s="22"/>
      <c r="Y1031" s="22"/>
      <c r="Z1031" s="22"/>
    </row>
    <row r="1032" spans="1:26" ht="16.149999999999999" customHeight="1" x14ac:dyDescent="0.25">
      <c r="A1032" s="22"/>
      <c r="B1032" s="22"/>
      <c r="C1032" s="22"/>
      <c r="D1032" s="22"/>
      <c r="E1032" s="22"/>
      <c r="F1032" s="22"/>
      <c r="G1032" s="22"/>
      <c r="H1032" s="22"/>
      <c r="I1032" s="22"/>
      <c r="J1032" s="22"/>
      <c r="K1032" s="22"/>
      <c r="L1032" s="22"/>
      <c r="M1032" s="22"/>
      <c r="N1032" s="22"/>
      <c r="O1032" s="22"/>
      <c r="P1032" s="22"/>
      <c r="Q1032" s="22"/>
      <c r="R1032" s="22"/>
      <c r="S1032" s="22"/>
      <c r="T1032" s="22"/>
      <c r="U1032" s="22"/>
      <c r="V1032" s="22"/>
      <c r="W1032" s="22"/>
      <c r="X1032" s="22"/>
      <c r="Y1032" s="22"/>
      <c r="Z1032" s="22"/>
    </row>
    <row r="1033" spans="1:26" ht="16.149999999999999" customHeight="1" x14ac:dyDescent="0.25">
      <c r="A1033" s="22"/>
      <c r="B1033" s="22"/>
      <c r="C1033" s="22"/>
      <c r="D1033" s="22"/>
      <c r="E1033" s="22"/>
      <c r="F1033" s="22"/>
      <c r="G1033" s="22"/>
      <c r="H1033" s="22"/>
      <c r="I1033" s="22"/>
      <c r="J1033" s="22"/>
      <c r="K1033" s="22"/>
      <c r="L1033" s="22"/>
      <c r="M1033" s="22"/>
      <c r="N1033" s="22"/>
      <c r="O1033" s="22"/>
      <c r="P1033" s="22"/>
      <c r="Q1033" s="22"/>
      <c r="R1033" s="22"/>
      <c r="S1033" s="22"/>
      <c r="T1033" s="22"/>
      <c r="U1033" s="22"/>
      <c r="V1033" s="22"/>
      <c r="W1033" s="22"/>
      <c r="X1033" s="22"/>
      <c r="Y1033" s="22"/>
      <c r="Z1033" s="22"/>
    </row>
    <row r="1034" spans="1:26" ht="16.149999999999999" customHeight="1" x14ac:dyDescent="0.25">
      <c r="A1034" s="22"/>
      <c r="B1034" s="22"/>
      <c r="C1034" s="22"/>
      <c r="D1034" s="22"/>
      <c r="E1034" s="22"/>
      <c r="F1034" s="22"/>
      <c r="G1034" s="22"/>
      <c r="H1034" s="22"/>
      <c r="I1034" s="22"/>
      <c r="J1034" s="22"/>
      <c r="K1034" s="22"/>
      <c r="L1034" s="22"/>
      <c r="M1034" s="22"/>
      <c r="N1034" s="22"/>
      <c r="O1034" s="22"/>
      <c r="P1034" s="22"/>
      <c r="Q1034" s="22"/>
      <c r="R1034" s="22"/>
      <c r="S1034" s="22"/>
      <c r="T1034" s="22"/>
      <c r="U1034" s="22"/>
      <c r="V1034" s="22"/>
      <c r="W1034" s="22"/>
      <c r="X1034" s="22"/>
      <c r="Y1034" s="22"/>
      <c r="Z1034" s="22"/>
    </row>
    <row r="1035" spans="1:26" ht="16.149999999999999" customHeight="1" x14ac:dyDescent="0.25">
      <c r="A1035" s="22"/>
      <c r="B1035" s="22"/>
      <c r="C1035" s="22"/>
      <c r="D1035" s="22"/>
      <c r="E1035" s="22"/>
      <c r="F1035" s="22"/>
      <c r="G1035" s="22"/>
      <c r="H1035" s="22"/>
      <c r="I1035" s="22"/>
      <c r="J1035" s="22"/>
      <c r="K1035" s="22"/>
      <c r="L1035" s="22"/>
      <c r="M1035" s="22"/>
      <c r="N1035" s="22"/>
      <c r="O1035" s="22"/>
      <c r="P1035" s="22"/>
      <c r="Q1035" s="22"/>
      <c r="R1035" s="22"/>
      <c r="S1035" s="22"/>
      <c r="T1035" s="22"/>
      <c r="U1035" s="22"/>
      <c r="V1035" s="22"/>
      <c r="W1035" s="22"/>
      <c r="X1035" s="22"/>
      <c r="Y1035" s="22"/>
      <c r="Z1035" s="22"/>
    </row>
    <row r="1036" spans="1:26" ht="16.149999999999999" customHeight="1" x14ac:dyDescent="0.25">
      <c r="A1036" s="22"/>
      <c r="B1036" s="22"/>
      <c r="C1036" s="22"/>
      <c r="D1036" s="22"/>
      <c r="E1036" s="22"/>
      <c r="F1036" s="22"/>
      <c r="G1036" s="22"/>
      <c r="H1036" s="22"/>
      <c r="I1036" s="22"/>
      <c r="J1036" s="22"/>
      <c r="K1036" s="22"/>
      <c r="L1036" s="22"/>
      <c r="M1036" s="22"/>
      <c r="N1036" s="22"/>
      <c r="O1036" s="22"/>
      <c r="P1036" s="22"/>
      <c r="Q1036" s="22"/>
      <c r="R1036" s="22"/>
      <c r="S1036" s="22"/>
      <c r="T1036" s="22"/>
      <c r="U1036" s="22"/>
      <c r="V1036" s="22"/>
      <c r="W1036" s="22"/>
      <c r="X1036" s="22"/>
      <c r="Y1036" s="22"/>
      <c r="Z1036" s="22"/>
    </row>
  </sheetData>
  <mergeCells count="3">
    <mergeCell ref="A1:C1"/>
    <mergeCell ref="F2:H2"/>
    <mergeCell ref="J2:M2"/>
  </mergeCells>
  <phoneticPr fontId="10" type="noConversion"/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5AE76-AC75-4D8D-BD8B-AE554C8B6D3D}">
  <dimension ref="A1:I158"/>
  <sheetViews>
    <sheetView topLeftCell="A136" workbookViewId="0">
      <selection activeCell="I152" sqref="I152"/>
    </sheetView>
  </sheetViews>
  <sheetFormatPr defaultRowHeight="15" customHeight="1" x14ac:dyDescent="0.25"/>
  <cols>
    <col min="1" max="1" width="9" bestFit="1" customWidth="1"/>
    <col min="2" max="2" width="7.5703125" bestFit="1" customWidth="1"/>
    <col min="3" max="3" width="10" bestFit="1" customWidth="1"/>
    <col min="4" max="4" width="10.85546875" bestFit="1" customWidth="1"/>
    <col min="5" max="5" width="27.42578125" bestFit="1" customWidth="1"/>
    <col min="7" max="7" width="18.7109375" bestFit="1" customWidth="1"/>
    <col min="9" max="9" width="142.140625" bestFit="1" customWidth="1"/>
  </cols>
  <sheetData>
    <row r="1" spans="1:9" ht="15" customHeight="1" x14ac:dyDescent="0.25">
      <c r="A1" s="40" t="s">
        <v>0</v>
      </c>
      <c r="B1" s="41"/>
      <c r="C1" s="42"/>
      <c r="D1" s="7"/>
      <c r="E1" s="8"/>
      <c r="F1" s="8"/>
      <c r="G1" s="8"/>
      <c r="H1" s="8"/>
      <c r="I1" s="8"/>
    </row>
    <row r="2" spans="1:9" ht="15" customHeight="1" x14ac:dyDescent="0.25">
      <c r="A2" s="1" t="s">
        <v>1</v>
      </c>
      <c r="B2" s="1" t="s">
        <v>2</v>
      </c>
      <c r="C2" s="1" t="s">
        <v>3</v>
      </c>
      <c r="D2" s="1" t="s">
        <v>115</v>
      </c>
      <c r="E2" s="1" t="s">
        <v>116</v>
      </c>
      <c r="F2" s="43" t="s">
        <v>117</v>
      </c>
      <c r="G2" s="41"/>
      <c r="H2" s="42"/>
      <c r="I2" s="1" t="s">
        <v>118</v>
      </c>
    </row>
    <row r="3" spans="1:9" ht="15" customHeight="1" x14ac:dyDescent="0.25">
      <c r="A3" s="4">
        <v>1</v>
      </c>
      <c r="B3" s="4" t="str">
        <f t="shared" ref="B3:B147" si="0">"DIO"&amp;A3</f>
        <v>DIO1</v>
      </c>
      <c r="C3" s="4" t="s">
        <v>7</v>
      </c>
      <c r="D3" s="4">
        <v>0</v>
      </c>
      <c r="E3" s="9" t="str">
        <f t="shared" ref="E3:E103" si="1">"#if(defined("&amp;C3&amp;"_BIT))
#define "&amp;B3&amp;" "&amp;A3&amp;"
#define "&amp;C3&amp;" "&amp;A3&amp;"
#define "&amp;B3&amp;"_BIT ("&amp;C3&amp;"_BIT)
#endif"</f>
        <v>#if(defined(STEP0_BIT))
#define DIO1 1
#define STEP0 1
#define DIO1_BIT (STEP0_BIT)
#endif</v>
      </c>
      <c r="F3" s="9"/>
      <c r="G3" s="9"/>
      <c r="H3" s="9"/>
      <c r="I3" s="4" t="str">
        <f t="shared" ref="I3:I26" si="2">"#if "&amp;C3&amp;"&gt;=0
mcu_config_output("&amp;C3&amp;");
#endif"</f>
        <v>#if STEP0&gt;=0
mcu_config_output(STEP0);
#endif</v>
      </c>
    </row>
    <row r="4" spans="1:9" ht="15" customHeight="1" x14ac:dyDescent="0.25">
      <c r="A4" s="4">
        <v>2</v>
      </c>
      <c r="B4" s="4" t="str">
        <f t="shared" si="0"/>
        <v>DIO2</v>
      </c>
      <c r="C4" s="4" t="s">
        <v>8</v>
      </c>
      <c r="D4" s="4">
        <v>1</v>
      </c>
      <c r="E4" s="9" t="str">
        <f t="shared" si="1"/>
        <v>#if(defined(STEP1_BIT))
#define DIO2 2
#define STEP1 2
#define DIO2_BIT (STEP1_BIT)
#endif</v>
      </c>
      <c r="F4" s="9"/>
      <c r="G4" s="9"/>
      <c r="H4" s="9"/>
      <c r="I4" s="4" t="str">
        <f t="shared" si="2"/>
        <v>#if STEP1&gt;=0
mcu_config_output(STEP1);
#endif</v>
      </c>
    </row>
    <row r="5" spans="1:9" ht="15" customHeight="1" x14ac:dyDescent="0.25">
      <c r="A5" s="4">
        <v>3</v>
      </c>
      <c r="B5" s="4" t="str">
        <f t="shared" si="0"/>
        <v>DIO3</v>
      </c>
      <c r="C5" s="4" t="s">
        <v>9</v>
      </c>
      <c r="D5" s="4">
        <v>2</v>
      </c>
      <c r="E5" s="9" t="str">
        <f t="shared" si="1"/>
        <v>#if(defined(STEP2_BIT))
#define DIO3 3
#define STEP2 3
#define DIO3_BIT (STEP2_BIT)
#endif</v>
      </c>
      <c r="F5" s="9"/>
      <c r="G5" s="9"/>
      <c r="H5" s="9"/>
      <c r="I5" s="4" t="str">
        <f t="shared" si="2"/>
        <v>#if STEP2&gt;=0
mcu_config_output(STEP2);
#endif</v>
      </c>
    </row>
    <row r="6" spans="1:9" ht="15" customHeight="1" x14ac:dyDescent="0.25">
      <c r="A6" s="4">
        <v>4</v>
      </c>
      <c r="B6" s="4" t="str">
        <f t="shared" si="0"/>
        <v>DIO4</v>
      </c>
      <c r="C6" s="4" t="s">
        <v>10</v>
      </c>
      <c r="D6" s="4">
        <v>3</v>
      </c>
      <c r="E6" s="9" t="str">
        <f t="shared" si="1"/>
        <v>#if(defined(STEP3_BIT))
#define DIO4 4
#define STEP3 4
#define DIO4_BIT (STEP3_BIT)
#endif</v>
      </c>
      <c r="F6" s="9"/>
      <c r="G6" s="9"/>
      <c r="H6" s="9"/>
      <c r="I6" s="4" t="str">
        <f t="shared" si="2"/>
        <v>#if STEP3&gt;=0
mcu_config_output(STEP3);
#endif</v>
      </c>
    </row>
    <row r="7" spans="1:9" ht="15" customHeight="1" x14ac:dyDescent="0.25">
      <c r="A7" s="4">
        <v>5</v>
      </c>
      <c r="B7" s="4" t="str">
        <f t="shared" si="0"/>
        <v>DIO5</v>
      </c>
      <c r="C7" s="4" t="s">
        <v>11</v>
      </c>
      <c r="D7" s="4">
        <v>4</v>
      </c>
      <c r="E7" s="9" t="str">
        <f t="shared" si="1"/>
        <v>#if(defined(STEP4_BIT))
#define DIO5 5
#define STEP4 5
#define DIO5_BIT (STEP4_BIT)
#endif</v>
      </c>
      <c r="F7" s="9"/>
      <c r="G7" s="9"/>
      <c r="H7" s="9"/>
      <c r="I7" s="4" t="str">
        <f t="shared" si="2"/>
        <v>#if STEP4&gt;=0
mcu_config_output(STEP4);
#endif</v>
      </c>
    </row>
    <row r="8" spans="1:9" ht="15" customHeight="1" x14ac:dyDescent="0.25">
      <c r="A8" s="4">
        <v>6</v>
      </c>
      <c r="B8" s="4" t="str">
        <f t="shared" si="0"/>
        <v>DIO6</v>
      </c>
      <c r="C8" s="4" t="s">
        <v>12</v>
      </c>
      <c r="D8" s="4">
        <v>5</v>
      </c>
      <c r="E8" s="9" t="str">
        <f t="shared" si="1"/>
        <v>#if(defined(STEP5_BIT))
#define DIO6 6
#define STEP5 6
#define DIO6_BIT (STEP5_BIT)
#endif</v>
      </c>
      <c r="F8" s="9"/>
      <c r="G8" s="9"/>
      <c r="H8" s="9"/>
      <c r="I8" s="4" t="str">
        <f t="shared" si="2"/>
        <v>#if STEP5&gt;=0
mcu_config_output(STEP5);
#endif</v>
      </c>
    </row>
    <row r="9" spans="1:9" ht="15" customHeight="1" x14ac:dyDescent="0.25">
      <c r="A9" s="4">
        <v>7</v>
      </c>
      <c r="B9" s="4" t="str">
        <f t="shared" si="0"/>
        <v>DIO7</v>
      </c>
      <c r="C9" s="4" t="s">
        <v>13</v>
      </c>
      <c r="D9" s="4">
        <v>6</v>
      </c>
      <c r="E9" s="9" t="str">
        <f t="shared" si="1"/>
        <v>#if(defined(STEP6_BIT))
#define DIO7 7
#define STEP6 7
#define DIO7_BIT (STEP6_BIT)
#endif</v>
      </c>
      <c r="F9" s="9"/>
      <c r="G9" s="9"/>
      <c r="H9" s="9"/>
      <c r="I9" s="4" t="str">
        <f t="shared" si="2"/>
        <v>#if STEP6&gt;=0
mcu_config_output(STEP6);
#endif</v>
      </c>
    </row>
    <row r="10" spans="1:9" ht="15" customHeight="1" x14ac:dyDescent="0.25">
      <c r="A10" s="4">
        <v>8</v>
      </c>
      <c r="B10" s="4" t="str">
        <f t="shared" si="0"/>
        <v>DIO8</v>
      </c>
      <c r="C10" s="4" t="s">
        <v>14</v>
      </c>
      <c r="D10" s="4">
        <v>7</v>
      </c>
      <c r="E10" s="9" t="str">
        <f t="shared" si="1"/>
        <v>#if(defined(STEP7_BIT))
#define DIO8 8
#define STEP7 8
#define DIO8_BIT (STEP7_BIT)
#endif</v>
      </c>
      <c r="F10" s="9"/>
      <c r="G10" s="9"/>
      <c r="H10" s="9"/>
      <c r="I10" s="4" t="str">
        <f t="shared" si="2"/>
        <v>#if STEP7&gt;=0
mcu_config_output(STEP7);
#endif</v>
      </c>
    </row>
    <row r="11" spans="1:9" ht="15" customHeight="1" x14ac:dyDescent="0.25">
      <c r="A11" s="4">
        <v>9</v>
      </c>
      <c r="B11" s="4" t="str">
        <f t="shared" si="0"/>
        <v>DIO9</v>
      </c>
      <c r="C11" s="4" t="s">
        <v>15</v>
      </c>
      <c r="D11" s="4">
        <v>0</v>
      </c>
      <c r="E11" s="9" t="str">
        <f t="shared" si="1"/>
        <v>#if(defined(DIR0_BIT))
#define DIO9 9
#define DIR0 9
#define DIO9_BIT (DIR0_BIT)
#endif</v>
      </c>
      <c r="F11" s="9"/>
      <c r="G11" s="9"/>
      <c r="H11" s="9"/>
      <c r="I11" s="4" t="str">
        <f t="shared" si="2"/>
        <v>#if DIR0&gt;=0
mcu_config_output(DIR0);
#endif</v>
      </c>
    </row>
    <row r="12" spans="1:9" ht="15" customHeight="1" x14ac:dyDescent="0.25">
      <c r="A12" s="4">
        <v>10</v>
      </c>
      <c r="B12" s="4" t="str">
        <f t="shared" si="0"/>
        <v>DIO10</v>
      </c>
      <c r="C12" s="4" t="s">
        <v>16</v>
      </c>
      <c r="D12" s="4">
        <v>1</v>
      </c>
      <c r="E12" s="9" t="str">
        <f t="shared" si="1"/>
        <v>#if(defined(DIR1_BIT))
#define DIO10 10
#define DIR1 10
#define DIO10_BIT (DIR1_BIT)
#endif</v>
      </c>
      <c r="F12" s="9"/>
      <c r="G12" s="9"/>
      <c r="H12" s="9"/>
      <c r="I12" s="4" t="str">
        <f t="shared" si="2"/>
        <v>#if DIR1&gt;=0
mcu_config_output(DIR1);
#endif</v>
      </c>
    </row>
    <row r="13" spans="1:9" ht="15" customHeight="1" x14ac:dyDescent="0.25">
      <c r="A13" s="4">
        <v>11</v>
      </c>
      <c r="B13" s="4" t="str">
        <f t="shared" si="0"/>
        <v>DIO11</v>
      </c>
      <c r="C13" s="4" t="s">
        <v>17</v>
      </c>
      <c r="D13" s="4">
        <v>2</v>
      </c>
      <c r="E13" s="9" t="str">
        <f t="shared" si="1"/>
        <v>#if(defined(DIR2_BIT))
#define DIO11 11
#define DIR2 11
#define DIO11_BIT (DIR2_BIT)
#endif</v>
      </c>
      <c r="F13" s="9"/>
      <c r="G13" s="9"/>
      <c r="H13" s="9"/>
      <c r="I13" s="4" t="str">
        <f t="shared" si="2"/>
        <v>#if DIR2&gt;=0
mcu_config_output(DIR2);
#endif</v>
      </c>
    </row>
    <row r="14" spans="1:9" ht="15" customHeight="1" x14ac:dyDescent="0.25">
      <c r="A14" s="4">
        <v>12</v>
      </c>
      <c r="B14" s="4" t="str">
        <f t="shared" si="0"/>
        <v>DIO12</v>
      </c>
      <c r="C14" s="4" t="s">
        <v>18</v>
      </c>
      <c r="D14" s="4">
        <v>3</v>
      </c>
      <c r="E14" s="9" t="str">
        <f t="shared" si="1"/>
        <v>#if(defined(DIR3_BIT))
#define DIO12 12
#define DIR3 12
#define DIO12_BIT (DIR3_BIT)
#endif</v>
      </c>
      <c r="F14" s="9"/>
      <c r="G14" s="9"/>
      <c r="H14" s="9"/>
      <c r="I14" s="4" t="str">
        <f t="shared" si="2"/>
        <v>#if DIR3&gt;=0
mcu_config_output(DIR3);
#endif</v>
      </c>
    </row>
    <row r="15" spans="1:9" ht="15" customHeight="1" x14ac:dyDescent="0.25">
      <c r="A15" s="4">
        <v>13</v>
      </c>
      <c r="B15" s="4" t="str">
        <f t="shared" si="0"/>
        <v>DIO13</v>
      </c>
      <c r="C15" s="4" t="s">
        <v>19</v>
      </c>
      <c r="D15" s="4">
        <v>4</v>
      </c>
      <c r="E15" s="9" t="str">
        <f t="shared" si="1"/>
        <v>#if(defined(DIR4_BIT))
#define DIO13 13
#define DIR4 13
#define DIO13_BIT (DIR4_BIT)
#endif</v>
      </c>
      <c r="F15" s="9"/>
      <c r="G15" s="9"/>
      <c r="H15" s="9"/>
      <c r="I15" s="4" t="str">
        <f t="shared" si="2"/>
        <v>#if DIR4&gt;=0
mcu_config_output(DIR4);
#endif</v>
      </c>
    </row>
    <row r="16" spans="1:9" ht="15" customHeight="1" x14ac:dyDescent="0.25">
      <c r="A16" s="4">
        <v>14</v>
      </c>
      <c r="B16" s="4" t="str">
        <f t="shared" si="0"/>
        <v>DIO14</v>
      </c>
      <c r="C16" s="4" t="s">
        <v>20</v>
      </c>
      <c r="D16" s="4">
        <v>5</v>
      </c>
      <c r="E16" s="9" t="str">
        <f t="shared" si="1"/>
        <v>#if(defined(DIR5_BIT))
#define DIO14 14
#define DIR5 14
#define DIO14_BIT (DIR5_BIT)
#endif</v>
      </c>
      <c r="F16" s="9"/>
      <c r="G16" s="9"/>
      <c r="H16" s="9"/>
      <c r="I16" s="4" t="str">
        <f t="shared" si="2"/>
        <v>#if DIR5&gt;=0
mcu_config_output(DIR5);
#endif</v>
      </c>
    </row>
    <row r="17" spans="1:9" ht="15" customHeight="1" x14ac:dyDescent="0.25">
      <c r="A17" s="4">
        <v>15</v>
      </c>
      <c r="B17" s="4" t="str">
        <f t="shared" si="0"/>
        <v>DIO15</v>
      </c>
      <c r="C17" s="4" t="s">
        <v>228</v>
      </c>
      <c r="D17" s="4">
        <v>0</v>
      </c>
      <c r="E17" s="9" t="str">
        <f t="shared" si="1"/>
        <v>#if(defined(DIR6_BIT))
#define DIO15 15
#define DIR6 15
#define DIO15_BIT (DIR6_BIT)
#endif</v>
      </c>
      <c r="F17" s="9"/>
      <c r="G17" s="9"/>
      <c r="H17" s="10"/>
      <c r="I17" s="4" t="str">
        <f t="shared" si="2"/>
        <v>#if DIR6&gt;=0
mcu_config_output(DIR6);
#endif</v>
      </c>
    </row>
    <row r="18" spans="1:9" ht="15" customHeight="1" x14ac:dyDescent="0.25">
      <c r="A18" s="4">
        <v>16</v>
      </c>
      <c r="B18" s="4" t="str">
        <f t="shared" si="0"/>
        <v>DIO16</v>
      </c>
      <c r="C18" s="4" t="s">
        <v>229</v>
      </c>
      <c r="D18" s="4">
        <v>1</v>
      </c>
      <c r="E18" s="9" t="str">
        <f t="shared" si="1"/>
        <v>#if(defined(DIR7_BIT))
#define DIO16 16
#define DIR7 16
#define DIO16_BIT (DIR7_BIT)
#endif</v>
      </c>
      <c r="F18" s="9"/>
      <c r="G18" s="9"/>
      <c r="H18" s="9"/>
      <c r="I18" s="4" t="str">
        <f t="shared" si="2"/>
        <v>#if DIR7&gt;=0
mcu_config_output(DIR7);
#endif</v>
      </c>
    </row>
    <row r="19" spans="1:9" ht="15" customHeight="1" x14ac:dyDescent="0.25">
      <c r="A19" s="4">
        <v>17</v>
      </c>
      <c r="B19" s="4" t="str">
        <f t="shared" si="0"/>
        <v>DIO17</v>
      </c>
      <c r="C19" s="4" t="s">
        <v>21</v>
      </c>
      <c r="D19" s="4">
        <v>2</v>
      </c>
      <c r="E19" s="9" t="str">
        <f t="shared" si="1"/>
        <v>#if(defined(STEP0_EN_BIT))
#define DIO17 17
#define STEP0_EN 17
#define DIO17_BIT (STEP0_EN_BIT)
#endif</v>
      </c>
      <c r="F19" s="9"/>
      <c r="G19" s="9"/>
      <c r="H19" s="9"/>
      <c r="I19" s="4" t="str">
        <f t="shared" si="2"/>
        <v>#if STEP0_EN&gt;=0
mcu_config_output(STEP0_EN);
#endif</v>
      </c>
    </row>
    <row r="20" spans="1:9" ht="15" customHeight="1" x14ac:dyDescent="0.25">
      <c r="A20" s="4">
        <v>18</v>
      </c>
      <c r="B20" s="4" t="str">
        <f t="shared" si="0"/>
        <v>DIO18</v>
      </c>
      <c r="C20" s="4" t="s">
        <v>22</v>
      </c>
      <c r="D20" s="4">
        <v>3</v>
      </c>
      <c r="E20" s="9" t="str">
        <f t="shared" si="1"/>
        <v>#if(defined(STEP1_EN_BIT))
#define DIO18 18
#define STEP1_EN 18
#define DIO18_BIT (STEP1_EN_BIT)
#endif</v>
      </c>
      <c r="F20" s="9"/>
      <c r="G20" s="9"/>
      <c r="H20" s="9"/>
      <c r="I20" s="4" t="str">
        <f t="shared" si="2"/>
        <v>#if STEP1_EN&gt;=0
mcu_config_output(STEP1_EN);
#endif</v>
      </c>
    </row>
    <row r="21" spans="1:9" ht="15" customHeight="1" x14ac:dyDescent="0.25">
      <c r="A21" s="4">
        <v>19</v>
      </c>
      <c r="B21" s="4" t="str">
        <f t="shared" si="0"/>
        <v>DIO19</v>
      </c>
      <c r="C21" s="4" t="s">
        <v>23</v>
      </c>
      <c r="D21" s="4">
        <v>4</v>
      </c>
      <c r="E21" s="9" t="str">
        <f t="shared" si="1"/>
        <v>#if(defined(STEP2_EN_BIT))
#define DIO19 19
#define STEP2_EN 19
#define DIO19_BIT (STEP2_EN_BIT)
#endif</v>
      </c>
      <c r="F21" s="9"/>
      <c r="G21" s="9"/>
      <c r="H21" s="9"/>
      <c r="I21" s="4" t="str">
        <f t="shared" si="2"/>
        <v>#if STEP2_EN&gt;=0
mcu_config_output(STEP2_EN);
#endif</v>
      </c>
    </row>
    <row r="22" spans="1:9" ht="15" customHeight="1" x14ac:dyDescent="0.25">
      <c r="A22" s="4">
        <v>20</v>
      </c>
      <c r="B22" s="4" t="str">
        <f t="shared" si="0"/>
        <v>DIO20</v>
      </c>
      <c r="C22" s="4" t="s">
        <v>24</v>
      </c>
      <c r="D22" s="4">
        <v>5</v>
      </c>
      <c r="E22" s="9" t="str">
        <f t="shared" si="1"/>
        <v>#if(defined(STEP3_EN_BIT))
#define DIO20 20
#define STEP3_EN 20
#define DIO20_BIT (STEP3_EN_BIT)
#endif</v>
      </c>
      <c r="F22" s="9"/>
      <c r="G22" s="9"/>
      <c r="H22" s="9"/>
      <c r="I22" s="4" t="str">
        <f t="shared" si="2"/>
        <v>#if STEP3_EN&gt;=0
mcu_config_output(STEP3_EN);
#endif</v>
      </c>
    </row>
    <row r="23" spans="1:9" ht="15" customHeight="1" x14ac:dyDescent="0.25">
      <c r="A23" s="4">
        <v>21</v>
      </c>
      <c r="B23" s="4" t="str">
        <f t="shared" si="0"/>
        <v>DIO21</v>
      </c>
      <c r="C23" s="4" t="s">
        <v>25</v>
      </c>
      <c r="D23" s="4">
        <v>0</v>
      </c>
      <c r="E23" s="9" t="str">
        <f t="shared" si="1"/>
        <v>#if(defined(STEP4_EN_BIT))
#define DIO21 21
#define STEP4_EN 21
#define DIO21_BIT (STEP4_EN_BIT)
#endif</v>
      </c>
      <c r="F23" s="9"/>
      <c r="G23" s="9"/>
      <c r="H23" s="9"/>
      <c r="I23" s="4" t="str">
        <f t="shared" si="2"/>
        <v>#if STEP4_EN&gt;=0
mcu_config_output(STEP4_EN);
#endif</v>
      </c>
    </row>
    <row r="24" spans="1:9" ht="15" customHeight="1" x14ac:dyDescent="0.25">
      <c r="A24" s="4">
        <v>22</v>
      </c>
      <c r="B24" s="4" t="str">
        <f t="shared" si="0"/>
        <v>DIO22</v>
      </c>
      <c r="C24" s="4" t="s">
        <v>26</v>
      </c>
      <c r="D24" s="4">
        <v>1</v>
      </c>
      <c r="E24" s="9" t="str">
        <f t="shared" si="1"/>
        <v>#if(defined(STEP5_EN_BIT))
#define DIO22 22
#define STEP5_EN 22
#define DIO22_BIT (STEP5_EN_BIT)
#endif</v>
      </c>
      <c r="F24" s="9"/>
      <c r="G24" s="9"/>
      <c r="H24" s="9"/>
      <c r="I24" s="4" t="str">
        <f t="shared" si="2"/>
        <v>#if STEP5_EN&gt;=0
mcu_config_output(STEP5_EN);
#endif</v>
      </c>
    </row>
    <row r="25" spans="1:9" ht="15" customHeight="1" x14ac:dyDescent="0.25">
      <c r="A25" s="4">
        <v>23</v>
      </c>
      <c r="B25" s="4" t="str">
        <f t="shared" si="0"/>
        <v>DIO23</v>
      </c>
      <c r="C25" s="4" t="s">
        <v>226</v>
      </c>
      <c r="D25" s="4">
        <v>2</v>
      </c>
      <c r="E25" s="9" t="str">
        <f t="shared" si="1"/>
        <v>#if(defined(STEP6_EN_BIT))
#define DIO23 23
#define STEP6_EN 23
#define DIO23_BIT (STEP6_EN_BIT)
#endif</v>
      </c>
      <c r="F25" s="9"/>
      <c r="G25" s="9"/>
      <c r="H25" s="9"/>
      <c r="I25" s="4" t="str">
        <f t="shared" si="2"/>
        <v>#if STEP6_EN&gt;=0
mcu_config_output(STEP6_EN);
#endif</v>
      </c>
    </row>
    <row r="26" spans="1:9" ht="15" customHeight="1" x14ac:dyDescent="0.25">
      <c r="A26" s="4">
        <v>24</v>
      </c>
      <c r="B26" s="4" t="str">
        <f t="shared" si="0"/>
        <v>DIO24</v>
      </c>
      <c r="C26" s="4" t="s">
        <v>227</v>
      </c>
      <c r="D26" s="4">
        <v>3</v>
      </c>
      <c r="E26" s="9" t="str">
        <f t="shared" si="1"/>
        <v>#if(defined(STEP7_EN_BIT))
#define DIO24 24
#define STEP7_EN 24
#define DIO24_BIT (STEP7_EN_BIT)
#endif</v>
      </c>
      <c r="F26" s="9"/>
      <c r="G26" s="9"/>
      <c r="H26" s="11" t="s">
        <v>121</v>
      </c>
      <c r="I26" s="4" t="str">
        <f t="shared" si="2"/>
        <v>#if STEP7_EN&gt;=0
mcu_config_output(STEP7_EN);
#endif</v>
      </c>
    </row>
    <row r="27" spans="1:9" ht="15" customHeight="1" x14ac:dyDescent="0.25">
      <c r="A27" s="4">
        <v>25</v>
      </c>
      <c r="B27" s="4" t="str">
        <f t="shared" si="0"/>
        <v>DIO25</v>
      </c>
      <c r="C27" s="4" t="s">
        <v>27</v>
      </c>
      <c r="D27" s="4">
        <v>4</v>
      </c>
      <c r="E27" s="9" t="str">
        <f t="shared" si="1"/>
        <v>#if(defined(PWM0_BIT))
#define DIO25 25
#define PWM0 25
#define DIO25_BIT (PWM0_BIT)
#endif</v>
      </c>
      <c r="F27" s="9"/>
      <c r="G27" s="9"/>
      <c r="H27" s="9" t="str">
        <f t="shared" ref="H27:H42" si="3">"#if (defined("&amp;C27&amp;"_OCR) &amp;&amp; defined("&amp;C27&amp;"_TIMER) &amp;&amp; defined("&amp;C27&amp;"))
#define "&amp;C27&amp;"_OCRREG (__ocrreg__("&amp;C27&amp;"_TIMER, "&amp;C27&amp;"_OCR))
#define "&amp;C27&amp;"_TMRAREG (__tmrareg__("&amp;C27&amp;"_TIMER))
#define "&amp;C27&amp;"_TMRBREG (__tmrbreg__("&amp;C27&amp;"_TIMER))
#define "&amp;C27&amp;"_ENABLE_MASK __pwmenmask__("&amp;C27&amp;"_OCR)
#if ("&amp;C27&amp;"_TIMER == 2)
#define "&amp;C27&amp;"_PRESCALLER 0x04
#elif ("&amp;C27&amp;"_TIMER == 0)
#define "&amp;C27&amp;"_PRESCALLER 0x03
#else
#define "&amp;C27&amp;"_PRESCALLER 0x0B
#endif
#if ("&amp;C27&amp;"_TIMER == 0 || "&amp;C27&amp;"_TIMER == 2)
#define "&amp;C27&amp;"_MODE 0x03
#else
#define "&amp;C27&amp;"_MODE 0x01
#endif
#define "&amp;B27&amp;"_OCR "&amp;C27&amp;"_OCR
#define "&amp;B27&amp;"_TIMER "&amp;C27&amp;"_TIMER
#define "&amp;B27&amp;"_OCRREG "&amp;C27&amp;"_OCRREG
#define "&amp;B27&amp;"_TMRAREG "&amp;C27&amp;"_TMRAREG
#define "&amp;B27&amp;"_TMRBREG "&amp;C27&amp;"_TMRBREG
#define "&amp;B27&amp;"_ENABLE_MASK "&amp;C27&amp;"_ENABLE_MASK
#define "&amp;B27&amp;"_MODE "&amp;C27&amp;"_MODE
#define "&amp;B27&amp;"_PRESCALLER "&amp;C27&amp;"_PRESCALLER
#endif"</f>
        <v>#if (defined(PWM0_OCR) &amp;&amp; defined(PWM0_TIMER) &amp;&amp; defined(PWM0))
#define PWM0_OCRREG (__ocrreg__(PWM0_TIMER, PWM0_OCR))
#define PWM0_TMRAREG (__tmrareg__(PWM0_TIMER))
#define PWM0_TMRBREG (__tmrbreg__(PWM0_TIMER))
#define PWM0_ENABLE_MASK __pwmenmask__(PWM0_OCR)
#if (PWM0_TIMER == 2)
#define PWM0_PRESCALLER 0x04
#elif (PWM0_TIMER == 0)
#define PWM0_PRESCALLER 0x03
#else
#define PWM0_PRESCALLER 0x0B
#endif
#if (PWM0_TIMER == 0 || PWM0_TIMER == 2)
#define PWM0_MODE 0x03
#else
#define PWM0_MODE 0x01
#endif
#define DIO25_OCR PWM0_OCR
#define DIO25_TIMER PWM0_TIMER
#define DIO25_OCRREG PWM0_OCRREG
#define DIO25_TMRAREG PWM0_TMRAREG
#define DIO25_TMRBREG PWM0_TMRBREG
#define DIO25_ENABLE_MASK PWM0_ENABLE_MASK
#define DIO25_MODE PWM0_MODE
#define DIO25_PRESCALLER PWM0_PRESCALLER
#endif</v>
      </c>
      <c r="I27" s="4" t="str">
        <f t="shared" ref="I27:I42" si="4">"#if "&amp;C27&amp;"&gt;=0
mcu_config_pwm("&amp;C27&amp;");
#endif"</f>
        <v>#if PWM0&gt;=0
mcu_config_pwm(PWM0);
#endif</v>
      </c>
    </row>
    <row r="28" spans="1:9" ht="15" customHeight="1" x14ac:dyDescent="0.25">
      <c r="A28" s="4">
        <v>26</v>
      </c>
      <c r="B28" s="4" t="str">
        <f t="shared" si="0"/>
        <v>DIO26</v>
      </c>
      <c r="C28" s="4" t="s">
        <v>28</v>
      </c>
      <c r="D28" s="4">
        <v>5</v>
      </c>
      <c r="E28" s="9" t="str">
        <f t="shared" si="1"/>
        <v>#if(defined(PWM1_BIT))
#define DIO26 26
#define PWM1 26
#define DIO26_BIT (PWM1_BIT)
#endif</v>
      </c>
      <c r="F28" s="9"/>
      <c r="G28" s="9"/>
      <c r="H28" s="9" t="str">
        <f t="shared" si="3"/>
        <v>#if (defined(PWM1_OCR) &amp;&amp; defined(PWM1_TIMER) &amp;&amp; defined(PWM1))
#define PWM1_OCRREG (__ocrreg__(PWM1_TIMER, PWM1_OCR))
#define PWM1_TMRAREG (__tmrareg__(PWM1_TIMER))
#define PWM1_TMRBREG (__tmrbreg__(PWM1_TIMER))
#define PWM1_ENABLE_MASK __pwmenmask__(PWM1_OCR)
#if (PWM1_TIMER == 2)
#define PWM1_PRESCALLER 0x04
#elif (PWM1_TIMER == 0)
#define PWM1_PRESCALLER 0x03
#else
#define PWM1_PRESCALLER 0x0B
#endif
#if (PWM1_TIMER == 0 || PWM1_TIMER == 2)
#define PWM1_MODE 0x03
#else
#define PWM1_MODE 0x01
#endif
#define DIO26_OCR PWM1_OCR
#define DIO26_TIMER PWM1_TIMER
#define DIO26_OCRREG PWM1_OCRREG
#define DIO26_TMRAREG PWM1_TMRAREG
#define DIO26_TMRBREG PWM1_TMRBREG
#define DIO26_ENABLE_MASK PWM1_ENABLE_MASK
#define DIO26_MODE PWM1_MODE
#define DIO26_PRESCALLER PWM1_PRESCALLER
#endif</v>
      </c>
      <c r="I28" s="4" t="str">
        <f t="shared" si="4"/>
        <v>#if PWM1&gt;=0
mcu_config_pwm(PWM1);
#endif</v>
      </c>
    </row>
    <row r="29" spans="1:9" ht="15" customHeight="1" x14ac:dyDescent="0.25">
      <c r="A29" s="4">
        <v>27</v>
      </c>
      <c r="B29" s="4" t="str">
        <f t="shared" si="0"/>
        <v>DIO27</v>
      </c>
      <c r="C29" s="4" t="s">
        <v>29</v>
      </c>
      <c r="D29" s="4">
        <v>6</v>
      </c>
      <c r="E29" s="9" t="str">
        <f t="shared" si="1"/>
        <v>#if(defined(PWM2_BIT))
#define DIO27 27
#define PWM2 27
#define DIO27_BIT (PWM2_BIT)
#endif</v>
      </c>
      <c r="F29" s="9"/>
      <c r="G29" s="9"/>
      <c r="H29" s="9" t="str">
        <f t="shared" si="3"/>
        <v>#if (defined(PWM2_OCR) &amp;&amp; defined(PWM2_TIMER) &amp;&amp; defined(PWM2))
#define PWM2_OCRREG (__ocrreg__(PWM2_TIMER, PWM2_OCR))
#define PWM2_TMRAREG (__tmrareg__(PWM2_TIMER))
#define PWM2_TMRBREG (__tmrbreg__(PWM2_TIMER))
#define PWM2_ENABLE_MASK __pwmenmask__(PWM2_OCR)
#if (PWM2_TIMER == 2)
#define PWM2_PRESCALLER 0x04
#elif (PWM2_TIMER == 0)
#define PWM2_PRESCALLER 0x03
#else
#define PWM2_PRESCALLER 0x0B
#endif
#if (PWM2_TIMER == 0 || PWM2_TIMER == 2)
#define PWM2_MODE 0x03
#else
#define PWM2_MODE 0x01
#endif
#define DIO27_OCR PWM2_OCR
#define DIO27_TIMER PWM2_TIMER
#define DIO27_OCRREG PWM2_OCRREG
#define DIO27_TMRAREG PWM2_TMRAREG
#define DIO27_TMRBREG PWM2_TMRBREG
#define DIO27_ENABLE_MASK PWM2_ENABLE_MASK
#define DIO27_MODE PWM2_MODE
#define DIO27_PRESCALLER PWM2_PRESCALLER
#endif</v>
      </c>
      <c r="I29" s="4" t="str">
        <f t="shared" si="4"/>
        <v>#if PWM2&gt;=0
mcu_config_pwm(PWM2);
#endif</v>
      </c>
    </row>
    <row r="30" spans="1:9" ht="15" customHeight="1" x14ac:dyDescent="0.25">
      <c r="A30" s="4">
        <v>28</v>
      </c>
      <c r="B30" s="4" t="str">
        <f t="shared" si="0"/>
        <v>DIO28</v>
      </c>
      <c r="C30" s="4" t="s">
        <v>30</v>
      </c>
      <c r="D30" s="4">
        <v>7</v>
      </c>
      <c r="E30" s="9" t="str">
        <f t="shared" si="1"/>
        <v>#if(defined(PWM3_BIT))
#define DIO28 28
#define PWM3 28
#define DIO28_BIT (PWM3_BIT)
#endif</v>
      </c>
      <c r="F30" s="9"/>
      <c r="G30" s="9"/>
      <c r="H30" s="9" t="str">
        <f t="shared" si="3"/>
        <v>#if (defined(PWM3_OCR) &amp;&amp; defined(PWM3_TIMER) &amp;&amp; defined(PWM3))
#define PWM3_OCRREG (__ocrreg__(PWM3_TIMER, PWM3_OCR))
#define PWM3_TMRAREG (__tmrareg__(PWM3_TIMER))
#define PWM3_TMRBREG (__tmrbreg__(PWM3_TIMER))
#define PWM3_ENABLE_MASK __pwmenmask__(PWM3_OCR)
#if (PWM3_TIMER == 2)
#define PWM3_PRESCALLER 0x04
#elif (PWM3_TIMER == 0)
#define PWM3_PRESCALLER 0x03
#else
#define PWM3_PRESCALLER 0x0B
#endif
#if (PWM3_TIMER == 0 || PWM3_TIMER == 2)
#define PWM3_MODE 0x03
#else
#define PWM3_MODE 0x01
#endif
#define DIO28_OCR PWM3_OCR
#define DIO28_TIMER PWM3_TIMER
#define DIO28_OCRREG PWM3_OCRREG
#define DIO28_TMRAREG PWM3_TMRAREG
#define DIO28_TMRBREG PWM3_TMRBREG
#define DIO28_ENABLE_MASK PWM3_ENABLE_MASK
#define DIO28_MODE PWM3_MODE
#define DIO28_PRESCALLER PWM3_PRESCALLER
#endif</v>
      </c>
      <c r="I30" s="4" t="str">
        <f t="shared" si="4"/>
        <v>#if PWM3&gt;=0
mcu_config_pwm(PWM3);
#endif</v>
      </c>
    </row>
    <row r="31" spans="1:9" ht="15" customHeight="1" x14ac:dyDescent="0.25">
      <c r="A31" s="4">
        <v>29</v>
      </c>
      <c r="B31" s="4" t="str">
        <f t="shared" si="0"/>
        <v>DIO29</v>
      </c>
      <c r="C31" s="4" t="s">
        <v>31</v>
      </c>
      <c r="D31" s="4">
        <v>8</v>
      </c>
      <c r="E31" s="9" t="str">
        <f t="shared" si="1"/>
        <v>#if(defined(PWM4_BIT))
#define DIO29 29
#define PWM4 29
#define DIO29_BIT (PWM4_BIT)
#endif</v>
      </c>
      <c r="F31" s="9"/>
      <c r="G31" s="9"/>
      <c r="H31" s="9" t="str">
        <f t="shared" si="3"/>
        <v>#if (defined(PWM4_OCR) &amp;&amp; defined(PWM4_TIMER) &amp;&amp; defined(PWM4))
#define PWM4_OCRREG (__ocrreg__(PWM4_TIMER, PWM4_OCR))
#define PWM4_TMRAREG (__tmrareg__(PWM4_TIMER))
#define PWM4_TMRBREG (__tmrbreg__(PWM4_TIMER))
#define PWM4_ENABLE_MASK __pwmenmask__(PWM4_OCR)
#if (PWM4_TIMER == 2)
#define PWM4_PRESCALLER 0x04
#elif (PWM4_TIMER == 0)
#define PWM4_PRESCALLER 0x03
#else
#define PWM4_PRESCALLER 0x0B
#endif
#if (PWM4_TIMER == 0 || PWM4_TIMER == 2)
#define PWM4_MODE 0x03
#else
#define PWM4_MODE 0x01
#endif
#define DIO29_OCR PWM4_OCR
#define DIO29_TIMER PWM4_TIMER
#define DIO29_OCRREG PWM4_OCRREG
#define DIO29_TMRAREG PWM4_TMRAREG
#define DIO29_TMRBREG PWM4_TMRBREG
#define DIO29_ENABLE_MASK PWM4_ENABLE_MASK
#define DIO29_MODE PWM4_MODE
#define DIO29_PRESCALLER PWM4_PRESCALLER
#endif</v>
      </c>
      <c r="I31" s="4" t="str">
        <f t="shared" si="4"/>
        <v>#if PWM4&gt;=0
mcu_config_pwm(PWM4);
#endif</v>
      </c>
    </row>
    <row r="32" spans="1:9" ht="15" customHeight="1" x14ac:dyDescent="0.25">
      <c r="A32" s="4">
        <v>30</v>
      </c>
      <c r="B32" s="4" t="str">
        <f t="shared" si="0"/>
        <v>DIO30</v>
      </c>
      <c r="C32" s="4" t="s">
        <v>32</v>
      </c>
      <c r="D32" s="4">
        <v>9</v>
      </c>
      <c r="E32" s="9" t="str">
        <f t="shared" si="1"/>
        <v>#if(defined(PWM5_BIT))
#define DIO30 30
#define PWM5 30
#define DIO30_BIT (PWM5_BIT)
#endif</v>
      </c>
      <c r="F32" s="9"/>
      <c r="G32" s="9"/>
      <c r="H32" s="9" t="str">
        <f t="shared" si="3"/>
        <v>#if (defined(PWM5_OCR) &amp;&amp; defined(PWM5_TIMER) &amp;&amp; defined(PWM5))
#define PWM5_OCRREG (__ocrreg__(PWM5_TIMER, PWM5_OCR))
#define PWM5_TMRAREG (__tmrareg__(PWM5_TIMER))
#define PWM5_TMRBREG (__tmrbreg__(PWM5_TIMER))
#define PWM5_ENABLE_MASK __pwmenmask__(PWM5_OCR)
#if (PWM5_TIMER == 2)
#define PWM5_PRESCALLER 0x04
#elif (PWM5_TIMER == 0)
#define PWM5_PRESCALLER 0x03
#else
#define PWM5_PRESCALLER 0x0B
#endif
#if (PWM5_TIMER == 0 || PWM5_TIMER == 2)
#define PWM5_MODE 0x03
#else
#define PWM5_MODE 0x01
#endif
#define DIO30_OCR PWM5_OCR
#define DIO30_TIMER PWM5_TIMER
#define DIO30_OCRREG PWM5_OCRREG
#define DIO30_TMRAREG PWM5_TMRAREG
#define DIO30_TMRBREG PWM5_TMRBREG
#define DIO30_ENABLE_MASK PWM5_ENABLE_MASK
#define DIO30_MODE PWM5_MODE
#define DIO30_PRESCALLER PWM5_PRESCALLER
#endif</v>
      </c>
      <c r="I32" s="4" t="str">
        <f t="shared" si="4"/>
        <v>#if PWM5&gt;=0
mcu_config_pwm(PWM5);
#endif</v>
      </c>
    </row>
    <row r="33" spans="1:9" ht="15" customHeight="1" x14ac:dyDescent="0.25">
      <c r="A33" s="4">
        <v>31</v>
      </c>
      <c r="B33" s="4" t="str">
        <f t="shared" si="0"/>
        <v>DIO31</v>
      </c>
      <c r="C33" s="4" t="s">
        <v>33</v>
      </c>
      <c r="D33" s="4">
        <v>10</v>
      </c>
      <c r="E33" s="9" t="str">
        <f t="shared" si="1"/>
        <v>#if(defined(PWM6_BIT))
#define DIO31 31
#define PWM6 31
#define DIO31_BIT (PWM6_BIT)
#endif</v>
      </c>
      <c r="F33" s="9"/>
      <c r="G33" s="9"/>
      <c r="H33" s="9" t="str">
        <f t="shared" si="3"/>
        <v>#if (defined(PWM6_OCR) &amp;&amp; defined(PWM6_TIMER) &amp;&amp; defined(PWM6))
#define PWM6_OCRREG (__ocrreg__(PWM6_TIMER, PWM6_OCR))
#define PWM6_TMRAREG (__tmrareg__(PWM6_TIMER))
#define PWM6_TMRBREG (__tmrbreg__(PWM6_TIMER))
#define PWM6_ENABLE_MASK __pwmenmask__(PWM6_OCR)
#if (PWM6_TIMER == 2)
#define PWM6_PRESCALLER 0x04
#elif (PWM6_TIMER == 0)
#define PWM6_PRESCALLER 0x03
#else
#define PWM6_PRESCALLER 0x0B
#endif
#if (PWM6_TIMER == 0 || PWM6_TIMER == 2)
#define PWM6_MODE 0x03
#else
#define PWM6_MODE 0x01
#endif
#define DIO31_OCR PWM6_OCR
#define DIO31_TIMER PWM6_TIMER
#define DIO31_OCRREG PWM6_OCRREG
#define DIO31_TMRAREG PWM6_TMRAREG
#define DIO31_TMRBREG PWM6_TMRBREG
#define DIO31_ENABLE_MASK PWM6_ENABLE_MASK
#define DIO31_MODE PWM6_MODE
#define DIO31_PRESCALLER PWM6_PRESCALLER
#endif</v>
      </c>
      <c r="I33" s="4" t="str">
        <f t="shared" si="4"/>
        <v>#if PWM6&gt;=0
mcu_config_pwm(PWM6);
#endif</v>
      </c>
    </row>
    <row r="34" spans="1:9" ht="15" customHeight="1" x14ac:dyDescent="0.25">
      <c r="A34" s="4">
        <v>32</v>
      </c>
      <c r="B34" s="4" t="str">
        <f t="shared" si="0"/>
        <v>DIO32</v>
      </c>
      <c r="C34" s="4" t="s">
        <v>34</v>
      </c>
      <c r="D34" s="4">
        <v>11</v>
      </c>
      <c r="E34" s="9" t="str">
        <f t="shared" si="1"/>
        <v>#if(defined(PWM7_BIT))
#define DIO32 32
#define PWM7 32
#define DIO32_BIT (PWM7_BIT)
#endif</v>
      </c>
      <c r="F34" s="9"/>
      <c r="G34" s="9"/>
      <c r="H34" s="9" t="str">
        <f t="shared" si="3"/>
        <v>#if (defined(PWM7_OCR) &amp;&amp; defined(PWM7_TIMER) &amp;&amp; defined(PWM7))
#define PWM7_OCRREG (__ocrreg__(PWM7_TIMER, PWM7_OCR))
#define PWM7_TMRAREG (__tmrareg__(PWM7_TIMER))
#define PWM7_TMRBREG (__tmrbreg__(PWM7_TIMER))
#define PWM7_ENABLE_MASK __pwmenmask__(PWM7_OCR)
#if (PWM7_TIMER == 2)
#define PWM7_PRESCALLER 0x04
#elif (PWM7_TIMER == 0)
#define PWM7_PRESCALLER 0x03
#else
#define PWM7_PRESCALLER 0x0B
#endif
#if (PWM7_TIMER == 0 || PWM7_TIMER == 2)
#define PWM7_MODE 0x03
#else
#define PWM7_MODE 0x01
#endif
#define DIO32_OCR PWM7_OCR
#define DIO32_TIMER PWM7_TIMER
#define DIO32_OCRREG PWM7_OCRREG
#define DIO32_TMRAREG PWM7_TMRAREG
#define DIO32_TMRBREG PWM7_TMRBREG
#define DIO32_ENABLE_MASK PWM7_ENABLE_MASK
#define DIO32_MODE PWM7_MODE
#define DIO32_PRESCALLER PWM7_PRESCALLER
#endif</v>
      </c>
      <c r="I34" s="4" t="str">
        <f t="shared" si="4"/>
        <v>#if PWM7&gt;=0
mcu_config_pwm(PWM7);
#endif</v>
      </c>
    </row>
    <row r="35" spans="1:9" ht="15" customHeight="1" x14ac:dyDescent="0.25">
      <c r="A35" s="4">
        <v>33</v>
      </c>
      <c r="B35" s="4" t="str">
        <f t="shared" si="0"/>
        <v>DIO33</v>
      </c>
      <c r="C35" s="4" t="s">
        <v>35</v>
      </c>
      <c r="D35" s="4">
        <v>12</v>
      </c>
      <c r="E35" s="9" t="str">
        <f t="shared" si="1"/>
        <v>#if(defined(PWM8_BIT))
#define DIO33 33
#define PWM8 33
#define DIO33_BIT (PWM8_BIT)
#endif</v>
      </c>
      <c r="F35" s="9"/>
      <c r="G35" s="9"/>
      <c r="H35" s="9" t="str">
        <f t="shared" si="3"/>
        <v>#if (defined(PWM8_OCR) &amp;&amp; defined(PWM8_TIMER) &amp;&amp; defined(PWM8))
#define PWM8_OCRREG (__ocrreg__(PWM8_TIMER, PWM8_OCR))
#define PWM8_TMRAREG (__tmrareg__(PWM8_TIMER))
#define PWM8_TMRBREG (__tmrbreg__(PWM8_TIMER))
#define PWM8_ENABLE_MASK __pwmenmask__(PWM8_OCR)
#if (PWM8_TIMER == 2)
#define PWM8_PRESCALLER 0x04
#elif (PWM8_TIMER == 0)
#define PWM8_PRESCALLER 0x03
#else
#define PWM8_PRESCALLER 0x0B
#endif
#if (PWM8_TIMER == 0 || PWM8_TIMER == 2)
#define PWM8_MODE 0x03
#else
#define PWM8_MODE 0x01
#endif
#define DIO33_OCR PWM8_OCR
#define DIO33_TIMER PWM8_TIMER
#define DIO33_OCRREG PWM8_OCRREG
#define DIO33_TMRAREG PWM8_TMRAREG
#define DIO33_TMRBREG PWM8_TMRBREG
#define DIO33_ENABLE_MASK PWM8_ENABLE_MASK
#define DIO33_MODE PWM8_MODE
#define DIO33_PRESCALLER PWM8_PRESCALLER
#endif</v>
      </c>
      <c r="I35" s="4" t="str">
        <f t="shared" si="4"/>
        <v>#if PWM8&gt;=0
mcu_config_pwm(PWM8);
#endif</v>
      </c>
    </row>
    <row r="36" spans="1:9" ht="15" customHeight="1" x14ac:dyDescent="0.25">
      <c r="A36" s="4">
        <v>34</v>
      </c>
      <c r="B36" s="4" t="str">
        <f t="shared" si="0"/>
        <v>DIO34</v>
      </c>
      <c r="C36" s="4" t="s">
        <v>36</v>
      </c>
      <c r="D36" s="4">
        <v>13</v>
      </c>
      <c r="E36" s="9" t="str">
        <f t="shared" si="1"/>
        <v>#if(defined(PWM9_BIT))
#define DIO34 34
#define PWM9 34
#define DIO34_BIT (PWM9_BIT)
#endif</v>
      </c>
      <c r="F36" s="9"/>
      <c r="G36" s="9"/>
      <c r="H36" s="9" t="str">
        <f t="shared" si="3"/>
        <v>#if (defined(PWM9_OCR) &amp;&amp; defined(PWM9_TIMER) &amp;&amp; defined(PWM9))
#define PWM9_OCRREG (__ocrreg__(PWM9_TIMER, PWM9_OCR))
#define PWM9_TMRAREG (__tmrareg__(PWM9_TIMER))
#define PWM9_TMRBREG (__tmrbreg__(PWM9_TIMER))
#define PWM9_ENABLE_MASK __pwmenmask__(PWM9_OCR)
#if (PWM9_TIMER == 2)
#define PWM9_PRESCALLER 0x04
#elif (PWM9_TIMER == 0)
#define PWM9_PRESCALLER 0x03
#else
#define PWM9_PRESCALLER 0x0B
#endif
#if (PWM9_TIMER == 0 || PWM9_TIMER == 2)
#define PWM9_MODE 0x03
#else
#define PWM9_MODE 0x01
#endif
#define DIO34_OCR PWM9_OCR
#define DIO34_TIMER PWM9_TIMER
#define DIO34_OCRREG PWM9_OCRREG
#define DIO34_TMRAREG PWM9_TMRAREG
#define DIO34_TMRBREG PWM9_TMRBREG
#define DIO34_ENABLE_MASK PWM9_ENABLE_MASK
#define DIO34_MODE PWM9_MODE
#define DIO34_PRESCALLER PWM9_PRESCALLER
#endif</v>
      </c>
      <c r="I36" s="4" t="str">
        <f t="shared" si="4"/>
        <v>#if PWM9&gt;=0
mcu_config_pwm(PWM9);
#endif</v>
      </c>
    </row>
    <row r="37" spans="1:9" ht="15" customHeight="1" x14ac:dyDescent="0.25">
      <c r="A37" s="4">
        <v>35</v>
      </c>
      <c r="B37" s="4" t="str">
        <f t="shared" si="0"/>
        <v>DIO35</v>
      </c>
      <c r="C37" s="4" t="s">
        <v>37</v>
      </c>
      <c r="D37" s="4">
        <v>14</v>
      </c>
      <c r="E37" s="9" t="str">
        <f t="shared" si="1"/>
        <v>#if(defined(PWM10_BIT))
#define DIO35 35
#define PWM10 35
#define DIO35_BIT (PWM10_BIT)
#endif</v>
      </c>
      <c r="F37" s="9"/>
      <c r="G37" s="9"/>
      <c r="H37" s="9" t="str">
        <f t="shared" si="3"/>
        <v>#if (defined(PWM10_OCR) &amp;&amp; defined(PWM10_TIMER) &amp;&amp; defined(PWM10))
#define PWM10_OCRREG (__ocrreg__(PWM10_TIMER, PWM10_OCR))
#define PWM10_TMRAREG (__tmrareg__(PWM10_TIMER))
#define PWM10_TMRBREG (__tmrbreg__(PWM10_TIMER))
#define PWM10_ENABLE_MASK __pwmenmask__(PWM10_OCR)
#if (PWM10_TIMER == 2)
#define PWM10_PRESCALLER 0x04
#elif (PWM10_TIMER == 0)
#define PWM10_PRESCALLER 0x03
#else
#define PWM10_PRESCALLER 0x0B
#endif
#if (PWM10_TIMER == 0 || PWM10_TIMER == 2)
#define PWM10_MODE 0x03
#else
#define PWM10_MODE 0x01
#endif
#define DIO35_OCR PWM10_OCR
#define DIO35_TIMER PWM10_TIMER
#define DIO35_OCRREG PWM10_OCRREG
#define DIO35_TMRAREG PWM10_TMRAREG
#define DIO35_TMRBREG PWM10_TMRBREG
#define DIO35_ENABLE_MASK PWM10_ENABLE_MASK
#define DIO35_MODE PWM10_MODE
#define DIO35_PRESCALLER PWM10_PRESCALLER
#endif</v>
      </c>
      <c r="I37" s="4" t="str">
        <f t="shared" si="4"/>
        <v>#if PWM10&gt;=0
mcu_config_pwm(PWM10);
#endif</v>
      </c>
    </row>
    <row r="38" spans="1:9" ht="15" customHeight="1" x14ac:dyDescent="0.25">
      <c r="A38" s="4">
        <v>36</v>
      </c>
      <c r="B38" s="4" t="str">
        <f t="shared" si="0"/>
        <v>DIO36</v>
      </c>
      <c r="C38" s="4" t="s">
        <v>38</v>
      </c>
      <c r="D38" s="4">
        <v>15</v>
      </c>
      <c r="E38" s="9" t="str">
        <f t="shared" si="1"/>
        <v>#if(defined(PWM11_BIT))
#define DIO36 36
#define PWM11 36
#define DIO36_BIT (PWM11_BIT)
#endif</v>
      </c>
      <c r="F38" s="9"/>
      <c r="G38" s="9"/>
      <c r="H38" s="9" t="str">
        <f t="shared" si="3"/>
        <v>#if (defined(PWM11_OCR) &amp;&amp; defined(PWM11_TIMER) &amp;&amp; defined(PWM11))
#define PWM11_OCRREG (__ocrreg__(PWM11_TIMER, PWM11_OCR))
#define PWM11_TMRAREG (__tmrareg__(PWM11_TIMER))
#define PWM11_TMRBREG (__tmrbreg__(PWM11_TIMER))
#define PWM11_ENABLE_MASK __pwmenmask__(PWM11_OCR)
#if (PWM11_TIMER == 2)
#define PWM11_PRESCALLER 0x04
#elif (PWM11_TIMER == 0)
#define PWM11_PRESCALLER 0x03
#else
#define PWM11_PRESCALLER 0x0B
#endif
#if (PWM11_TIMER == 0 || PWM11_TIMER == 2)
#define PWM11_MODE 0x03
#else
#define PWM11_MODE 0x01
#endif
#define DIO36_OCR PWM11_OCR
#define DIO36_TIMER PWM11_TIMER
#define DIO36_OCRREG PWM11_OCRREG
#define DIO36_TMRAREG PWM11_TMRAREG
#define DIO36_TMRBREG PWM11_TMRBREG
#define DIO36_ENABLE_MASK PWM11_ENABLE_MASK
#define DIO36_MODE PWM11_MODE
#define DIO36_PRESCALLER PWM11_PRESCALLER
#endif</v>
      </c>
      <c r="I38" s="4" t="str">
        <f t="shared" si="4"/>
        <v>#if PWM11&gt;=0
mcu_config_pwm(PWM11);
#endif</v>
      </c>
    </row>
    <row r="39" spans="1:9" ht="15" customHeight="1" x14ac:dyDescent="0.25">
      <c r="A39" s="4">
        <v>37</v>
      </c>
      <c r="B39" s="4" t="str">
        <f t="shared" si="0"/>
        <v>DIO37</v>
      </c>
      <c r="C39" s="4" t="s">
        <v>39</v>
      </c>
      <c r="D39" s="4">
        <v>0</v>
      </c>
      <c r="E39" s="9" t="str">
        <f t="shared" si="1"/>
        <v>#if(defined(PWM12_BIT))
#define DIO37 37
#define PWM12 37
#define DIO37_BIT (PWM12_BIT)
#endif</v>
      </c>
      <c r="F39" s="9"/>
      <c r="G39" s="9"/>
      <c r="H39" s="9" t="str">
        <f t="shared" si="3"/>
        <v>#if (defined(PWM12_OCR) &amp;&amp; defined(PWM12_TIMER) &amp;&amp; defined(PWM12))
#define PWM12_OCRREG (__ocrreg__(PWM12_TIMER, PWM12_OCR))
#define PWM12_TMRAREG (__tmrareg__(PWM12_TIMER))
#define PWM12_TMRBREG (__tmrbreg__(PWM12_TIMER))
#define PWM12_ENABLE_MASK __pwmenmask__(PWM12_OCR)
#if (PWM12_TIMER == 2)
#define PWM12_PRESCALLER 0x04
#elif (PWM12_TIMER == 0)
#define PWM12_PRESCALLER 0x03
#else
#define PWM12_PRESCALLER 0x0B
#endif
#if (PWM12_TIMER == 0 || PWM12_TIMER == 2)
#define PWM12_MODE 0x03
#else
#define PWM12_MODE 0x01
#endif
#define DIO37_OCR PWM12_OCR
#define DIO37_TIMER PWM12_TIMER
#define DIO37_OCRREG PWM12_OCRREG
#define DIO37_TMRAREG PWM12_TMRAREG
#define DIO37_TMRBREG PWM12_TMRBREG
#define DIO37_ENABLE_MASK PWM12_ENABLE_MASK
#define DIO37_MODE PWM12_MODE
#define DIO37_PRESCALLER PWM12_PRESCALLER
#endif</v>
      </c>
      <c r="I39" s="4" t="str">
        <f t="shared" si="4"/>
        <v>#if PWM12&gt;=0
mcu_config_pwm(PWM12);
#endif</v>
      </c>
    </row>
    <row r="40" spans="1:9" ht="15" customHeight="1" x14ac:dyDescent="0.25">
      <c r="A40" s="4">
        <v>38</v>
      </c>
      <c r="B40" s="4" t="str">
        <f t="shared" si="0"/>
        <v>DIO38</v>
      </c>
      <c r="C40" s="4" t="s">
        <v>40</v>
      </c>
      <c r="D40" s="4">
        <v>1</v>
      </c>
      <c r="E40" s="9" t="str">
        <f t="shared" si="1"/>
        <v>#if(defined(PWM13_BIT))
#define DIO38 38
#define PWM13 38
#define DIO38_BIT (PWM13_BIT)
#endif</v>
      </c>
      <c r="F40" s="9"/>
      <c r="G40" s="9"/>
      <c r="H40" s="9" t="str">
        <f t="shared" si="3"/>
        <v>#if (defined(PWM13_OCR) &amp;&amp; defined(PWM13_TIMER) &amp;&amp; defined(PWM13))
#define PWM13_OCRREG (__ocrreg__(PWM13_TIMER, PWM13_OCR))
#define PWM13_TMRAREG (__tmrareg__(PWM13_TIMER))
#define PWM13_TMRBREG (__tmrbreg__(PWM13_TIMER))
#define PWM13_ENABLE_MASK __pwmenmask__(PWM13_OCR)
#if (PWM13_TIMER == 2)
#define PWM13_PRESCALLER 0x04
#elif (PWM13_TIMER == 0)
#define PWM13_PRESCALLER 0x03
#else
#define PWM13_PRESCALLER 0x0B
#endif
#if (PWM13_TIMER == 0 || PWM13_TIMER == 2)
#define PWM13_MODE 0x03
#else
#define PWM13_MODE 0x01
#endif
#define DIO38_OCR PWM13_OCR
#define DIO38_TIMER PWM13_TIMER
#define DIO38_OCRREG PWM13_OCRREG
#define DIO38_TMRAREG PWM13_TMRAREG
#define DIO38_TMRBREG PWM13_TMRBREG
#define DIO38_ENABLE_MASK PWM13_ENABLE_MASK
#define DIO38_MODE PWM13_MODE
#define DIO38_PRESCALLER PWM13_PRESCALLER
#endif</v>
      </c>
      <c r="I40" s="4" t="str">
        <f t="shared" si="4"/>
        <v>#if PWM13&gt;=0
mcu_config_pwm(PWM13);
#endif</v>
      </c>
    </row>
    <row r="41" spans="1:9" ht="15" customHeight="1" x14ac:dyDescent="0.25">
      <c r="A41" s="4">
        <v>39</v>
      </c>
      <c r="B41" s="4" t="str">
        <f t="shared" si="0"/>
        <v>DIO39</v>
      </c>
      <c r="C41" s="4" t="s">
        <v>41</v>
      </c>
      <c r="D41" s="4">
        <v>2</v>
      </c>
      <c r="E41" s="9" t="str">
        <f t="shared" si="1"/>
        <v>#if(defined(PWM14_BIT))
#define DIO39 39
#define PWM14 39
#define DIO39_BIT (PWM14_BIT)
#endif</v>
      </c>
      <c r="F41" s="9"/>
      <c r="G41" s="9"/>
      <c r="H41" s="9" t="str">
        <f t="shared" si="3"/>
        <v>#if (defined(PWM14_OCR) &amp;&amp; defined(PWM14_TIMER) &amp;&amp; defined(PWM14))
#define PWM14_OCRREG (__ocrreg__(PWM14_TIMER, PWM14_OCR))
#define PWM14_TMRAREG (__tmrareg__(PWM14_TIMER))
#define PWM14_TMRBREG (__tmrbreg__(PWM14_TIMER))
#define PWM14_ENABLE_MASK __pwmenmask__(PWM14_OCR)
#if (PWM14_TIMER == 2)
#define PWM14_PRESCALLER 0x04
#elif (PWM14_TIMER == 0)
#define PWM14_PRESCALLER 0x03
#else
#define PWM14_PRESCALLER 0x0B
#endif
#if (PWM14_TIMER == 0 || PWM14_TIMER == 2)
#define PWM14_MODE 0x03
#else
#define PWM14_MODE 0x01
#endif
#define DIO39_OCR PWM14_OCR
#define DIO39_TIMER PWM14_TIMER
#define DIO39_OCRREG PWM14_OCRREG
#define DIO39_TMRAREG PWM14_TMRAREG
#define DIO39_TMRBREG PWM14_TMRBREG
#define DIO39_ENABLE_MASK PWM14_ENABLE_MASK
#define DIO39_MODE PWM14_MODE
#define DIO39_PRESCALLER PWM14_PRESCALLER
#endif</v>
      </c>
      <c r="I41" s="4" t="str">
        <f t="shared" si="4"/>
        <v>#if PWM14&gt;=0
mcu_config_pwm(PWM14);
#endif</v>
      </c>
    </row>
    <row r="42" spans="1:9" ht="15" customHeight="1" x14ac:dyDescent="0.25">
      <c r="A42" s="4">
        <v>40</v>
      </c>
      <c r="B42" s="4" t="str">
        <f t="shared" si="0"/>
        <v>DIO40</v>
      </c>
      <c r="C42" s="4" t="s">
        <v>42</v>
      </c>
      <c r="D42" s="4">
        <v>3</v>
      </c>
      <c r="E42" s="9" t="str">
        <f t="shared" si="1"/>
        <v>#if(defined(PWM15_BIT))
#define DIO40 40
#define PWM15 40
#define DIO40_BIT (PWM15_BIT)
#endif</v>
      </c>
      <c r="F42" s="9"/>
      <c r="G42" s="9"/>
      <c r="H42" s="9" t="str">
        <f t="shared" si="3"/>
        <v>#if (defined(PWM15_OCR) &amp;&amp; defined(PWM15_TIMER) &amp;&amp; defined(PWM15))
#define PWM15_OCRREG (__ocrreg__(PWM15_TIMER, PWM15_OCR))
#define PWM15_TMRAREG (__tmrareg__(PWM15_TIMER))
#define PWM15_TMRBREG (__tmrbreg__(PWM15_TIMER))
#define PWM15_ENABLE_MASK __pwmenmask__(PWM15_OCR)
#if (PWM15_TIMER == 2)
#define PWM15_PRESCALLER 0x04
#elif (PWM15_TIMER == 0)
#define PWM15_PRESCALLER 0x03
#else
#define PWM15_PRESCALLER 0x0B
#endif
#if (PWM15_TIMER == 0 || PWM15_TIMER == 2)
#define PWM15_MODE 0x03
#else
#define PWM15_MODE 0x01
#endif
#define DIO40_OCR PWM15_OCR
#define DIO40_TIMER PWM15_TIMER
#define DIO40_OCRREG PWM15_OCRREG
#define DIO40_TMRAREG PWM15_TMRAREG
#define DIO40_TMRBREG PWM15_TMRBREG
#define DIO40_ENABLE_MASK PWM15_ENABLE_MASK
#define DIO40_MODE PWM15_MODE
#define DIO40_PRESCALLER PWM15_PRESCALLER
#endif</v>
      </c>
      <c r="I42" s="4" t="str">
        <f t="shared" si="4"/>
        <v>#if PWM15&gt;=0
mcu_config_pwm(PWM15);
#endif</v>
      </c>
    </row>
    <row r="43" spans="1:9" ht="15" customHeight="1" x14ac:dyDescent="0.25">
      <c r="A43" s="4">
        <v>41</v>
      </c>
      <c r="B43" s="4" t="str">
        <f t="shared" si="0"/>
        <v>DIO41</v>
      </c>
      <c r="C43" s="4" t="s">
        <v>109</v>
      </c>
      <c r="D43" s="4">
        <v>4</v>
      </c>
      <c r="E43" s="9" t="str">
        <f t="shared" si="1"/>
        <v>#if(defined(SERVO0_BIT))
#define DIO41 41
#define SERVO0 41
#define DIO41_BIT (SERVO0_BIT)
#endif</v>
      </c>
      <c r="F43" s="9"/>
      <c r="G43" s="9"/>
      <c r="H43" s="9"/>
      <c r="I43" s="4" t="str">
        <f t="shared" ref="I43:I80" si="5">"#if "&amp;C43&amp;"&gt;=0
mcu_config_output("&amp;C43&amp;");
#endif"</f>
        <v>#if SERVO0&gt;=0
mcu_config_output(SERVO0);
#endif</v>
      </c>
    </row>
    <row r="44" spans="1:9" ht="15" customHeight="1" x14ac:dyDescent="0.25">
      <c r="A44" s="4">
        <v>42</v>
      </c>
      <c r="B44" s="4" t="str">
        <f t="shared" si="0"/>
        <v>DIO42</v>
      </c>
      <c r="C44" s="4" t="s">
        <v>110</v>
      </c>
      <c r="D44" s="4">
        <v>5</v>
      </c>
      <c r="E44" s="9" t="str">
        <f t="shared" si="1"/>
        <v>#if(defined(SERVO1_BIT))
#define DIO42 42
#define SERVO1 42
#define DIO42_BIT (SERVO1_BIT)
#endif</v>
      </c>
      <c r="F44" s="9"/>
      <c r="G44" s="9"/>
      <c r="H44" s="9"/>
      <c r="I44" s="4" t="str">
        <f t="shared" si="5"/>
        <v>#if SERVO1&gt;=0
mcu_config_output(SERVO1);
#endif</v>
      </c>
    </row>
    <row r="45" spans="1:9" ht="15" customHeight="1" x14ac:dyDescent="0.25">
      <c r="A45" s="4">
        <v>43</v>
      </c>
      <c r="B45" s="4" t="str">
        <f t="shared" si="0"/>
        <v>DIO43</v>
      </c>
      <c r="C45" s="4" t="s">
        <v>111</v>
      </c>
      <c r="D45" s="4">
        <v>6</v>
      </c>
      <c r="E45" s="9" t="str">
        <f t="shared" si="1"/>
        <v>#if(defined(SERVO2_BIT))
#define DIO43 43
#define SERVO2 43
#define DIO43_BIT (SERVO2_BIT)
#endif</v>
      </c>
      <c r="F45" s="9"/>
      <c r="G45" s="9"/>
      <c r="H45" s="9"/>
      <c r="I45" s="4" t="str">
        <f t="shared" si="5"/>
        <v>#if SERVO2&gt;=0
mcu_config_output(SERVO2);
#endif</v>
      </c>
    </row>
    <row r="46" spans="1:9" ht="15" customHeight="1" x14ac:dyDescent="0.25">
      <c r="A46" s="4">
        <v>44</v>
      </c>
      <c r="B46" s="4" t="str">
        <f t="shared" si="0"/>
        <v>DIO44</v>
      </c>
      <c r="C46" s="4" t="s">
        <v>112</v>
      </c>
      <c r="D46" s="4">
        <v>7</v>
      </c>
      <c r="E46" s="9" t="str">
        <f t="shared" si="1"/>
        <v>#if(defined(SERVO3_BIT))
#define DIO44 44
#define SERVO3 44
#define DIO44_BIT (SERVO3_BIT)
#endif</v>
      </c>
      <c r="F46" s="9"/>
      <c r="G46" s="9"/>
      <c r="H46" s="9"/>
      <c r="I46" s="4" t="str">
        <f t="shared" si="5"/>
        <v>#if SERVO3&gt;=0
mcu_config_output(SERVO3);
#endif</v>
      </c>
    </row>
    <row r="47" spans="1:9" ht="15" customHeight="1" x14ac:dyDescent="0.25">
      <c r="A47" s="4">
        <v>45</v>
      </c>
      <c r="B47" s="4" t="str">
        <f t="shared" si="0"/>
        <v>DIO45</v>
      </c>
      <c r="C47" s="4" t="s">
        <v>113</v>
      </c>
      <c r="D47" s="4">
        <v>8</v>
      </c>
      <c r="E47" s="9" t="str">
        <f t="shared" si="1"/>
        <v>#if(defined(SERVO4_BIT))
#define DIO45 45
#define SERVO4 45
#define DIO45_BIT (SERVO4_BIT)
#endif</v>
      </c>
      <c r="F47" s="9"/>
      <c r="G47" s="9"/>
      <c r="H47" s="9"/>
      <c r="I47" s="4" t="str">
        <f t="shared" si="5"/>
        <v>#if SERVO4&gt;=0
mcu_config_output(SERVO4);
#endif</v>
      </c>
    </row>
    <row r="48" spans="1:9" ht="15" customHeight="1" x14ac:dyDescent="0.25">
      <c r="A48" s="4">
        <v>46</v>
      </c>
      <c r="B48" s="4" t="str">
        <f t="shared" si="0"/>
        <v>DIO46</v>
      </c>
      <c r="C48" s="4" t="s">
        <v>114</v>
      </c>
      <c r="D48" s="4">
        <v>9</v>
      </c>
      <c r="E48" s="9" t="str">
        <f t="shared" si="1"/>
        <v>#if(defined(SERVO5_BIT))
#define DIO46 46
#define SERVO5 46
#define DIO46_BIT (SERVO5_BIT)
#endif</v>
      </c>
      <c r="F48" s="9"/>
      <c r="G48" s="9"/>
      <c r="H48" s="9"/>
      <c r="I48" s="4" t="str">
        <f t="shared" si="5"/>
        <v>#if SERVO5&gt;=0
mcu_config_output(SERVO5);
#endif</v>
      </c>
    </row>
    <row r="49" spans="1:9" ht="15" customHeight="1" x14ac:dyDescent="0.25">
      <c r="A49" s="4">
        <v>47</v>
      </c>
      <c r="B49" s="4" t="str">
        <f t="shared" si="0"/>
        <v>DIO47</v>
      </c>
      <c r="C49" s="4" t="s">
        <v>43</v>
      </c>
      <c r="D49" s="4">
        <v>10</v>
      </c>
      <c r="E49" s="9" t="str">
        <f t="shared" si="1"/>
        <v>#if(defined(DOUT0_BIT))
#define DIO47 47
#define DOUT0 47
#define DIO47_BIT (DOUT0_BIT)
#endif</v>
      </c>
      <c r="F49" s="9"/>
      <c r="G49" s="9"/>
      <c r="H49" s="9"/>
      <c r="I49" s="4" t="str">
        <f t="shared" si="5"/>
        <v>#if DOUT0&gt;=0
mcu_config_output(DOUT0);
#endif</v>
      </c>
    </row>
    <row r="50" spans="1:9" ht="15" customHeight="1" x14ac:dyDescent="0.25">
      <c r="A50" s="4">
        <v>48</v>
      </c>
      <c r="B50" s="4" t="str">
        <f t="shared" si="0"/>
        <v>DIO48</v>
      </c>
      <c r="C50" s="4" t="s">
        <v>44</v>
      </c>
      <c r="D50" s="4">
        <v>11</v>
      </c>
      <c r="E50" s="9" t="str">
        <f t="shared" si="1"/>
        <v>#if(defined(DOUT1_BIT))
#define DIO48 48
#define DOUT1 48
#define DIO48_BIT (DOUT1_BIT)
#endif</v>
      </c>
      <c r="F50" s="12"/>
      <c r="G50" s="9"/>
      <c r="H50" s="9"/>
      <c r="I50" s="4" t="str">
        <f t="shared" si="5"/>
        <v>#if DOUT1&gt;=0
mcu_config_output(DOUT1);
#endif</v>
      </c>
    </row>
    <row r="51" spans="1:9" ht="15" customHeight="1" x14ac:dyDescent="0.25">
      <c r="A51" s="4">
        <v>49</v>
      </c>
      <c r="B51" s="4" t="str">
        <f t="shared" si="0"/>
        <v>DIO49</v>
      </c>
      <c r="C51" s="4" t="s">
        <v>45</v>
      </c>
      <c r="D51" s="4">
        <v>12</v>
      </c>
      <c r="E51" s="9" t="str">
        <f t="shared" si="1"/>
        <v>#if(defined(DOUT2_BIT))
#define DIO49 49
#define DOUT2 49
#define DIO49_BIT (DOUT2_BIT)
#endif</v>
      </c>
      <c r="F51" s="12"/>
      <c r="G51" s="9"/>
      <c r="H51" s="9"/>
      <c r="I51" s="4" t="str">
        <f t="shared" si="5"/>
        <v>#if DOUT2&gt;=0
mcu_config_output(DOUT2);
#endif</v>
      </c>
    </row>
    <row r="52" spans="1:9" ht="15" customHeight="1" x14ac:dyDescent="0.25">
      <c r="A52" s="4">
        <v>50</v>
      </c>
      <c r="B52" s="4" t="str">
        <f t="shared" si="0"/>
        <v>DIO50</v>
      </c>
      <c r="C52" s="4" t="s">
        <v>46</v>
      </c>
      <c r="D52" s="4">
        <v>13</v>
      </c>
      <c r="E52" s="9" t="str">
        <f t="shared" si="1"/>
        <v>#if(defined(DOUT3_BIT))
#define DIO50 50
#define DOUT3 50
#define DIO50_BIT (DOUT3_BIT)
#endif</v>
      </c>
      <c r="F52" s="12"/>
      <c r="G52" s="9"/>
      <c r="H52" s="9"/>
      <c r="I52" s="4" t="str">
        <f t="shared" si="5"/>
        <v>#if DOUT3&gt;=0
mcu_config_output(DOUT3);
#endif</v>
      </c>
    </row>
    <row r="53" spans="1:9" ht="15" customHeight="1" x14ac:dyDescent="0.25">
      <c r="A53" s="4">
        <v>51</v>
      </c>
      <c r="B53" s="4" t="str">
        <f t="shared" si="0"/>
        <v>DIO51</v>
      </c>
      <c r="C53" s="4" t="s">
        <v>47</v>
      </c>
      <c r="D53" s="4">
        <v>14</v>
      </c>
      <c r="E53" s="9" t="str">
        <f t="shared" si="1"/>
        <v>#if(defined(DOUT4_BIT))
#define DIO51 51
#define DOUT4 51
#define DIO51_BIT (DOUT4_BIT)
#endif</v>
      </c>
      <c r="F53" s="12"/>
      <c r="G53" s="9"/>
      <c r="H53" s="9"/>
      <c r="I53" s="4" t="str">
        <f t="shared" si="5"/>
        <v>#if DOUT4&gt;=0
mcu_config_output(DOUT4);
#endif</v>
      </c>
    </row>
    <row r="54" spans="1:9" ht="15" customHeight="1" x14ac:dyDescent="0.25">
      <c r="A54" s="4">
        <v>52</v>
      </c>
      <c r="B54" s="4" t="str">
        <f t="shared" si="0"/>
        <v>DIO52</v>
      </c>
      <c r="C54" s="4" t="s">
        <v>48</v>
      </c>
      <c r="D54" s="4">
        <v>15</v>
      </c>
      <c r="E54" s="9" t="str">
        <f t="shared" si="1"/>
        <v>#if(defined(DOUT5_BIT))
#define DIO52 52
#define DOUT5 52
#define DIO52_BIT (DOUT5_BIT)
#endif</v>
      </c>
      <c r="F54" s="9"/>
      <c r="G54" s="9"/>
      <c r="H54" s="9"/>
      <c r="I54" s="4" t="str">
        <f t="shared" si="5"/>
        <v>#if DOUT5&gt;=0
mcu_config_output(DOUT5);
#endif</v>
      </c>
    </row>
    <row r="55" spans="1:9" ht="15" customHeight="1" x14ac:dyDescent="0.25">
      <c r="A55" s="4">
        <v>53</v>
      </c>
      <c r="B55" s="4" t="str">
        <f t="shared" si="0"/>
        <v>DIO53</v>
      </c>
      <c r="C55" s="4" t="s">
        <v>49</v>
      </c>
      <c r="D55" s="4">
        <v>0</v>
      </c>
      <c r="E55" s="9" t="str">
        <f t="shared" si="1"/>
        <v>#if(defined(DOUT6_BIT))
#define DIO53 53
#define DOUT6 53
#define DIO53_BIT (DOUT6_BIT)
#endif</v>
      </c>
      <c r="F55" s="9"/>
      <c r="G55" s="9"/>
      <c r="H55" s="9"/>
      <c r="I55" s="4" t="str">
        <f t="shared" si="5"/>
        <v>#if DOUT6&gt;=0
mcu_config_output(DOUT6);
#endif</v>
      </c>
    </row>
    <row r="56" spans="1:9" ht="15" customHeight="1" x14ac:dyDescent="0.25">
      <c r="A56" s="4">
        <v>54</v>
      </c>
      <c r="B56" s="4" t="str">
        <f t="shared" si="0"/>
        <v>DIO54</v>
      </c>
      <c r="C56" s="4" t="s">
        <v>50</v>
      </c>
      <c r="D56" s="4">
        <v>1</v>
      </c>
      <c r="E56" s="9" t="str">
        <f t="shared" si="1"/>
        <v>#if(defined(DOUT7_BIT))
#define DIO54 54
#define DOUT7 54
#define DIO54_BIT (DOUT7_BIT)
#endif</v>
      </c>
      <c r="F56" s="9"/>
      <c r="G56" s="9"/>
      <c r="H56" s="9"/>
      <c r="I56" s="4" t="str">
        <f t="shared" si="5"/>
        <v>#if DOUT7&gt;=0
mcu_config_output(DOUT7);
#endif</v>
      </c>
    </row>
    <row r="57" spans="1:9" ht="15" customHeight="1" x14ac:dyDescent="0.25">
      <c r="A57" s="4">
        <v>55</v>
      </c>
      <c r="B57" s="4" t="str">
        <f t="shared" si="0"/>
        <v>DIO55</v>
      </c>
      <c r="C57" s="4" t="s">
        <v>51</v>
      </c>
      <c r="D57" s="4">
        <v>2</v>
      </c>
      <c r="E57" s="9" t="str">
        <f t="shared" si="1"/>
        <v>#if(defined(DOUT8_BIT))
#define DIO55 55
#define DOUT8 55
#define DIO55_BIT (DOUT8_BIT)
#endif</v>
      </c>
      <c r="F57" s="9"/>
      <c r="G57" s="9"/>
      <c r="H57" s="9"/>
      <c r="I57" s="4" t="str">
        <f t="shared" si="5"/>
        <v>#if DOUT8&gt;=0
mcu_config_output(DOUT8);
#endif</v>
      </c>
    </row>
    <row r="58" spans="1:9" ht="15" customHeight="1" x14ac:dyDescent="0.25">
      <c r="A58" s="4">
        <v>56</v>
      </c>
      <c r="B58" s="4" t="str">
        <f t="shared" si="0"/>
        <v>DIO56</v>
      </c>
      <c r="C58" s="4" t="s">
        <v>52</v>
      </c>
      <c r="D58" s="4">
        <v>3</v>
      </c>
      <c r="E58" s="9" t="str">
        <f t="shared" si="1"/>
        <v>#if(defined(DOUT9_BIT))
#define DIO56 56
#define DOUT9 56
#define DIO56_BIT (DOUT9_BIT)
#endif</v>
      </c>
      <c r="F58" s="9"/>
      <c r="G58" s="9"/>
      <c r="H58" s="9"/>
      <c r="I58" s="4" t="str">
        <f t="shared" si="5"/>
        <v>#if DOUT9&gt;=0
mcu_config_output(DOUT9);
#endif</v>
      </c>
    </row>
    <row r="59" spans="1:9" ht="15" customHeight="1" x14ac:dyDescent="0.25">
      <c r="A59" s="4">
        <v>57</v>
      </c>
      <c r="B59" s="4" t="str">
        <f t="shared" si="0"/>
        <v>DIO57</v>
      </c>
      <c r="C59" s="4" t="s">
        <v>53</v>
      </c>
      <c r="D59" s="4">
        <v>4</v>
      </c>
      <c r="E59" s="9" t="str">
        <f t="shared" si="1"/>
        <v>#if(defined(DOUT10_BIT))
#define DIO57 57
#define DOUT10 57
#define DIO57_BIT (DOUT10_BIT)
#endif</v>
      </c>
      <c r="F59" s="9"/>
      <c r="G59" s="9"/>
      <c r="H59" s="9"/>
      <c r="I59" s="4" t="str">
        <f t="shared" si="5"/>
        <v>#if DOUT10&gt;=0
mcu_config_output(DOUT10);
#endif</v>
      </c>
    </row>
    <row r="60" spans="1:9" ht="15" customHeight="1" x14ac:dyDescent="0.25">
      <c r="A60" s="4">
        <v>58</v>
      </c>
      <c r="B60" s="4" t="str">
        <f t="shared" si="0"/>
        <v>DIO58</v>
      </c>
      <c r="C60" s="4" t="s">
        <v>54</v>
      </c>
      <c r="D60" s="4">
        <v>5</v>
      </c>
      <c r="E60" s="9" t="str">
        <f t="shared" si="1"/>
        <v>#if(defined(DOUT11_BIT))
#define DIO58 58
#define DOUT11 58
#define DIO58_BIT (DOUT11_BIT)
#endif</v>
      </c>
      <c r="F60" s="9"/>
      <c r="G60" s="9"/>
      <c r="H60" s="9"/>
      <c r="I60" s="4" t="str">
        <f t="shared" si="5"/>
        <v>#if DOUT11&gt;=0
mcu_config_output(DOUT11);
#endif</v>
      </c>
    </row>
    <row r="61" spans="1:9" ht="15" customHeight="1" x14ac:dyDescent="0.25">
      <c r="A61" s="4">
        <v>59</v>
      </c>
      <c r="B61" s="4" t="str">
        <f t="shared" si="0"/>
        <v>DIO59</v>
      </c>
      <c r="C61" s="4" t="s">
        <v>55</v>
      </c>
      <c r="D61" s="4">
        <v>6</v>
      </c>
      <c r="E61" s="9" t="str">
        <f t="shared" si="1"/>
        <v>#if(defined(DOUT12_BIT))
#define DIO59 59
#define DOUT12 59
#define DIO59_BIT (DOUT12_BIT)
#endif</v>
      </c>
      <c r="F61" s="9"/>
      <c r="G61" s="9"/>
      <c r="H61" s="9"/>
      <c r="I61" s="4" t="str">
        <f t="shared" si="5"/>
        <v>#if DOUT12&gt;=0
mcu_config_output(DOUT12);
#endif</v>
      </c>
    </row>
    <row r="62" spans="1:9" ht="15" customHeight="1" x14ac:dyDescent="0.25">
      <c r="A62" s="4">
        <v>60</v>
      </c>
      <c r="B62" s="4" t="str">
        <f t="shared" si="0"/>
        <v>DIO60</v>
      </c>
      <c r="C62" s="4" t="s">
        <v>56</v>
      </c>
      <c r="D62" s="4">
        <v>7</v>
      </c>
      <c r="E62" s="9" t="str">
        <f t="shared" si="1"/>
        <v>#if(defined(DOUT13_BIT))
#define DIO60 60
#define DOUT13 60
#define DIO60_BIT (DOUT13_BIT)
#endif</v>
      </c>
      <c r="F62" s="9"/>
      <c r="G62" s="9"/>
      <c r="H62" s="9"/>
      <c r="I62" s="4" t="str">
        <f t="shared" si="5"/>
        <v>#if DOUT13&gt;=0
mcu_config_output(DOUT13);
#endif</v>
      </c>
    </row>
    <row r="63" spans="1:9" ht="15" customHeight="1" x14ac:dyDescent="0.25">
      <c r="A63" s="4">
        <v>61</v>
      </c>
      <c r="B63" s="4" t="str">
        <f t="shared" si="0"/>
        <v>DIO61</v>
      </c>
      <c r="C63" s="4" t="s">
        <v>57</v>
      </c>
      <c r="D63" s="4">
        <v>8</v>
      </c>
      <c r="E63" s="9" t="str">
        <f t="shared" si="1"/>
        <v>#if(defined(DOUT14_BIT))
#define DIO61 61
#define DOUT14 61
#define DIO61_BIT (DOUT14_BIT)
#endif</v>
      </c>
      <c r="F63" s="9"/>
      <c r="G63" s="9"/>
      <c r="H63" s="9"/>
      <c r="I63" s="4" t="str">
        <f t="shared" si="5"/>
        <v>#if DOUT14&gt;=0
mcu_config_output(DOUT14);
#endif</v>
      </c>
    </row>
    <row r="64" spans="1:9" ht="15" customHeight="1" x14ac:dyDescent="0.25">
      <c r="A64" s="4">
        <v>62</v>
      </c>
      <c r="B64" s="4" t="str">
        <f t="shared" si="0"/>
        <v>DIO62</v>
      </c>
      <c r="C64" s="4" t="s">
        <v>58</v>
      </c>
      <c r="D64" s="4">
        <v>0</v>
      </c>
      <c r="E64" s="9" t="str">
        <f t="shared" si="1"/>
        <v>#if(defined(DOUT15_BIT))
#define DIO62 62
#define DOUT15 62
#define DIO62_BIT (DOUT15_BIT)
#endif</v>
      </c>
      <c r="F64" s="9"/>
      <c r="G64" s="9"/>
      <c r="H64" s="9"/>
      <c r="I64" s="4" t="str">
        <f t="shared" si="5"/>
        <v>#if DOUT15&gt;=0
mcu_config_output(DOUT15);
#endif</v>
      </c>
    </row>
    <row r="65" spans="1:9" ht="15" customHeight="1" x14ac:dyDescent="0.25">
      <c r="A65" s="4">
        <v>63</v>
      </c>
      <c r="B65" s="4" t="str">
        <f t="shared" si="0"/>
        <v>DIO63</v>
      </c>
      <c r="C65" s="4" t="s">
        <v>191</v>
      </c>
      <c r="D65" s="4">
        <v>0</v>
      </c>
      <c r="E65" s="9" t="str">
        <f t="shared" si="1"/>
        <v>#if(defined(DOUT16_BIT))
#define DIO63 63
#define DOUT16 63
#define DIO63_BIT (DOUT16_BIT)
#endif</v>
      </c>
      <c r="F65" s="9"/>
      <c r="G65" s="9"/>
      <c r="H65" s="9"/>
      <c r="I65" s="4" t="str">
        <f t="shared" si="5"/>
        <v>#if DOUT16&gt;=0
mcu_config_output(DOUT16);
#endif</v>
      </c>
    </row>
    <row r="66" spans="1:9" ht="15" customHeight="1" x14ac:dyDescent="0.25">
      <c r="A66" s="4">
        <v>64</v>
      </c>
      <c r="B66" s="4" t="str">
        <f t="shared" si="0"/>
        <v>DIO64</v>
      </c>
      <c r="C66" s="4" t="s">
        <v>192</v>
      </c>
      <c r="D66" s="4">
        <v>1</v>
      </c>
      <c r="E66" s="9" t="str">
        <f t="shared" si="1"/>
        <v>#if(defined(DOUT17_BIT))
#define DIO64 64
#define DOUT17 64
#define DIO64_BIT (DOUT17_BIT)
#endif</v>
      </c>
      <c r="F66" s="9"/>
      <c r="G66" s="9"/>
      <c r="H66" s="9"/>
      <c r="I66" s="4" t="str">
        <f t="shared" si="5"/>
        <v>#if DOUT17&gt;=0
mcu_config_output(DOUT17);
#endif</v>
      </c>
    </row>
    <row r="67" spans="1:9" ht="15" customHeight="1" x14ac:dyDescent="0.25">
      <c r="A67" s="4">
        <v>65</v>
      </c>
      <c r="B67" s="4" t="str">
        <f t="shared" si="0"/>
        <v>DIO65</v>
      </c>
      <c r="C67" s="4" t="s">
        <v>193</v>
      </c>
      <c r="D67" s="4">
        <v>2</v>
      </c>
      <c r="E67" s="9" t="str">
        <f t="shared" si="1"/>
        <v>#if(defined(DOUT18_BIT))
#define DIO65 65
#define DOUT18 65
#define DIO65_BIT (DOUT18_BIT)
#endif</v>
      </c>
      <c r="F67" s="9"/>
      <c r="G67" s="9"/>
      <c r="H67" s="9"/>
      <c r="I67" s="4" t="str">
        <f t="shared" si="5"/>
        <v>#if DOUT18&gt;=0
mcu_config_output(DOUT18);
#endif</v>
      </c>
    </row>
    <row r="68" spans="1:9" ht="15" customHeight="1" x14ac:dyDescent="0.25">
      <c r="A68" s="4">
        <v>66</v>
      </c>
      <c r="B68" s="4" t="str">
        <f t="shared" si="0"/>
        <v>DIO66</v>
      </c>
      <c r="C68" s="4" t="s">
        <v>194</v>
      </c>
      <c r="D68" s="4">
        <v>3</v>
      </c>
      <c r="E68" s="9" t="str">
        <f t="shared" si="1"/>
        <v>#if(defined(DOUT19_BIT))
#define DIO66 66
#define DOUT19 66
#define DIO66_BIT (DOUT19_BIT)
#endif</v>
      </c>
      <c r="F68" s="9"/>
      <c r="G68" s="9"/>
      <c r="H68" s="9"/>
      <c r="I68" s="4" t="str">
        <f t="shared" si="5"/>
        <v>#if DOUT19&gt;=0
mcu_config_output(DOUT19);
#endif</v>
      </c>
    </row>
    <row r="69" spans="1:9" ht="15" customHeight="1" x14ac:dyDescent="0.25">
      <c r="A69" s="4">
        <v>67</v>
      </c>
      <c r="B69" s="4" t="str">
        <f t="shared" si="0"/>
        <v>DIO67</v>
      </c>
      <c r="C69" s="4" t="s">
        <v>195</v>
      </c>
      <c r="D69" s="4">
        <v>0</v>
      </c>
      <c r="E69" s="9" t="str">
        <f t="shared" si="1"/>
        <v>#if(defined(DOUT20_BIT))
#define DIO67 67
#define DOUT20 67
#define DIO67_BIT (DOUT20_BIT)
#endif</v>
      </c>
      <c r="F69" s="9"/>
      <c r="G69" s="9"/>
      <c r="H69" s="9"/>
      <c r="I69" s="4" t="str">
        <f t="shared" si="5"/>
        <v>#if DOUT20&gt;=0
mcu_config_output(DOUT20);
#endif</v>
      </c>
    </row>
    <row r="70" spans="1:9" ht="15" customHeight="1" x14ac:dyDescent="0.25">
      <c r="A70" s="4">
        <v>68</v>
      </c>
      <c r="B70" s="4" t="str">
        <f t="shared" si="0"/>
        <v>DIO68</v>
      </c>
      <c r="C70" s="4" t="s">
        <v>196</v>
      </c>
      <c r="D70" s="4">
        <v>1</v>
      </c>
      <c r="E70" s="9" t="str">
        <f t="shared" si="1"/>
        <v>#if(defined(DOUT21_BIT))
#define DIO68 68
#define DOUT21 68
#define DIO68_BIT (DOUT21_BIT)
#endif</v>
      </c>
      <c r="F70" s="9"/>
      <c r="G70" s="9"/>
      <c r="H70" s="9"/>
      <c r="I70" s="4" t="str">
        <f t="shared" si="5"/>
        <v>#if DOUT21&gt;=0
mcu_config_output(DOUT21);
#endif</v>
      </c>
    </row>
    <row r="71" spans="1:9" ht="15" customHeight="1" x14ac:dyDescent="0.25">
      <c r="A71" s="4">
        <v>69</v>
      </c>
      <c r="B71" s="4" t="str">
        <f t="shared" si="0"/>
        <v>DIO69</v>
      </c>
      <c r="C71" s="4" t="s">
        <v>197</v>
      </c>
      <c r="D71" s="4">
        <v>2</v>
      </c>
      <c r="E71" s="9" t="str">
        <f t="shared" si="1"/>
        <v>#if(defined(DOUT22_BIT))
#define DIO69 69
#define DOUT22 69
#define DIO69_BIT (DOUT22_BIT)
#endif</v>
      </c>
      <c r="F71" s="9"/>
      <c r="G71" s="9"/>
      <c r="H71" s="9"/>
      <c r="I71" s="4" t="str">
        <f t="shared" si="5"/>
        <v>#if DOUT22&gt;=0
mcu_config_output(DOUT22);
#endif</v>
      </c>
    </row>
    <row r="72" spans="1:9" ht="15" customHeight="1" x14ac:dyDescent="0.25">
      <c r="A72" s="4">
        <v>70</v>
      </c>
      <c r="B72" s="4" t="str">
        <f t="shared" si="0"/>
        <v>DIO70</v>
      </c>
      <c r="C72" s="4" t="s">
        <v>198</v>
      </c>
      <c r="D72" s="4">
        <v>3</v>
      </c>
      <c r="E72" s="9" t="str">
        <f t="shared" si="1"/>
        <v>#if(defined(DOUT23_BIT))
#define DIO70 70
#define DOUT23 70
#define DIO70_BIT (DOUT23_BIT)
#endif</v>
      </c>
      <c r="F72" s="9"/>
      <c r="G72" s="9"/>
      <c r="H72" s="9"/>
      <c r="I72" s="4" t="str">
        <f t="shared" si="5"/>
        <v>#if DOUT23&gt;=0
mcu_config_output(DOUT23);
#endif</v>
      </c>
    </row>
    <row r="73" spans="1:9" ht="15" customHeight="1" x14ac:dyDescent="0.25">
      <c r="A73" s="4">
        <v>71</v>
      </c>
      <c r="B73" s="4" t="str">
        <f t="shared" si="0"/>
        <v>DIO71</v>
      </c>
      <c r="C73" s="4" t="s">
        <v>199</v>
      </c>
      <c r="D73" s="4">
        <v>4</v>
      </c>
      <c r="E73" s="9" t="str">
        <f t="shared" si="1"/>
        <v>#if(defined(DOUT24_BIT))
#define DIO71 71
#define DOUT24 71
#define DIO71_BIT (DOUT24_BIT)
#endif</v>
      </c>
      <c r="F73" s="9"/>
      <c r="G73" s="9"/>
      <c r="H73" s="9"/>
      <c r="I73" s="4" t="str">
        <f t="shared" si="5"/>
        <v>#if DOUT24&gt;=0
mcu_config_output(DOUT24);
#endif</v>
      </c>
    </row>
    <row r="74" spans="1:9" ht="15" customHeight="1" x14ac:dyDescent="0.25">
      <c r="A74" s="4">
        <v>72</v>
      </c>
      <c r="B74" s="4" t="str">
        <f t="shared" si="0"/>
        <v>DIO72</v>
      </c>
      <c r="C74" s="4" t="s">
        <v>200</v>
      </c>
      <c r="D74" s="4">
        <v>5</v>
      </c>
      <c r="E74" s="9" t="str">
        <f t="shared" si="1"/>
        <v>#if(defined(DOUT25_BIT))
#define DIO72 72
#define DOUT25 72
#define DIO72_BIT (DOUT25_BIT)
#endif</v>
      </c>
      <c r="F74" s="9"/>
      <c r="G74" s="9"/>
      <c r="H74" s="12"/>
      <c r="I74" s="4" t="str">
        <f t="shared" si="5"/>
        <v>#if DOUT25&gt;=0
mcu_config_output(DOUT25);
#endif</v>
      </c>
    </row>
    <row r="75" spans="1:9" ht="15" customHeight="1" x14ac:dyDescent="0.25">
      <c r="A75" s="4">
        <v>73</v>
      </c>
      <c r="B75" s="4" t="str">
        <f t="shared" si="0"/>
        <v>DIO73</v>
      </c>
      <c r="C75" s="4" t="s">
        <v>201</v>
      </c>
      <c r="D75" s="4">
        <v>6</v>
      </c>
      <c r="E75" s="9" t="str">
        <f t="shared" si="1"/>
        <v>#if(defined(DOUT26_BIT))
#define DIO73 73
#define DOUT26 73
#define DIO73_BIT (DOUT26_BIT)
#endif</v>
      </c>
      <c r="F75" s="9"/>
      <c r="G75" s="9"/>
      <c r="H75" s="12"/>
      <c r="I75" s="4" t="str">
        <f t="shared" si="5"/>
        <v>#if DOUT26&gt;=0
mcu_config_output(DOUT26);
#endif</v>
      </c>
    </row>
    <row r="76" spans="1:9" ht="15" customHeight="1" x14ac:dyDescent="0.25">
      <c r="A76" s="4">
        <v>74</v>
      </c>
      <c r="B76" s="4" t="str">
        <f t="shared" si="0"/>
        <v>DIO74</v>
      </c>
      <c r="C76" s="4" t="s">
        <v>202</v>
      </c>
      <c r="D76" s="4">
        <v>7</v>
      </c>
      <c r="E76" s="9" t="str">
        <f t="shared" si="1"/>
        <v>#if(defined(DOUT27_BIT))
#define DIO74 74
#define DOUT27 74
#define DIO74_BIT (DOUT27_BIT)
#endif</v>
      </c>
      <c r="F76" s="9"/>
      <c r="G76" s="9"/>
      <c r="H76" s="12"/>
      <c r="I76" s="4" t="str">
        <f t="shared" si="5"/>
        <v>#if DOUT27&gt;=0
mcu_config_output(DOUT27);
#endif</v>
      </c>
    </row>
    <row r="77" spans="1:9" ht="15" customHeight="1" x14ac:dyDescent="0.25">
      <c r="A77" s="4">
        <v>75</v>
      </c>
      <c r="B77" s="4" t="str">
        <f t="shared" si="0"/>
        <v>DIO75</v>
      </c>
      <c r="C77" s="4" t="s">
        <v>203</v>
      </c>
      <c r="D77" s="4">
        <v>8</v>
      </c>
      <c r="E77" s="9" t="str">
        <f t="shared" si="1"/>
        <v>#if(defined(DOUT28_BIT))
#define DIO75 75
#define DOUT28 75
#define DIO75_BIT (DOUT28_BIT)
#endif</v>
      </c>
      <c r="F77" s="9"/>
      <c r="G77" s="9"/>
      <c r="H77" s="12"/>
      <c r="I77" s="4" t="str">
        <f t="shared" si="5"/>
        <v>#if DOUT28&gt;=0
mcu_config_output(DOUT28);
#endif</v>
      </c>
    </row>
    <row r="78" spans="1:9" ht="15" customHeight="1" x14ac:dyDescent="0.25">
      <c r="A78" s="4">
        <v>76</v>
      </c>
      <c r="B78" s="4" t="str">
        <f t="shared" si="0"/>
        <v>DIO76</v>
      </c>
      <c r="C78" s="4" t="s">
        <v>204</v>
      </c>
      <c r="D78" s="4">
        <v>9</v>
      </c>
      <c r="E78" s="9" t="str">
        <f t="shared" si="1"/>
        <v>#if(defined(DOUT29_BIT))
#define DIO76 76
#define DOUT29 76
#define DIO76_BIT (DOUT29_BIT)
#endif</v>
      </c>
      <c r="F78" s="9"/>
      <c r="G78" s="9"/>
      <c r="H78" s="12"/>
      <c r="I78" s="4" t="str">
        <f t="shared" si="5"/>
        <v>#if DOUT29&gt;=0
mcu_config_output(DOUT29);
#endif</v>
      </c>
    </row>
    <row r="79" spans="1:9" ht="15" customHeight="1" x14ac:dyDescent="0.25">
      <c r="A79" s="4">
        <v>77</v>
      </c>
      <c r="B79" s="4" t="str">
        <f t="shared" si="0"/>
        <v>DIO77</v>
      </c>
      <c r="C79" s="4" t="s">
        <v>205</v>
      </c>
      <c r="D79" s="4">
        <v>10</v>
      </c>
      <c r="E79" s="9" t="str">
        <f t="shared" si="1"/>
        <v>#if(defined(DOUT30_BIT))
#define DIO77 77
#define DOUT30 77
#define DIO77_BIT (DOUT30_BIT)
#endif</v>
      </c>
      <c r="F79" s="9"/>
      <c r="G79" s="9"/>
      <c r="H79" s="12"/>
      <c r="I79" s="4" t="str">
        <f t="shared" si="5"/>
        <v>#if DOUT30&gt;=0
mcu_config_output(DOUT30);
#endif</v>
      </c>
    </row>
    <row r="80" spans="1:9" ht="15" customHeight="1" x14ac:dyDescent="0.25">
      <c r="A80" s="4">
        <v>78</v>
      </c>
      <c r="B80" s="4" t="str">
        <f t="shared" si="0"/>
        <v>DIO78</v>
      </c>
      <c r="C80" s="4" t="s">
        <v>206</v>
      </c>
      <c r="D80" s="4">
        <v>11</v>
      </c>
      <c r="E80" s="9" t="str">
        <f t="shared" si="1"/>
        <v>#if(defined(DOUT31_BIT))
#define DIO78 78
#define DOUT31 78
#define DIO78_BIT (DOUT31_BIT)
#endif</v>
      </c>
      <c r="F80" s="11" t="s">
        <v>122</v>
      </c>
      <c r="G80" s="11" t="s">
        <v>123</v>
      </c>
      <c r="H80" s="12"/>
      <c r="I80" s="4" t="str">
        <f t="shared" si="5"/>
        <v>#if DOUT31&gt;=0
mcu_config_output(DOUT31);
#endif</v>
      </c>
    </row>
    <row r="81" spans="1:9" ht="15" customHeight="1" x14ac:dyDescent="0.25">
      <c r="A81" s="4">
        <v>100</v>
      </c>
      <c r="B81" s="4" t="str">
        <f t="shared" si="0"/>
        <v>DIO100</v>
      </c>
      <c r="C81" s="4" t="s">
        <v>59</v>
      </c>
      <c r="D81" s="4">
        <v>12</v>
      </c>
      <c r="E81" s="9" t="str">
        <f t="shared" si="1"/>
        <v>#if(defined(LIMIT_X_BIT))
#define DIO100 100
#define LIMIT_X 100
#define DIO100_BIT (LIMIT_X_BIT)
#endif</v>
      </c>
      <c r="F81" s="12" t="str">
        <f t="shared" ref="F81:F89" si="6">"#if(defined("&amp;C81&amp;"_ISR) &amp;&amp; defined("&amp;C81&amp;"))
#define "&amp;B81&amp;"_ISR ("&amp;C81&amp;"_ISR)
#define "&amp;C81&amp;"_ISRCALLBACK mcu_limit_isr
#define "&amp;B81&amp;"_ISRCALLBACK mcu_limit_isr
#endif"</f>
        <v>#if(defined(LIMIT_X_ISR) &amp;&amp; defined(LIMIT_X))
#define DIO100_ISR (LIMIT_X_ISR)
#define LIMIT_X_ISRCALLBACK mcu_limit_isr
#define DIO100_ISRCALLBACK mcu_limit_isr
#endif</v>
      </c>
      <c r="G81" s="9" t="str">
        <f t="shared" ref="G81:G94" si="7">"#ifndef "&amp;C81&amp;"_ISR0
#define "&amp;C81&amp;"_ISR0 0
#endif
#ifndef "&amp;C81&amp;"_ISR1
#define "&amp;C81&amp;"_ISR1 0
#endif
#ifndef "&amp;C81&amp;"_ISR2
#define "&amp;C81&amp;"_ISR2 0
#endif
#ifndef "&amp;C81&amp;"_ISRA
#define "&amp;C81&amp;"_ISRA 0
#endif
#ifndef "&amp;C81&amp;"_ISRB
#define "&amp;C81&amp;"_ISRB 0
#endif
#define "&amp;C81&amp;"_ISR_MASK ("&amp;C81&amp;"_ISR0 | "&amp;C81&amp;"_ISR1 | "&amp;C81&amp;"_ISR2 | "&amp;C81&amp;"_ISRA | "&amp;C81&amp;"_ISRB)
#ifndef "&amp;C81&amp;"_ISR_MASK
#define "&amp;C81&amp;"_ISR_MASK 0
#endif
#define "&amp;B81&amp;"_ISR_MASK "&amp;C81&amp;"_ISR_MASK
#define "&amp;B81&amp;"_ISRREG "&amp;C81&amp;"_ISRREG"</f>
        <v>#ifndef LIMIT_X_ISR0
#define LIMIT_X_ISR0 0
#endif
#ifndef LIMIT_X_ISR1
#define LIMIT_X_ISR1 0
#endif
#ifndef LIMIT_X_ISR2
#define LIMIT_X_ISR2 0
#endif
#ifndef LIMIT_X_ISRA
#define LIMIT_X_ISRA 0
#endif
#ifndef LIMIT_X_ISRB
#define LIMIT_X_ISRB 0
#endif
#define LIMIT_X_ISR_MASK (LIMIT_X_ISR0 | LIMIT_X_ISR1 | LIMIT_X_ISR2 | LIMIT_X_ISRA | LIMIT_X_ISRB)
#ifndef LIMIT_X_ISR_MASK
#define LIMIT_X_ISR_MASK 0
#endif
#define DIO100_ISR_MASK LIMIT_X_ISR_MASK
#define DIO100_ISRREG LIMIT_X_ISRREG</v>
      </c>
      <c r="H81" s="12"/>
      <c r="I81" s="4" t="str">
        <f t="shared" ref="I81:I94" si="8">"#if "&amp;C81&amp;"&gt;=0
mcu_config_input("&amp;C81&amp;");
#ifdef "&amp;C81&amp;"_PULLUP
mcu_config_pullup("&amp;C81&amp;");
#endif
#ifdef "&amp;C81&amp;"_ISR
mcu_config_input_isr("&amp;C81&amp;");
#endif
#endif"</f>
        <v>#if LIMIT_X&gt;=0
mcu_config_input(LIMIT_X);
#ifdef LIMIT_X_PULLUP
mcu_config_pullup(LIMIT_X);
#endif
#ifdef LIMIT_X_ISR
mcu_config_input_isr(LIMIT_X);
#endif
#endif</v>
      </c>
    </row>
    <row r="82" spans="1:9" ht="15" customHeight="1" x14ac:dyDescent="0.25">
      <c r="A82" s="4">
        <v>101</v>
      </c>
      <c r="B82" s="4" t="str">
        <f t="shared" si="0"/>
        <v>DIO101</v>
      </c>
      <c r="C82" s="4" t="s">
        <v>60</v>
      </c>
      <c r="D82" s="4">
        <v>13</v>
      </c>
      <c r="E82" s="9" t="str">
        <f t="shared" si="1"/>
        <v>#if(defined(LIMIT_Y_BIT))
#define DIO101 101
#define LIMIT_Y 101
#define DIO101_BIT (LIMIT_Y_BIT)
#endif</v>
      </c>
      <c r="F82" s="12" t="str">
        <f t="shared" si="6"/>
        <v>#if(defined(LIMIT_Y_ISR) &amp;&amp; defined(LIMIT_Y))
#define DIO101_ISR (LIMIT_Y_ISR)
#define LIMIT_Y_ISRCALLBACK mcu_limit_isr
#define DIO101_ISRCALLBACK mcu_limit_isr
#endif</v>
      </c>
      <c r="G82" s="9" t="str">
        <f t="shared" si="7"/>
        <v>#ifndef LIMIT_Y_ISR0
#define LIMIT_Y_ISR0 0
#endif
#ifndef LIMIT_Y_ISR1
#define LIMIT_Y_ISR1 0
#endif
#ifndef LIMIT_Y_ISR2
#define LIMIT_Y_ISR2 0
#endif
#ifndef LIMIT_Y_ISRA
#define LIMIT_Y_ISRA 0
#endif
#ifndef LIMIT_Y_ISRB
#define LIMIT_Y_ISRB 0
#endif
#define LIMIT_Y_ISR_MASK (LIMIT_Y_ISR0 | LIMIT_Y_ISR1 | LIMIT_Y_ISR2 | LIMIT_Y_ISRA | LIMIT_Y_ISRB)
#ifndef LIMIT_Y_ISR_MASK
#define LIMIT_Y_ISR_MASK 0
#endif
#define DIO101_ISR_MASK LIMIT_Y_ISR_MASK
#define DIO101_ISRREG LIMIT_Y_ISRREG</v>
      </c>
      <c r="H82" s="12"/>
      <c r="I82" s="4" t="str">
        <f t="shared" si="8"/>
        <v>#if LIMIT_Y&gt;=0
mcu_config_input(LIMIT_Y);
#ifdef LIMIT_Y_PULLUP
mcu_config_pullup(LIMIT_Y);
#endif
#ifdef LIMIT_Y_ISR
mcu_config_input_isr(LIMIT_Y);
#endif
#endif</v>
      </c>
    </row>
    <row r="83" spans="1:9" ht="15" customHeight="1" x14ac:dyDescent="0.25">
      <c r="A83" s="4">
        <v>102</v>
      </c>
      <c r="B83" s="4" t="str">
        <f t="shared" si="0"/>
        <v>DIO102</v>
      </c>
      <c r="C83" s="4" t="s">
        <v>61</v>
      </c>
      <c r="D83" s="4">
        <v>14</v>
      </c>
      <c r="E83" s="9" t="str">
        <f t="shared" si="1"/>
        <v>#if(defined(LIMIT_Z_BIT))
#define DIO102 102
#define LIMIT_Z 102
#define DIO102_BIT (LIMIT_Z_BIT)
#endif</v>
      </c>
      <c r="F83" s="12" t="str">
        <f t="shared" si="6"/>
        <v>#if(defined(LIMIT_Z_ISR) &amp;&amp; defined(LIMIT_Z))
#define DIO102_ISR (LIMIT_Z_ISR)
#define LIMIT_Z_ISRCALLBACK mcu_limit_isr
#define DIO102_ISRCALLBACK mcu_limit_isr
#endif</v>
      </c>
      <c r="G83" s="9" t="str">
        <f t="shared" si="7"/>
        <v>#ifndef LIMIT_Z_ISR0
#define LIMIT_Z_ISR0 0
#endif
#ifndef LIMIT_Z_ISR1
#define LIMIT_Z_ISR1 0
#endif
#ifndef LIMIT_Z_ISR2
#define LIMIT_Z_ISR2 0
#endif
#ifndef LIMIT_Z_ISRA
#define LIMIT_Z_ISRA 0
#endif
#ifndef LIMIT_Z_ISRB
#define LIMIT_Z_ISRB 0
#endif
#define LIMIT_Z_ISR_MASK (LIMIT_Z_ISR0 | LIMIT_Z_ISR1 | LIMIT_Z_ISR2 | LIMIT_Z_ISRA | LIMIT_Z_ISRB)
#ifndef LIMIT_Z_ISR_MASK
#define LIMIT_Z_ISR_MASK 0
#endif
#define DIO102_ISR_MASK LIMIT_Z_ISR_MASK
#define DIO102_ISRREG LIMIT_Z_ISRREG</v>
      </c>
      <c r="H83" s="12"/>
      <c r="I83" s="4" t="str">
        <f t="shared" si="8"/>
        <v>#if LIMIT_Z&gt;=0
mcu_config_input(LIMIT_Z);
#ifdef LIMIT_Z_PULLUP
mcu_config_pullup(LIMIT_Z);
#endif
#ifdef LIMIT_Z_ISR
mcu_config_input_isr(LIMIT_Z);
#endif
#endif</v>
      </c>
    </row>
    <row r="84" spans="1:9" ht="15" customHeight="1" x14ac:dyDescent="0.25">
      <c r="A84" s="4">
        <v>103</v>
      </c>
      <c r="B84" s="4" t="str">
        <f t="shared" si="0"/>
        <v>DIO103</v>
      </c>
      <c r="C84" s="4" t="s">
        <v>62</v>
      </c>
      <c r="D84" s="4">
        <v>15</v>
      </c>
      <c r="E84" s="9" t="str">
        <f t="shared" si="1"/>
        <v>#if(defined(LIMIT_X2_BIT))
#define DIO103 103
#define LIMIT_X2 103
#define DIO103_BIT (LIMIT_X2_BIT)
#endif</v>
      </c>
      <c r="F84" s="12" t="str">
        <f t="shared" si="6"/>
        <v>#if(defined(LIMIT_X2_ISR) &amp;&amp; defined(LIMIT_X2))
#define DIO103_ISR (LIMIT_X2_ISR)
#define LIMIT_X2_ISRCALLBACK mcu_limit_isr
#define DIO103_ISRCALLBACK mcu_limit_isr
#endif</v>
      </c>
      <c r="G84" s="9" t="str">
        <f t="shared" si="7"/>
        <v>#ifndef LIMIT_X2_ISR0
#define LIMIT_X2_ISR0 0
#endif
#ifndef LIMIT_X2_ISR1
#define LIMIT_X2_ISR1 0
#endif
#ifndef LIMIT_X2_ISR2
#define LIMIT_X2_ISR2 0
#endif
#ifndef LIMIT_X2_ISRA
#define LIMIT_X2_ISRA 0
#endif
#ifndef LIMIT_X2_ISRB
#define LIMIT_X2_ISRB 0
#endif
#define LIMIT_X2_ISR_MASK (LIMIT_X2_ISR0 | LIMIT_X2_ISR1 | LIMIT_X2_ISR2 | LIMIT_X2_ISRA | LIMIT_X2_ISRB)
#ifndef LIMIT_X2_ISR_MASK
#define LIMIT_X2_ISR_MASK 0
#endif
#define DIO103_ISR_MASK LIMIT_X2_ISR_MASK
#define DIO103_ISRREG LIMIT_X2_ISRREG</v>
      </c>
      <c r="H84" s="12"/>
      <c r="I84" s="4" t="str">
        <f t="shared" si="8"/>
        <v>#if LIMIT_X2&gt;=0
mcu_config_input(LIMIT_X2);
#ifdef LIMIT_X2_PULLUP
mcu_config_pullup(LIMIT_X2);
#endif
#ifdef LIMIT_X2_ISR
mcu_config_input_isr(LIMIT_X2);
#endif
#endif</v>
      </c>
    </row>
    <row r="85" spans="1:9" ht="15" customHeight="1" x14ac:dyDescent="0.25">
      <c r="A85" s="4">
        <v>104</v>
      </c>
      <c r="B85" s="4" t="str">
        <f t="shared" si="0"/>
        <v>DIO104</v>
      </c>
      <c r="C85" s="4" t="s">
        <v>63</v>
      </c>
      <c r="D85" s="4">
        <v>0</v>
      </c>
      <c r="E85" s="9" t="str">
        <f t="shared" si="1"/>
        <v>#if(defined(LIMIT_Y2_BIT))
#define DIO104 104
#define LIMIT_Y2 104
#define DIO104_BIT (LIMIT_Y2_BIT)
#endif</v>
      </c>
      <c r="F85" s="12" t="str">
        <f t="shared" si="6"/>
        <v>#if(defined(LIMIT_Y2_ISR) &amp;&amp; defined(LIMIT_Y2))
#define DIO104_ISR (LIMIT_Y2_ISR)
#define LIMIT_Y2_ISRCALLBACK mcu_limit_isr
#define DIO104_ISRCALLBACK mcu_limit_isr
#endif</v>
      </c>
      <c r="G85" s="9" t="str">
        <f t="shared" si="7"/>
        <v>#ifndef LIMIT_Y2_ISR0
#define LIMIT_Y2_ISR0 0
#endif
#ifndef LIMIT_Y2_ISR1
#define LIMIT_Y2_ISR1 0
#endif
#ifndef LIMIT_Y2_ISR2
#define LIMIT_Y2_ISR2 0
#endif
#ifndef LIMIT_Y2_ISRA
#define LIMIT_Y2_ISRA 0
#endif
#ifndef LIMIT_Y2_ISRB
#define LIMIT_Y2_ISRB 0
#endif
#define LIMIT_Y2_ISR_MASK (LIMIT_Y2_ISR0 | LIMIT_Y2_ISR1 | LIMIT_Y2_ISR2 | LIMIT_Y2_ISRA | LIMIT_Y2_ISRB)
#ifndef LIMIT_Y2_ISR_MASK
#define LIMIT_Y2_ISR_MASK 0
#endif
#define DIO104_ISR_MASK LIMIT_Y2_ISR_MASK
#define DIO104_ISRREG LIMIT_Y2_ISRREG</v>
      </c>
      <c r="H85" s="9"/>
      <c r="I85" s="4" t="str">
        <f t="shared" si="8"/>
        <v>#if LIMIT_Y2&gt;=0
mcu_config_input(LIMIT_Y2);
#ifdef LIMIT_Y2_PULLUP
mcu_config_pullup(LIMIT_Y2);
#endif
#ifdef LIMIT_Y2_ISR
mcu_config_input_isr(LIMIT_Y2);
#endif
#endif</v>
      </c>
    </row>
    <row r="86" spans="1:9" ht="15" customHeight="1" x14ac:dyDescent="0.25">
      <c r="A86" s="4">
        <v>105</v>
      </c>
      <c r="B86" s="4" t="str">
        <f t="shared" si="0"/>
        <v>DIO105</v>
      </c>
      <c r="C86" s="4" t="s">
        <v>64</v>
      </c>
      <c r="D86" s="4">
        <v>1</v>
      </c>
      <c r="E86" s="9" t="str">
        <f t="shared" si="1"/>
        <v>#if(defined(LIMIT_Z2_BIT))
#define DIO105 105
#define LIMIT_Z2 105
#define DIO105_BIT (LIMIT_Z2_BIT)
#endif</v>
      </c>
      <c r="F86" s="12" t="str">
        <f t="shared" si="6"/>
        <v>#if(defined(LIMIT_Z2_ISR) &amp;&amp; defined(LIMIT_Z2))
#define DIO105_ISR (LIMIT_Z2_ISR)
#define LIMIT_Z2_ISRCALLBACK mcu_limit_isr
#define DIO105_ISRCALLBACK mcu_limit_isr
#endif</v>
      </c>
      <c r="G86" s="9" t="str">
        <f t="shared" si="7"/>
        <v>#ifndef LIMIT_Z2_ISR0
#define LIMIT_Z2_ISR0 0
#endif
#ifndef LIMIT_Z2_ISR1
#define LIMIT_Z2_ISR1 0
#endif
#ifndef LIMIT_Z2_ISR2
#define LIMIT_Z2_ISR2 0
#endif
#ifndef LIMIT_Z2_ISRA
#define LIMIT_Z2_ISRA 0
#endif
#ifndef LIMIT_Z2_ISRB
#define LIMIT_Z2_ISRB 0
#endif
#define LIMIT_Z2_ISR_MASK (LIMIT_Z2_ISR0 | LIMIT_Z2_ISR1 | LIMIT_Z2_ISR2 | LIMIT_Z2_ISRA | LIMIT_Z2_ISRB)
#ifndef LIMIT_Z2_ISR_MASK
#define LIMIT_Z2_ISR_MASK 0
#endif
#define DIO105_ISR_MASK LIMIT_Z2_ISR_MASK
#define DIO105_ISRREG LIMIT_Z2_ISRREG</v>
      </c>
      <c r="H86" s="9"/>
      <c r="I86" s="4" t="str">
        <f t="shared" si="8"/>
        <v>#if LIMIT_Z2&gt;=0
mcu_config_input(LIMIT_Z2);
#ifdef LIMIT_Z2_PULLUP
mcu_config_pullup(LIMIT_Z2);
#endif
#ifdef LIMIT_Z2_ISR
mcu_config_input_isr(LIMIT_Z2);
#endif
#endif</v>
      </c>
    </row>
    <row r="87" spans="1:9" ht="15" customHeight="1" x14ac:dyDescent="0.25">
      <c r="A87" s="4">
        <v>106</v>
      </c>
      <c r="B87" s="4" t="str">
        <f t="shared" si="0"/>
        <v>DIO106</v>
      </c>
      <c r="C87" s="4" t="s">
        <v>65</v>
      </c>
      <c r="D87" s="4">
        <v>2</v>
      </c>
      <c r="E87" s="9" t="str">
        <f t="shared" si="1"/>
        <v>#if(defined(LIMIT_A_BIT))
#define DIO106 106
#define LIMIT_A 106
#define DIO106_BIT (LIMIT_A_BIT)
#endif</v>
      </c>
      <c r="F87" s="12" t="str">
        <f t="shared" si="6"/>
        <v>#if(defined(LIMIT_A_ISR) &amp;&amp; defined(LIMIT_A))
#define DIO106_ISR (LIMIT_A_ISR)
#define LIMIT_A_ISRCALLBACK mcu_limit_isr
#define DIO106_ISRCALLBACK mcu_limit_isr
#endif</v>
      </c>
      <c r="G87" s="9" t="str">
        <f t="shared" si="7"/>
        <v>#ifndef LIMIT_A_ISR0
#define LIMIT_A_ISR0 0
#endif
#ifndef LIMIT_A_ISR1
#define LIMIT_A_ISR1 0
#endif
#ifndef LIMIT_A_ISR2
#define LIMIT_A_ISR2 0
#endif
#ifndef LIMIT_A_ISRA
#define LIMIT_A_ISRA 0
#endif
#ifndef LIMIT_A_ISRB
#define LIMIT_A_ISRB 0
#endif
#define LIMIT_A_ISR_MASK (LIMIT_A_ISR0 | LIMIT_A_ISR1 | LIMIT_A_ISR2 | LIMIT_A_ISRA | LIMIT_A_ISRB)
#ifndef LIMIT_A_ISR_MASK
#define LIMIT_A_ISR_MASK 0
#endif
#define DIO106_ISR_MASK LIMIT_A_ISR_MASK
#define DIO106_ISRREG LIMIT_A_ISRREG</v>
      </c>
      <c r="H87" s="9"/>
      <c r="I87" s="4" t="str">
        <f t="shared" si="8"/>
        <v>#if LIMIT_A&gt;=0
mcu_config_input(LIMIT_A);
#ifdef LIMIT_A_PULLUP
mcu_config_pullup(LIMIT_A);
#endif
#ifdef LIMIT_A_ISR
mcu_config_input_isr(LIMIT_A);
#endif
#endif</v>
      </c>
    </row>
    <row r="88" spans="1:9" ht="15" customHeight="1" x14ac:dyDescent="0.25">
      <c r="A88" s="4">
        <v>107</v>
      </c>
      <c r="B88" s="4" t="str">
        <f t="shared" si="0"/>
        <v>DIO107</v>
      </c>
      <c r="C88" s="4" t="s">
        <v>66</v>
      </c>
      <c r="D88" s="4">
        <v>3</v>
      </c>
      <c r="E88" s="9" t="str">
        <f t="shared" si="1"/>
        <v>#if(defined(LIMIT_B_BIT))
#define DIO107 107
#define LIMIT_B 107
#define DIO107_BIT (LIMIT_B_BIT)
#endif</v>
      </c>
      <c r="F88" s="12" t="str">
        <f t="shared" si="6"/>
        <v>#if(defined(LIMIT_B_ISR) &amp;&amp; defined(LIMIT_B))
#define DIO107_ISR (LIMIT_B_ISR)
#define LIMIT_B_ISRCALLBACK mcu_limit_isr
#define DIO107_ISRCALLBACK mcu_limit_isr
#endif</v>
      </c>
      <c r="G88" s="9" t="str">
        <f t="shared" si="7"/>
        <v>#ifndef LIMIT_B_ISR0
#define LIMIT_B_ISR0 0
#endif
#ifndef LIMIT_B_ISR1
#define LIMIT_B_ISR1 0
#endif
#ifndef LIMIT_B_ISR2
#define LIMIT_B_ISR2 0
#endif
#ifndef LIMIT_B_ISRA
#define LIMIT_B_ISRA 0
#endif
#ifndef LIMIT_B_ISRB
#define LIMIT_B_ISRB 0
#endif
#define LIMIT_B_ISR_MASK (LIMIT_B_ISR0 | LIMIT_B_ISR1 | LIMIT_B_ISR2 | LIMIT_B_ISRA | LIMIT_B_ISRB)
#ifndef LIMIT_B_ISR_MASK
#define LIMIT_B_ISR_MASK 0
#endif
#define DIO107_ISR_MASK LIMIT_B_ISR_MASK
#define DIO107_ISRREG LIMIT_B_ISRREG</v>
      </c>
      <c r="H88" s="9"/>
      <c r="I88" s="4" t="str">
        <f t="shared" si="8"/>
        <v>#if LIMIT_B&gt;=0
mcu_config_input(LIMIT_B);
#ifdef LIMIT_B_PULLUP
mcu_config_pullup(LIMIT_B);
#endif
#ifdef LIMIT_B_ISR
mcu_config_input_isr(LIMIT_B);
#endif
#endif</v>
      </c>
    </row>
    <row r="89" spans="1:9" ht="15" customHeight="1" x14ac:dyDescent="0.25">
      <c r="A89" s="4">
        <v>108</v>
      </c>
      <c r="B89" s="4" t="str">
        <f t="shared" si="0"/>
        <v>DIO108</v>
      </c>
      <c r="C89" s="4" t="s">
        <v>67</v>
      </c>
      <c r="D89" s="4">
        <v>4</v>
      </c>
      <c r="E89" s="9" t="str">
        <f t="shared" si="1"/>
        <v>#if(defined(LIMIT_C_BIT))
#define DIO108 108
#define LIMIT_C 108
#define DIO108_BIT (LIMIT_C_BIT)
#endif</v>
      </c>
      <c r="F89" s="12" t="str">
        <f t="shared" si="6"/>
        <v>#if(defined(LIMIT_C_ISR) &amp;&amp; defined(LIMIT_C))
#define DIO108_ISR (LIMIT_C_ISR)
#define LIMIT_C_ISRCALLBACK mcu_limit_isr
#define DIO108_ISRCALLBACK mcu_limit_isr
#endif</v>
      </c>
      <c r="G89" s="9" t="str">
        <f t="shared" si="7"/>
        <v>#ifndef LIMIT_C_ISR0
#define LIMIT_C_ISR0 0
#endif
#ifndef LIMIT_C_ISR1
#define LIMIT_C_ISR1 0
#endif
#ifndef LIMIT_C_ISR2
#define LIMIT_C_ISR2 0
#endif
#ifndef LIMIT_C_ISRA
#define LIMIT_C_ISRA 0
#endif
#ifndef LIMIT_C_ISRB
#define LIMIT_C_ISRB 0
#endif
#define LIMIT_C_ISR_MASK (LIMIT_C_ISR0 | LIMIT_C_ISR1 | LIMIT_C_ISR2 | LIMIT_C_ISRA | LIMIT_C_ISRB)
#ifndef LIMIT_C_ISR_MASK
#define LIMIT_C_ISR_MASK 0
#endif
#define DIO108_ISR_MASK LIMIT_C_ISR_MASK
#define DIO108_ISRREG LIMIT_C_ISRREG</v>
      </c>
      <c r="H89" s="9"/>
      <c r="I89" s="4" t="str">
        <f t="shared" si="8"/>
        <v>#if LIMIT_C&gt;=0
mcu_config_input(LIMIT_C);
#ifdef LIMIT_C_PULLUP
mcu_config_pullup(LIMIT_C);
#endif
#ifdef LIMIT_C_ISR
mcu_config_input_isr(LIMIT_C);
#endif
#endif</v>
      </c>
    </row>
    <row r="90" spans="1:9" ht="15" customHeight="1" x14ac:dyDescent="0.25">
      <c r="A90" s="4">
        <v>109</v>
      </c>
      <c r="B90" s="4" t="str">
        <f t="shared" si="0"/>
        <v>DIO109</v>
      </c>
      <c r="C90" s="5" t="s">
        <v>68</v>
      </c>
      <c r="D90" s="4">
        <v>5</v>
      </c>
      <c r="E90" s="9" t="str">
        <f t="shared" si="1"/>
        <v>#if(defined(PROBE_BIT))
#define DIO109 109
#define PROBE 109
#define DIO109_BIT (PROBE_BIT)
#endif</v>
      </c>
      <c r="F90" s="12" t="str">
        <f>"#if(defined("&amp;C90&amp;"_ISR) &amp;&amp; defined("&amp;C90&amp;"))
#define "&amp;B90&amp;"_ISR ("&amp;C90&amp;"_ISR)
#define "&amp;C90&amp;"_ISRCALLBACK mcu_probe_isr
#define "&amp;B90&amp;"_ISRCALLBACK mcu_probe_isr
#endif"</f>
        <v>#if(defined(PROBE_ISR) &amp;&amp; defined(PROBE))
#define DIO109_ISR (PROBE_ISR)
#define PROBE_ISRCALLBACK mcu_probe_isr
#define DIO109_ISRCALLBACK mcu_probe_isr
#endif</v>
      </c>
      <c r="G90" s="9" t="str">
        <f t="shared" si="7"/>
        <v>#ifndef PROBE_ISR0
#define PROBE_ISR0 0
#endif
#ifndef PROBE_ISR1
#define PROBE_ISR1 0
#endif
#ifndef PROBE_ISR2
#define PROBE_ISR2 0
#endif
#ifndef PROBE_ISRA
#define PROBE_ISRA 0
#endif
#ifndef PROBE_ISRB
#define PROBE_ISRB 0
#endif
#define PROBE_ISR_MASK (PROBE_ISR0 | PROBE_ISR1 | PROBE_ISR2 | PROBE_ISRA | PROBE_ISRB)
#ifndef PROBE_ISR_MASK
#define PROBE_ISR_MASK 0
#endif
#define DIO109_ISR_MASK PROBE_ISR_MASK
#define DIO109_ISRREG PROBE_ISRREG</v>
      </c>
      <c r="H90" s="9"/>
      <c r="I90" s="4" t="str">
        <f t="shared" si="8"/>
        <v>#if PROBE&gt;=0
mcu_config_input(PROBE);
#ifdef PROBE_PULLUP
mcu_config_pullup(PROBE);
#endif
#ifdef PROBE_ISR
mcu_config_input_isr(PROBE);
#endif
#endif</v>
      </c>
    </row>
    <row r="91" spans="1:9" ht="15" customHeight="1" x14ac:dyDescent="0.25">
      <c r="A91" s="4">
        <v>110</v>
      </c>
      <c r="B91" s="4" t="str">
        <f t="shared" si="0"/>
        <v>DIO110</v>
      </c>
      <c r="C91" s="4" t="s">
        <v>69</v>
      </c>
      <c r="D91" s="4">
        <v>6</v>
      </c>
      <c r="E91" s="9" t="str">
        <f t="shared" si="1"/>
        <v>#if(defined(ESTOP_BIT))
#define DIO110 110
#define ESTOP 110
#define DIO110_BIT (ESTOP_BIT)
#endif</v>
      </c>
      <c r="F91" s="12" t="str">
        <f t="shared" ref="F91:F94" si="9">"#if(defined("&amp;C91&amp;"_ISR) &amp;&amp; defined("&amp;C91&amp;"))
#define "&amp;B91&amp;"_ISR ("&amp;C91&amp;"_ISR)
#define "&amp;C91&amp;"_ISRCALLBACK mcu_control_isr
#define "&amp;B91&amp;"_ISRCALLBACK mcu_control_isr
#endif"</f>
        <v>#if(defined(ESTOP_ISR) &amp;&amp; defined(ESTOP))
#define DIO110_ISR (ESTOP_ISR)
#define ESTOP_ISRCALLBACK mcu_control_isr
#define DIO110_ISRCALLBACK mcu_control_isr
#endif</v>
      </c>
      <c r="G91" s="9" t="str">
        <f t="shared" si="7"/>
        <v>#ifndef ESTOP_ISR0
#define ESTOP_ISR0 0
#endif
#ifndef ESTOP_ISR1
#define ESTOP_ISR1 0
#endif
#ifndef ESTOP_ISR2
#define ESTOP_ISR2 0
#endif
#ifndef ESTOP_ISRA
#define ESTOP_ISRA 0
#endif
#ifndef ESTOP_ISRB
#define ESTOP_ISRB 0
#endif
#define ESTOP_ISR_MASK (ESTOP_ISR0 | ESTOP_ISR1 | ESTOP_ISR2 | ESTOP_ISRA | ESTOP_ISRB)
#ifndef ESTOP_ISR_MASK
#define ESTOP_ISR_MASK 0
#endif
#define DIO110_ISR_MASK ESTOP_ISR_MASK
#define DIO110_ISRREG ESTOP_ISRREG</v>
      </c>
      <c r="H91" s="9"/>
      <c r="I91" s="4" t="str">
        <f t="shared" si="8"/>
        <v>#if ESTOP&gt;=0
mcu_config_input(ESTOP);
#ifdef ESTOP_PULLUP
mcu_config_pullup(ESTOP);
#endif
#ifdef ESTOP_ISR
mcu_config_input_isr(ESTOP);
#endif
#endif</v>
      </c>
    </row>
    <row r="92" spans="1:9" ht="15" customHeight="1" x14ac:dyDescent="0.25">
      <c r="A92" s="4">
        <v>111</v>
      </c>
      <c r="B92" s="4" t="str">
        <f t="shared" si="0"/>
        <v>DIO111</v>
      </c>
      <c r="C92" s="4" t="s">
        <v>70</v>
      </c>
      <c r="D92" s="4">
        <v>7</v>
      </c>
      <c r="E92" s="9" t="str">
        <f t="shared" si="1"/>
        <v>#if(defined(SAFETY_DOOR_BIT))
#define DIO111 111
#define SAFETY_DOOR 111
#define DIO111_BIT (SAFETY_DOOR_BIT)
#endif</v>
      </c>
      <c r="F92" s="12" t="str">
        <f t="shared" si="9"/>
        <v>#if(defined(SAFETY_DOOR_ISR) &amp;&amp; defined(SAFETY_DOOR))
#define DIO111_ISR (SAFETY_DOOR_ISR)
#define SAFETY_DOOR_ISRCALLBACK mcu_control_isr
#define DIO111_ISRCALLBACK mcu_control_isr
#endif</v>
      </c>
      <c r="G92" s="9" t="str">
        <f t="shared" si="7"/>
        <v>#ifndef SAFETY_DOOR_ISR0
#define SAFETY_DOOR_ISR0 0
#endif
#ifndef SAFETY_DOOR_ISR1
#define SAFETY_DOOR_ISR1 0
#endif
#ifndef SAFETY_DOOR_ISR2
#define SAFETY_DOOR_ISR2 0
#endif
#ifndef SAFETY_DOOR_ISRA
#define SAFETY_DOOR_ISRA 0
#endif
#ifndef SAFETY_DOOR_ISRB
#define SAFETY_DOOR_ISRB 0
#endif
#define SAFETY_DOOR_ISR_MASK (SAFETY_DOOR_ISR0 | SAFETY_DOOR_ISR1 | SAFETY_DOOR_ISR2 | SAFETY_DOOR_ISRA | SAFETY_DOOR_ISRB)
#ifndef SAFETY_DOOR_ISR_MASK
#define SAFETY_DOOR_ISR_MASK 0
#endif
#define DIO111_ISR_MASK SAFETY_DOOR_ISR_MASK
#define DIO111_ISRREG SAFETY_DOOR_ISRREG</v>
      </c>
      <c r="H92" s="9"/>
      <c r="I92" s="4" t="str">
        <f t="shared" si="8"/>
        <v>#if SAFETY_DOOR&gt;=0
mcu_config_input(SAFETY_DOOR);
#ifdef SAFETY_DOOR_PULLUP
mcu_config_pullup(SAFETY_DOOR);
#endif
#ifdef SAFETY_DOOR_ISR
mcu_config_input_isr(SAFETY_DOOR);
#endif
#endif</v>
      </c>
    </row>
    <row r="93" spans="1:9" ht="15" customHeight="1" x14ac:dyDescent="0.25">
      <c r="A93" s="4">
        <v>112</v>
      </c>
      <c r="B93" s="4" t="str">
        <f t="shared" si="0"/>
        <v>DIO112</v>
      </c>
      <c r="C93" s="4" t="s">
        <v>71</v>
      </c>
      <c r="D93" s="4">
        <v>8</v>
      </c>
      <c r="E93" s="9" t="str">
        <f t="shared" si="1"/>
        <v>#if(defined(FHOLD_BIT))
#define DIO112 112
#define FHOLD 112
#define DIO112_BIT (FHOLD_BIT)
#endif</v>
      </c>
      <c r="F93" s="12" t="str">
        <f t="shared" si="9"/>
        <v>#if(defined(FHOLD_ISR) &amp;&amp; defined(FHOLD))
#define DIO112_ISR (FHOLD_ISR)
#define FHOLD_ISRCALLBACK mcu_control_isr
#define DIO112_ISRCALLBACK mcu_control_isr
#endif</v>
      </c>
      <c r="G93" s="9" t="str">
        <f t="shared" si="7"/>
        <v>#ifndef FHOLD_ISR0
#define FHOLD_ISR0 0
#endif
#ifndef FHOLD_ISR1
#define FHOLD_ISR1 0
#endif
#ifndef FHOLD_ISR2
#define FHOLD_ISR2 0
#endif
#ifndef FHOLD_ISRA
#define FHOLD_ISRA 0
#endif
#ifndef FHOLD_ISRB
#define FHOLD_ISRB 0
#endif
#define FHOLD_ISR_MASK (FHOLD_ISR0 | FHOLD_ISR1 | FHOLD_ISR2 | FHOLD_ISRA | FHOLD_ISRB)
#ifndef FHOLD_ISR_MASK
#define FHOLD_ISR_MASK 0
#endif
#define DIO112_ISR_MASK FHOLD_ISR_MASK
#define DIO112_ISRREG FHOLD_ISRREG</v>
      </c>
      <c r="H93" s="9"/>
      <c r="I93" s="4" t="str">
        <f t="shared" si="8"/>
        <v>#if FHOLD&gt;=0
mcu_config_input(FHOLD);
#ifdef FHOLD_PULLUP
mcu_config_pullup(FHOLD);
#endif
#ifdef FHOLD_ISR
mcu_config_input_isr(FHOLD);
#endif
#endif</v>
      </c>
    </row>
    <row r="94" spans="1:9" ht="15" customHeight="1" x14ac:dyDescent="0.25">
      <c r="A94" s="4">
        <v>113</v>
      </c>
      <c r="B94" s="4" t="str">
        <f t="shared" si="0"/>
        <v>DIO113</v>
      </c>
      <c r="C94" s="4" t="s">
        <v>72</v>
      </c>
      <c r="D94" s="4">
        <v>9</v>
      </c>
      <c r="E94" s="9" t="str">
        <f t="shared" si="1"/>
        <v>#if(defined(CS_RES_BIT))
#define DIO113 113
#define CS_RES 113
#define DIO113_BIT (CS_RES_BIT)
#endif</v>
      </c>
      <c r="F94" s="12" t="str">
        <f t="shared" si="9"/>
        <v>#if(defined(CS_RES_ISR) &amp;&amp; defined(CS_RES))
#define DIO113_ISR (CS_RES_ISR)
#define CS_RES_ISRCALLBACK mcu_control_isr
#define DIO113_ISRCALLBACK mcu_control_isr
#endif</v>
      </c>
      <c r="G94" s="9" t="str">
        <f t="shared" si="7"/>
        <v>#ifndef CS_RES_ISR0
#define CS_RES_ISR0 0
#endif
#ifndef CS_RES_ISR1
#define CS_RES_ISR1 0
#endif
#ifndef CS_RES_ISR2
#define CS_RES_ISR2 0
#endif
#ifndef CS_RES_ISRA
#define CS_RES_ISRA 0
#endif
#ifndef CS_RES_ISRB
#define CS_RES_ISRB 0
#endif
#define CS_RES_ISR_MASK (CS_RES_ISR0 | CS_RES_ISR1 | CS_RES_ISR2 | CS_RES_ISRA | CS_RES_ISRB)
#ifndef CS_RES_ISR_MASK
#define CS_RES_ISR_MASK 0
#endif
#define DIO113_ISR_MASK CS_RES_ISR_MASK
#define DIO113_ISRREG CS_RES_ISRREG</v>
      </c>
      <c r="H94" s="11" t="s">
        <v>124</v>
      </c>
      <c r="I94" s="4" t="str">
        <f t="shared" si="8"/>
        <v>#if CS_RES&gt;=0
mcu_config_input(CS_RES);
#ifdef CS_RES_PULLUP
mcu_config_pullup(CS_RES);
#endif
#ifdef CS_RES_ISR
mcu_config_input_isr(CS_RES);
#endif
#endif</v>
      </c>
    </row>
    <row r="95" spans="1:9" ht="15" customHeight="1" x14ac:dyDescent="0.25">
      <c r="A95" s="4">
        <v>114</v>
      </c>
      <c r="B95" s="4" t="str">
        <f t="shared" si="0"/>
        <v>DIO114</v>
      </c>
      <c r="C95" s="4" t="s">
        <v>73</v>
      </c>
      <c r="D95" s="4">
        <v>10</v>
      </c>
      <c r="E95" s="9" t="str">
        <f t="shared" si="1"/>
        <v>#if(defined(ANALOG0_BIT))
#define DIO114 114
#define ANALOG0 114
#define DIO114_BIT (ANALOG0_BIT)
#endif</v>
      </c>
      <c r="F95" s="9"/>
      <c r="G95" s="9"/>
      <c r="H95" s="12" t="str">
        <f t="shared" ref="H95:H110" si="10">"#ifdef "&amp;C95&amp;"
#define "&amp;B95&amp;"_PRESC "&amp;C95&amp;"_PRESC
#define  "&amp;B95&amp;"_CHANNEL "&amp;C95&amp;"_CHANNEL
#endif"</f>
        <v>#ifdef ANALOG0
#define DIO114_PRESC ANALOG0_PRESC
#define  DIO114_CHANNEL ANALOG0_CHANNEL
#endif</v>
      </c>
      <c r="I95" s="4" t="str">
        <f t="shared" ref="I95:I110" si="11">"#if "&amp;C95&amp;"&gt;=0
mcu_config_analog("&amp;C95&amp;");
#endif"</f>
        <v>#if ANALOG0&gt;=0
mcu_config_analog(ANALOG0);
#endif</v>
      </c>
    </row>
    <row r="96" spans="1:9" ht="15" customHeight="1" x14ac:dyDescent="0.25">
      <c r="A96" s="4">
        <v>115</v>
      </c>
      <c r="B96" s="4" t="str">
        <f t="shared" si="0"/>
        <v>DIO115</v>
      </c>
      <c r="C96" s="4" t="s">
        <v>74</v>
      </c>
      <c r="D96" s="4">
        <v>11</v>
      </c>
      <c r="E96" s="9" t="str">
        <f t="shared" si="1"/>
        <v>#if(defined(ANALOG1_BIT))
#define DIO115 115
#define ANALOG1 115
#define DIO115_BIT (ANALOG1_BIT)
#endif</v>
      </c>
      <c r="F96" s="9"/>
      <c r="G96" s="9"/>
      <c r="H96" s="12" t="str">
        <f t="shared" si="10"/>
        <v>#ifdef ANALOG1
#define DIO115_PRESC ANALOG1_PRESC
#define  DIO115_CHANNEL ANALOG1_CHANNEL
#endif</v>
      </c>
      <c r="I96" s="4" t="str">
        <f t="shared" si="11"/>
        <v>#if ANALOG1&gt;=0
mcu_config_analog(ANALOG1);
#endif</v>
      </c>
    </row>
    <row r="97" spans="1:9" ht="15" customHeight="1" x14ac:dyDescent="0.25">
      <c r="A97" s="4">
        <v>116</v>
      </c>
      <c r="B97" s="4" t="str">
        <f t="shared" si="0"/>
        <v>DIO116</v>
      </c>
      <c r="C97" s="4" t="s">
        <v>75</v>
      </c>
      <c r="D97" s="4">
        <v>12</v>
      </c>
      <c r="E97" s="9" t="str">
        <f t="shared" si="1"/>
        <v>#if(defined(ANALOG2_BIT))
#define DIO116 116
#define ANALOG2 116
#define DIO116_BIT (ANALOG2_BIT)
#endif</v>
      </c>
      <c r="F97" s="9"/>
      <c r="G97" s="9"/>
      <c r="H97" s="12" t="str">
        <f t="shared" si="10"/>
        <v>#ifdef ANALOG2
#define DIO116_PRESC ANALOG2_PRESC
#define  DIO116_CHANNEL ANALOG2_CHANNEL
#endif</v>
      </c>
      <c r="I97" s="4" t="str">
        <f t="shared" si="11"/>
        <v>#if ANALOG2&gt;=0
mcu_config_analog(ANALOG2);
#endif</v>
      </c>
    </row>
    <row r="98" spans="1:9" ht="15" customHeight="1" x14ac:dyDescent="0.25">
      <c r="A98" s="4">
        <v>117</v>
      </c>
      <c r="B98" s="4" t="str">
        <f t="shared" si="0"/>
        <v>DIO117</v>
      </c>
      <c r="C98" s="4" t="s">
        <v>76</v>
      </c>
      <c r="D98" s="4">
        <v>13</v>
      </c>
      <c r="E98" s="9" t="str">
        <f t="shared" si="1"/>
        <v>#if(defined(ANALOG3_BIT))
#define DIO117 117
#define ANALOG3 117
#define DIO117_BIT (ANALOG3_BIT)
#endif</v>
      </c>
      <c r="F98" s="9"/>
      <c r="G98" s="9"/>
      <c r="H98" s="12" t="str">
        <f t="shared" si="10"/>
        <v>#ifdef ANALOG3
#define DIO117_PRESC ANALOG3_PRESC
#define  DIO117_CHANNEL ANALOG3_CHANNEL
#endif</v>
      </c>
      <c r="I98" s="4" t="str">
        <f t="shared" si="11"/>
        <v>#if ANALOG3&gt;=0
mcu_config_analog(ANALOG3);
#endif</v>
      </c>
    </row>
    <row r="99" spans="1:9" ht="15" customHeight="1" x14ac:dyDescent="0.25">
      <c r="A99" s="4">
        <v>118</v>
      </c>
      <c r="B99" s="4" t="str">
        <f t="shared" si="0"/>
        <v>DIO118</v>
      </c>
      <c r="C99" s="4" t="s">
        <v>77</v>
      </c>
      <c r="D99" s="4">
        <v>14</v>
      </c>
      <c r="E99" s="9" t="str">
        <f t="shared" si="1"/>
        <v>#if(defined(ANALOG4_BIT))
#define DIO118 118
#define ANALOG4 118
#define DIO118_BIT (ANALOG4_BIT)
#endif</v>
      </c>
      <c r="F99" s="9"/>
      <c r="G99" s="9"/>
      <c r="H99" s="12" t="str">
        <f t="shared" si="10"/>
        <v>#ifdef ANALOG4
#define DIO118_PRESC ANALOG4_PRESC
#define  DIO118_CHANNEL ANALOG4_CHANNEL
#endif</v>
      </c>
      <c r="I99" s="4" t="str">
        <f t="shared" si="11"/>
        <v>#if ANALOG4&gt;=0
mcu_config_analog(ANALOG4);
#endif</v>
      </c>
    </row>
    <row r="100" spans="1:9" ht="15" customHeight="1" x14ac:dyDescent="0.25">
      <c r="A100" s="4">
        <v>119</v>
      </c>
      <c r="B100" s="4" t="str">
        <f t="shared" si="0"/>
        <v>DIO119</v>
      </c>
      <c r="C100" s="4" t="s">
        <v>78</v>
      </c>
      <c r="D100" s="4">
        <v>15</v>
      </c>
      <c r="E100" s="9" t="str">
        <f t="shared" si="1"/>
        <v>#if(defined(ANALOG5_BIT))
#define DIO119 119
#define ANALOG5 119
#define DIO119_BIT (ANALOG5_BIT)
#endif</v>
      </c>
      <c r="F100" s="9"/>
      <c r="G100" s="9"/>
      <c r="H100" s="12" t="str">
        <f t="shared" si="10"/>
        <v>#ifdef ANALOG5
#define DIO119_PRESC ANALOG5_PRESC
#define  DIO119_CHANNEL ANALOG5_CHANNEL
#endif</v>
      </c>
      <c r="I100" s="4" t="str">
        <f t="shared" si="11"/>
        <v>#if ANALOG5&gt;=0
mcu_config_analog(ANALOG5);
#endif</v>
      </c>
    </row>
    <row r="101" spans="1:9" ht="15" customHeight="1" x14ac:dyDescent="0.25">
      <c r="A101" s="4">
        <v>120</v>
      </c>
      <c r="B101" s="4" t="str">
        <f t="shared" si="0"/>
        <v>DIO120</v>
      </c>
      <c r="C101" s="4" t="s">
        <v>79</v>
      </c>
      <c r="D101" s="4">
        <v>0</v>
      </c>
      <c r="E101" s="9" t="str">
        <f t="shared" si="1"/>
        <v>#if(defined(ANALOG6_BIT))
#define DIO120 120
#define ANALOG6 120
#define DIO120_BIT (ANALOG6_BIT)
#endif</v>
      </c>
      <c r="F101" s="9"/>
      <c r="G101" s="9"/>
      <c r="H101" s="12" t="str">
        <f t="shared" si="10"/>
        <v>#ifdef ANALOG6
#define DIO120_PRESC ANALOG6_PRESC
#define  DIO120_CHANNEL ANALOG6_CHANNEL
#endif</v>
      </c>
      <c r="I101" s="4" t="str">
        <f t="shared" si="11"/>
        <v>#if ANALOG6&gt;=0
mcu_config_analog(ANALOG6);
#endif</v>
      </c>
    </row>
    <row r="102" spans="1:9" ht="15" customHeight="1" x14ac:dyDescent="0.25">
      <c r="A102" s="4">
        <v>121</v>
      </c>
      <c r="B102" s="4" t="str">
        <f t="shared" si="0"/>
        <v>DIO121</v>
      </c>
      <c r="C102" s="4" t="s">
        <v>80</v>
      </c>
      <c r="D102" s="5">
        <v>1</v>
      </c>
      <c r="E102" s="9" t="str">
        <f t="shared" si="1"/>
        <v>#if(defined(ANALOG7_BIT))
#define DIO121 121
#define ANALOG7 121
#define DIO121_BIT (ANALOG7_BIT)
#endif</v>
      </c>
      <c r="F102" s="9"/>
      <c r="G102" s="9"/>
      <c r="H102" s="12" t="str">
        <f t="shared" si="10"/>
        <v>#ifdef ANALOG7
#define DIO121_PRESC ANALOG7_PRESC
#define  DIO121_CHANNEL ANALOG7_CHANNEL
#endif</v>
      </c>
      <c r="I102" s="4" t="str">
        <f t="shared" si="11"/>
        <v>#if ANALOG7&gt;=0
mcu_config_analog(ANALOG7);
#endif</v>
      </c>
    </row>
    <row r="103" spans="1:9" ht="15" customHeight="1" x14ac:dyDescent="0.25">
      <c r="A103" s="4">
        <v>122</v>
      </c>
      <c r="B103" s="4" t="str">
        <f t="shared" si="0"/>
        <v>DIO122</v>
      </c>
      <c r="C103" s="4" t="s">
        <v>81</v>
      </c>
      <c r="D103" s="4">
        <v>2</v>
      </c>
      <c r="E103" s="9" t="str">
        <f t="shared" si="1"/>
        <v>#if(defined(ANALOG8_BIT))
#define DIO122 122
#define ANALOG8 122
#define DIO122_BIT (ANALOG8_BIT)
#endif</v>
      </c>
      <c r="F103" s="9"/>
      <c r="G103" s="9"/>
      <c r="H103" s="12" t="str">
        <f t="shared" si="10"/>
        <v>#ifdef ANALOG8
#define DIO122_PRESC ANALOG8_PRESC
#define  DIO122_CHANNEL ANALOG8_CHANNEL
#endif</v>
      </c>
      <c r="I103" s="4" t="str">
        <f t="shared" si="11"/>
        <v>#if ANALOG8&gt;=0
mcu_config_analog(ANALOG8);
#endif</v>
      </c>
    </row>
    <row r="104" spans="1:9" ht="15" customHeight="1" x14ac:dyDescent="0.25">
      <c r="A104" s="4">
        <v>123</v>
      </c>
      <c r="B104" s="4" t="str">
        <f t="shared" si="0"/>
        <v>DIO123</v>
      </c>
      <c r="C104" s="4" t="s">
        <v>82</v>
      </c>
      <c r="D104" s="5">
        <v>3</v>
      </c>
      <c r="E104" s="9" t="str">
        <f t="shared" ref="E104:E152" si="12">"#if(defined("&amp;C104&amp;"_BIT))
#define "&amp;B104&amp;" "&amp;A104&amp;"
#define "&amp;C104&amp;" "&amp;A104&amp;"
#define "&amp;B104&amp;"_BIT ("&amp;C104&amp;"_BIT)
#endif"</f>
        <v>#if(defined(ANALOG9_BIT))
#define DIO123 123
#define ANALOG9 123
#define DIO123_BIT (ANALOG9_BIT)
#endif</v>
      </c>
      <c r="F104" s="9"/>
      <c r="G104" s="9"/>
      <c r="H104" s="12" t="str">
        <f t="shared" si="10"/>
        <v>#ifdef ANALOG9
#define DIO123_PRESC ANALOG9_PRESC
#define  DIO123_CHANNEL ANALOG9_CHANNEL
#endif</v>
      </c>
      <c r="I104" s="4" t="str">
        <f t="shared" si="11"/>
        <v>#if ANALOG9&gt;=0
mcu_config_analog(ANALOG9);
#endif</v>
      </c>
    </row>
    <row r="105" spans="1:9" ht="15" customHeight="1" x14ac:dyDescent="0.25">
      <c r="A105" s="4">
        <v>124</v>
      </c>
      <c r="B105" s="4" t="str">
        <f t="shared" si="0"/>
        <v>DIO124</v>
      </c>
      <c r="C105" s="4" t="s">
        <v>83</v>
      </c>
      <c r="D105" s="6"/>
      <c r="E105" s="9" t="str">
        <f t="shared" si="12"/>
        <v>#if(defined(ANALOG10_BIT))
#define DIO124 124
#define ANALOG10 124
#define DIO124_BIT (ANALOG10_BIT)
#endif</v>
      </c>
      <c r="F105" s="9"/>
      <c r="G105" s="9"/>
      <c r="H105" s="12" t="str">
        <f t="shared" si="10"/>
        <v>#ifdef ANALOG10
#define DIO124_PRESC ANALOG10_PRESC
#define  DIO124_CHANNEL ANALOG10_CHANNEL
#endif</v>
      </c>
      <c r="I105" s="4" t="str">
        <f t="shared" si="11"/>
        <v>#if ANALOG10&gt;=0
mcu_config_analog(ANALOG10);
#endif</v>
      </c>
    </row>
    <row r="106" spans="1:9" ht="15" customHeight="1" x14ac:dyDescent="0.25">
      <c r="A106" s="4">
        <v>125</v>
      </c>
      <c r="B106" s="4" t="str">
        <f t="shared" si="0"/>
        <v>DIO125</v>
      </c>
      <c r="C106" s="4" t="s">
        <v>84</v>
      </c>
      <c r="D106" s="6"/>
      <c r="E106" s="9" t="str">
        <f t="shared" si="12"/>
        <v>#if(defined(ANALOG11_BIT))
#define DIO125 125
#define ANALOG11 125
#define DIO125_BIT (ANALOG11_BIT)
#endif</v>
      </c>
      <c r="F106" s="9"/>
      <c r="G106" s="9"/>
      <c r="H106" s="12" t="str">
        <f t="shared" si="10"/>
        <v>#ifdef ANALOG11
#define DIO125_PRESC ANALOG11_PRESC
#define  DIO125_CHANNEL ANALOG11_CHANNEL
#endif</v>
      </c>
      <c r="I106" s="4" t="str">
        <f t="shared" si="11"/>
        <v>#if ANALOG11&gt;=0
mcu_config_analog(ANALOG11);
#endif</v>
      </c>
    </row>
    <row r="107" spans="1:9" ht="15" customHeight="1" x14ac:dyDescent="0.25">
      <c r="A107" s="4">
        <v>126</v>
      </c>
      <c r="B107" s="4" t="str">
        <f t="shared" si="0"/>
        <v>DIO126</v>
      </c>
      <c r="C107" s="4" t="s">
        <v>85</v>
      </c>
      <c r="D107" s="6"/>
      <c r="E107" s="9" t="str">
        <f t="shared" si="12"/>
        <v>#if(defined(ANALOG12_BIT))
#define DIO126 126
#define ANALOG12 126
#define DIO126_BIT (ANALOG12_BIT)
#endif</v>
      </c>
      <c r="F107" s="9"/>
      <c r="G107" s="9"/>
      <c r="H107" s="12" t="str">
        <f t="shared" si="10"/>
        <v>#ifdef ANALOG12
#define DIO126_PRESC ANALOG12_PRESC
#define  DIO126_CHANNEL ANALOG12_CHANNEL
#endif</v>
      </c>
      <c r="I107" s="4" t="str">
        <f t="shared" si="11"/>
        <v>#if ANALOG12&gt;=0
mcu_config_analog(ANALOG12);
#endif</v>
      </c>
    </row>
    <row r="108" spans="1:9" ht="15" customHeight="1" x14ac:dyDescent="0.25">
      <c r="A108" s="4">
        <v>127</v>
      </c>
      <c r="B108" s="4" t="str">
        <f t="shared" si="0"/>
        <v>DIO127</v>
      </c>
      <c r="C108" s="4" t="s">
        <v>86</v>
      </c>
      <c r="D108" s="6"/>
      <c r="E108" s="9" t="str">
        <f t="shared" si="12"/>
        <v>#if(defined(ANALOG13_BIT))
#define DIO127 127
#define ANALOG13 127
#define DIO127_BIT (ANALOG13_BIT)
#endif</v>
      </c>
      <c r="F108" s="9"/>
      <c r="G108" s="9"/>
      <c r="H108" s="12" t="str">
        <f t="shared" si="10"/>
        <v>#ifdef ANALOG13
#define DIO127_PRESC ANALOG13_PRESC
#define  DIO127_CHANNEL ANALOG13_CHANNEL
#endif</v>
      </c>
      <c r="I108" s="4" t="str">
        <f t="shared" si="11"/>
        <v>#if ANALOG13&gt;=0
mcu_config_analog(ANALOG13);
#endif</v>
      </c>
    </row>
    <row r="109" spans="1:9" ht="15" customHeight="1" x14ac:dyDescent="0.25">
      <c r="A109" s="4">
        <v>128</v>
      </c>
      <c r="B109" s="4" t="str">
        <f t="shared" si="0"/>
        <v>DIO128</v>
      </c>
      <c r="C109" s="4" t="s">
        <v>87</v>
      </c>
      <c r="D109" s="6"/>
      <c r="E109" s="9" t="str">
        <f t="shared" si="12"/>
        <v>#if(defined(ANALOG14_BIT))
#define DIO128 128
#define ANALOG14 128
#define DIO128_BIT (ANALOG14_BIT)
#endif</v>
      </c>
      <c r="F109" s="9"/>
      <c r="G109" s="9"/>
      <c r="H109" s="12" t="str">
        <f t="shared" si="10"/>
        <v>#ifdef ANALOG14
#define DIO128_PRESC ANALOG14_PRESC
#define  DIO128_CHANNEL ANALOG14_CHANNEL
#endif</v>
      </c>
      <c r="I109" s="4" t="str">
        <f t="shared" si="11"/>
        <v>#if ANALOG14&gt;=0
mcu_config_analog(ANALOG14);
#endif</v>
      </c>
    </row>
    <row r="110" spans="1:9" ht="15" customHeight="1" x14ac:dyDescent="0.25">
      <c r="A110" s="4">
        <v>129</v>
      </c>
      <c r="B110" s="4" t="str">
        <f t="shared" si="0"/>
        <v>DIO129</v>
      </c>
      <c r="C110" s="4" t="s">
        <v>88</v>
      </c>
      <c r="D110" s="6"/>
      <c r="E110" s="9" t="str">
        <f t="shared" si="12"/>
        <v>#if(defined(ANALOG15_BIT))
#define DIO129 129
#define ANALOG15 129
#define DIO129_BIT (ANALOG15_BIT)
#endif</v>
      </c>
      <c r="F110" s="9"/>
      <c r="G110" s="9"/>
      <c r="H110" s="12" t="str">
        <f t="shared" si="10"/>
        <v>#ifdef ANALOG15
#define DIO129_PRESC ANALOG15_PRESC
#define  DIO129_CHANNEL ANALOG15_CHANNEL
#endif</v>
      </c>
      <c r="I110" s="4" t="str">
        <f t="shared" si="11"/>
        <v>#if ANALOG15&gt;=0
mcu_config_analog(ANALOG15);
#endif</v>
      </c>
    </row>
    <row r="111" spans="1:9" ht="15" customHeight="1" x14ac:dyDescent="0.25">
      <c r="A111" s="4">
        <v>130</v>
      </c>
      <c r="B111" s="4" t="str">
        <f t="shared" si="0"/>
        <v>DIO130</v>
      </c>
      <c r="C111" s="5" t="s">
        <v>89</v>
      </c>
      <c r="D111" s="6"/>
      <c r="E111" s="9" t="str">
        <f t="shared" si="12"/>
        <v>#if(defined(DIN0_BIT))
#define DIO130 130
#define DIN0 130
#define DIO130_BIT (DIN0_BIT)
#endif</v>
      </c>
      <c r="F111" s="12" t="str">
        <f t="shared" ref="F111:F118" si="13">"#if(defined("&amp;C111&amp;"_ISR) &amp;&amp; defined("&amp;C111&amp;"))
#define "&amp;B111&amp;"_ISR ("&amp;C111&amp;"_ISR)
#define "&amp;C111&amp;"_ISRCALLBACK mcu_din_isr
#define "&amp;B111&amp;"_ISRCALLBACK mcu_din_isr
#endif"</f>
        <v>#if(defined(DIN0_ISR) &amp;&amp; defined(DIN0))
#define DIO130_ISR (DIN0_ISR)
#define DIN0_ISRCALLBACK mcu_din_isr
#define DIO130_ISRCALLBACK mcu_din_isr
#endif</v>
      </c>
      <c r="G111" s="9" t="str">
        <f t="shared" ref="G111:G118" si="14">"#ifndef "&amp;C111&amp;"_ISR0
#define "&amp;C111&amp;"_ISR0 0
#endif
#ifndef "&amp;C111&amp;"_ISR1
#define "&amp;C111&amp;"_ISR1 0
#endif
#ifndef "&amp;C111&amp;"_ISR2
#define "&amp;C111&amp;"_ISR2 0
#endif
#ifndef "&amp;C111&amp;"_ISRA
#define "&amp;C111&amp;"_ISRA 0
#endif
#ifndef "&amp;C111&amp;"_ISRB
#define "&amp;C111&amp;"_ISRB 0
#endif
#define "&amp;C111&amp;"_ISR_MASK ("&amp;C111&amp;"_ISR0 | "&amp;C111&amp;"_ISR1 | "&amp;C111&amp;"_ISR2 | "&amp;C111&amp;"_ISRA | "&amp;C111&amp;"_ISRB)
#ifndef "&amp;C111&amp;"_ISR_MASK
#define "&amp;C111&amp;"_ISR_MASK 0
#endif
#define "&amp;B111&amp;"_ISR_MASK "&amp;C111&amp;"_ISR_MASK
#define "&amp;B111&amp;"_ISRREG "&amp;C111&amp;"_ISRREG"</f>
        <v>#ifndef DIN0_ISR0
#define DIN0_ISR0 0
#endif
#ifndef DIN0_ISR1
#define DIN0_ISR1 0
#endif
#ifndef DIN0_ISR2
#define DIN0_ISR2 0
#endif
#ifndef DIN0_ISRA
#define DIN0_ISRA 0
#endif
#ifndef DIN0_ISRB
#define DIN0_ISRB 0
#endif
#define DIN0_ISR_MASK (DIN0_ISR0 | DIN0_ISR1 | DIN0_ISR2 | DIN0_ISRA | DIN0_ISRB)
#ifndef DIN0_ISR_MASK
#define DIN0_ISR_MASK 0
#endif
#define DIO130_ISR_MASK DIN0_ISR_MASK
#define DIO130_ISRREG DIN0_ISRREG</v>
      </c>
      <c r="H111" s="6"/>
      <c r="I111" s="4" t="str">
        <f t="shared" ref="I111:I118" si="15">"#if "&amp;C111&amp;"&gt;=0
mcu_config_input("&amp;C111&amp;");
#ifdef "&amp;C111&amp;"_PULLUP
mcu_config_pullup("&amp;C111&amp;");
#endif
#ifdef "&amp;C111&amp;"_ISR
mcu_config_input_isr("&amp;C111&amp;");
#endif
#endif"</f>
        <v>#if DIN0&gt;=0
mcu_config_input(DIN0);
#ifdef DIN0_PULLUP
mcu_config_pullup(DIN0);
#endif
#ifdef DIN0_ISR
mcu_config_input_isr(DIN0);
#endif
#endif</v>
      </c>
    </row>
    <row r="112" spans="1:9" ht="15" customHeight="1" x14ac:dyDescent="0.25">
      <c r="A112" s="4">
        <v>131</v>
      </c>
      <c r="B112" s="4" t="str">
        <f t="shared" si="0"/>
        <v>DIO131</v>
      </c>
      <c r="C112" s="5" t="s">
        <v>90</v>
      </c>
      <c r="D112" s="6"/>
      <c r="E112" s="9" t="str">
        <f t="shared" si="12"/>
        <v>#if(defined(DIN1_BIT))
#define DIO131 131
#define DIN1 131
#define DIO131_BIT (DIN1_BIT)
#endif</v>
      </c>
      <c r="F112" s="12" t="str">
        <f t="shared" si="13"/>
        <v>#if(defined(DIN1_ISR) &amp;&amp; defined(DIN1))
#define DIO131_ISR (DIN1_ISR)
#define DIN1_ISRCALLBACK mcu_din_isr
#define DIO131_ISRCALLBACK mcu_din_isr
#endif</v>
      </c>
      <c r="G112" s="9" t="str">
        <f t="shared" si="14"/>
        <v>#ifndef DIN1_ISR0
#define DIN1_ISR0 0
#endif
#ifndef DIN1_ISR1
#define DIN1_ISR1 0
#endif
#ifndef DIN1_ISR2
#define DIN1_ISR2 0
#endif
#ifndef DIN1_ISRA
#define DIN1_ISRA 0
#endif
#ifndef DIN1_ISRB
#define DIN1_ISRB 0
#endif
#define DIN1_ISR_MASK (DIN1_ISR0 | DIN1_ISR1 | DIN1_ISR2 | DIN1_ISRA | DIN1_ISRB)
#ifndef DIN1_ISR_MASK
#define DIN1_ISR_MASK 0
#endif
#define DIO131_ISR_MASK DIN1_ISR_MASK
#define DIO131_ISRREG DIN1_ISRREG</v>
      </c>
      <c r="H112" s="6"/>
      <c r="I112" s="4" t="str">
        <f t="shared" si="15"/>
        <v>#if DIN1&gt;=0
mcu_config_input(DIN1);
#ifdef DIN1_PULLUP
mcu_config_pullup(DIN1);
#endif
#ifdef DIN1_ISR
mcu_config_input_isr(DIN1);
#endif
#endif</v>
      </c>
    </row>
    <row r="113" spans="1:9" ht="15" customHeight="1" x14ac:dyDescent="0.25">
      <c r="A113" s="4">
        <v>132</v>
      </c>
      <c r="B113" s="4" t="str">
        <f t="shared" si="0"/>
        <v>DIO132</v>
      </c>
      <c r="C113" s="5" t="s">
        <v>91</v>
      </c>
      <c r="D113" s="6"/>
      <c r="E113" s="9" t="str">
        <f t="shared" si="12"/>
        <v>#if(defined(DIN2_BIT))
#define DIO132 132
#define DIN2 132
#define DIO132_BIT (DIN2_BIT)
#endif</v>
      </c>
      <c r="F113" s="12" t="str">
        <f t="shared" si="13"/>
        <v>#if(defined(DIN2_ISR) &amp;&amp; defined(DIN2))
#define DIO132_ISR (DIN2_ISR)
#define DIN2_ISRCALLBACK mcu_din_isr
#define DIO132_ISRCALLBACK mcu_din_isr
#endif</v>
      </c>
      <c r="G113" s="9" t="str">
        <f t="shared" si="14"/>
        <v>#ifndef DIN2_ISR0
#define DIN2_ISR0 0
#endif
#ifndef DIN2_ISR1
#define DIN2_ISR1 0
#endif
#ifndef DIN2_ISR2
#define DIN2_ISR2 0
#endif
#ifndef DIN2_ISRA
#define DIN2_ISRA 0
#endif
#ifndef DIN2_ISRB
#define DIN2_ISRB 0
#endif
#define DIN2_ISR_MASK (DIN2_ISR0 | DIN2_ISR1 | DIN2_ISR2 | DIN2_ISRA | DIN2_ISRB)
#ifndef DIN2_ISR_MASK
#define DIN2_ISR_MASK 0
#endif
#define DIO132_ISR_MASK DIN2_ISR_MASK
#define DIO132_ISRREG DIN2_ISRREG</v>
      </c>
      <c r="H113" s="6"/>
      <c r="I113" s="4" t="str">
        <f t="shared" si="15"/>
        <v>#if DIN2&gt;=0
mcu_config_input(DIN2);
#ifdef DIN2_PULLUP
mcu_config_pullup(DIN2);
#endif
#ifdef DIN2_ISR
mcu_config_input_isr(DIN2);
#endif
#endif</v>
      </c>
    </row>
    <row r="114" spans="1:9" ht="15" customHeight="1" x14ac:dyDescent="0.25">
      <c r="A114" s="4">
        <v>133</v>
      </c>
      <c r="B114" s="4" t="str">
        <f t="shared" si="0"/>
        <v>DIO133</v>
      </c>
      <c r="C114" s="5" t="s">
        <v>92</v>
      </c>
      <c r="D114" s="6"/>
      <c r="E114" s="9" t="str">
        <f t="shared" si="12"/>
        <v>#if(defined(DIN3_BIT))
#define DIO133 133
#define DIN3 133
#define DIO133_BIT (DIN3_BIT)
#endif</v>
      </c>
      <c r="F114" s="12" t="str">
        <f t="shared" si="13"/>
        <v>#if(defined(DIN3_ISR) &amp;&amp; defined(DIN3))
#define DIO133_ISR (DIN3_ISR)
#define DIN3_ISRCALLBACK mcu_din_isr
#define DIO133_ISRCALLBACK mcu_din_isr
#endif</v>
      </c>
      <c r="G114" s="9" t="str">
        <f t="shared" si="14"/>
        <v>#ifndef DIN3_ISR0
#define DIN3_ISR0 0
#endif
#ifndef DIN3_ISR1
#define DIN3_ISR1 0
#endif
#ifndef DIN3_ISR2
#define DIN3_ISR2 0
#endif
#ifndef DIN3_ISRA
#define DIN3_ISRA 0
#endif
#ifndef DIN3_ISRB
#define DIN3_ISRB 0
#endif
#define DIN3_ISR_MASK (DIN3_ISR0 | DIN3_ISR1 | DIN3_ISR2 | DIN3_ISRA | DIN3_ISRB)
#ifndef DIN3_ISR_MASK
#define DIN3_ISR_MASK 0
#endif
#define DIO133_ISR_MASK DIN3_ISR_MASK
#define DIO133_ISRREG DIN3_ISRREG</v>
      </c>
      <c r="H114" s="6"/>
      <c r="I114" s="4" t="str">
        <f t="shared" si="15"/>
        <v>#if DIN3&gt;=0
mcu_config_input(DIN3);
#ifdef DIN3_PULLUP
mcu_config_pullup(DIN3);
#endif
#ifdef DIN3_ISR
mcu_config_input_isr(DIN3);
#endif
#endif</v>
      </c>
    </row>
    <row r="115" spans="1:9" ht="15" customHeight="1" x14ac:dyDescent="0.25">
      <c r="A115" s="4">
        <v>134</v>
      </c>
      <c r="B115" s="4" t="str">
        <f t="shared" si="0"/>
        <v>DIO134</v>
      </c>
      <c r="C115" s="5" t="s">
        <v>93</v>
      </c>
      <c r="D115" s="6"/>
      <c r="E115" s="9" t="str">
        <f t="shared" si="12"/>
        <v>#if(defined(DIN4_BIT))
#define DIO134 134
#define DIN4 134
#define DIO134_BIT (DIN4_BIT)
#endif</v>
      </c>
      <c r="F115" s="12" t="str">
        <f t="shared" si="13"/>
        <v>#if(defined(DIN4_ISR) &amp;&amp; defined(DIN4))
#define DIO134_ISR (DIN4_ISR)
#define DIN4_ISRCALLBACK mcu_din_isr
#define DIO134_ISRCALLBACK mcu_din_isr
#endif</v>
      </c>
      <c r="G115" s="9" t="str">
        <f t="shared" si="14"/>
        <v>#ifndef DIN4_ISR0
#define DIN4_ISR0 0
#endif
#ifndef DIN4_ISR1
#define DIN4_ISR1 0
#endif
#ifndef DIN4_ISR2
#define DIN4_ISR2 0
#endif
#ifndef DIN4_ISRA
#define DIN4_ISRA 0
#endif
#ifndef DIN4_ISRB
#define DIN4_ISRB 0
#endif
#define DIN4_ISR_MASK (DIN4_ISR0 | DIN4_ISR1 | DIN4_ISR2 | DIN4_ISRA | DIN4_ISRB)
#ifndef DIN4_ISR_MASK
#define DIN4_ISR_MASK 0
#endif
#define DIO134_ISR_MASK DIN4_ISR_MASK
#define DIO134_ISRREG DIN4_ISRREG</v>
      </c>
      <c r="H115" s="6"/>
      <c r="I115" s="4" t="str">
        <f t="shared" si="15"/>
        <v>#if DIN4&gt;=0
mcu_config_input(DIN4);
#ifdef DIN4_PULLUP
mcu_config_pullup(DIN4);
#endif
#ifdef DIN4_ISR
mcu_config_input_isr(DIN4);
#endif
#endif</v>
      </c>
    </row>
    <row r="116" spans="1:9" ht="15" customHeight="1" x14ac:dyDescent="0.25">
      <c r="A116" s="4">
        <v>135</v>
      </c>
      <c r="B116" s="4" t="str">
        <f t="shared" si="0"/>
        <v>DIO135</v>
      </c>
      <c r="C116" s="5" t="s">
        <v>94</v>
      </c>
      <c r="D116" s="6"/>
      <c r="E116" s="9" t="str">
        <f t="shared" si="12"/>
        <v>#if(defined(DIN5_BIT))
#define DIO135 135
#define DIN5 135
#define DIO135_BIT (DIN5_BIT)
#endif</v>
      </c>
      <c r="F116" s="12" t="str">
        <f t="shared" si="13"/>
        <v>#if(defined(DIN5_ISR) &amp;&amp; defined(DIN5))
#define DIO135_ISR (DIN5_ISR)
#define DIN5_ISRCALLBACK mcu_din_isr
#define DIO135_ISRCALLBACK mcu_din_isr
#endif</v>
      </c>
      <c r="G116" s="9" t="str">
        <f t="shared" si="14"/>
        <v>#ifndef DIN5_ISR0
#define DIN5_ISR0 0
#endif
#ifndef DIN5_ISR1
#define DIN5_ISR1 0
#endif
#ifndef DIN5_ISR2
#define DIN5_ISR2 0
#endif
#ifndef DIN5_ISRA
#define DIN5_ISRA 0
#endif
#ifndef DIN5_ISRB
#define DIN5_ISRB 0
#endif
#define DIN5_ISR_MASK (DIN5_ISR0 | DIN5_ISR1 | DIN5_ISR2 | DIN5_ISRA | DIN5_ISRB)
#ifndef DIN5_ISR_MASK
#define DIN5_ISR_MASK 0
#endif
#define DIO135_ISR_MASK DIN5_ISR_MASK
#define DIO135_ISRREG DIN5_ISRREG</v>
      </c>
      <c r="H116" s="6"/>
      <c r="I116" s="4" t="str">
        <f t="shared" si="15"/>
        <v>#if DIN5&gt;=0
mcu_config_input(DIN5);
#ifdef DIN5_PULLUP
mcu_config_pullup(DIN5);
#endif
#ifdef DIN5_ISR
mcu_config_input_isr(DIN5);
#endif
#endif</v>
      </c>
    </row>
    <row r="117" spans="1:9" ht="15" customHeight="1" x14ac:dyDescent="0.25">
      <c r="A117" s="4">
        <v>136</v>
      </c>
      <c r="B117" s="4" t="str">
        <f t="shared" si="0"/>
        <v>DIO136</v>
      </c>
      <c r="C117" s="5" t="s">
        <v>95</v>
      </c>
      <c r="D117" s="6"/>
      <c r="E117" s="9" t="str">
        <f t="shared" si="12"/>
        <v>#if(defined(DIN6_BIT))
#define DIO136 136
#define DIN6 136
#define DIO136_BIT (DIN6_BIT)
#endif</v>
      </c>
      <c r="F117" s="12" t="str">
        <f t="shared" si="13"/>
        <v>#if(defined(DIN6_ISR) &amp;&amp; defined(DIN6))
#define DIO136_ISR (DIN6_ISR)
#define DIN6_ISRCALLBACK mcu_din_isr
#define DIO136_ISRCALLBACK mcu_din_isr
#endif</v>
      </c>
      <c r="G117" s="9" t="str">
        <f t="shared" si="14"/>
        <v>#ifndef DIN6_ISR0
#define DIN6_ISR0 0
#endif
#ifndef DIN6_ISR1
#define DIN6_ISR1 0
#endif
#ifndef DIN6_ISR2
#define DIN6_ISR2 0
#endif
#ifndef DIN6_ISRA
#define DIN6_ISRA 0
#endif
#ifndef DIN6_ISRB
#define DIN6_ISRB 0
#endif
#define DIN6_ISR_MASK (DIN6_ISR0 | DIN6_ISR1 | DIN6_ISR2 | DIN6_ISRA | DIN6_ISRB)
#ifndef DIN6_ISR_MASK
#define DIN6_ISR_MASK 0
#endif
#define DIO136_ISR_MASK DIN6_ISR_MASK
#define DIO136_ISRREG DIN6_ISRREG</v>
      </c>
      <c r="H117" s="6"/>
      <c r="I117" s="4" t="str">
        <f t="shared" si="15"/>
        <v>#if DIN6&gt;=0
mcu_config_input(DIN6);
#ifdef DIN6_PULLUP
mcu_config_pullup(DIN6);
#endif
#ifdef DIN6_ISR
mcu_config_input_isr(DIN6);
#endif
#endif</v>
      </c>
    </row>
    <row r="118" spans="1:9" ht="15" customHeight="1" x14ac:dyDescent="0.25">
      <c r="A118" s="4">
        <v>137</v>
      </c>
      <c r="B118" s="4" t="str">
        <f t="shared" si="0"/>
        <v>DIO137</v>
      </c>
      <c r="C118" s="5" t="s">
        <v>96</v>
      </c>
      <c r="D118" s="6"/>
      <c r="E118" s="9" t="str">
        <f t="shared" si="12"/>
        <v>#if(defined(DIN7_BIT))
#define DIO137 137
#define DIN7 137
#define DIO137_BIT (DIN7_BIT)
#endif</v>
      </c>
      <c r="F118" s="12" t="str">
        <f t="shared" si="13"/>
        <v>#if(defined(DIN7_ISR) &amp;&amp; defined(DIN7))
#define DIO137_ISR (DIN7_ISR)
#define DIN7_ISRCALLBACK mcu_din_isr
#define DIO137_ISRCALLBACK mcu_din_isr
#endif</v>
      </c>
      <c r="G118" s="9" t="str">
        <f t="shared" si="14"/>
        <v>#ifndef DIN7_ISR0
#define DIN7_ISR0 0
#endif
#ifndef DIN7_ISR1
#define DIN7_ISR1 0
#endif
#ifndef DIN7_ISR2
#define DIN7_ISR2 0
#endif
#ifndef DIN7_ISRA
#define DIN7_ISRA 0
#endif
#ifndef DIN7_ISRB
#define DIN7_ISRB 0
#endif
#define DIN7_ISR_MASK (DIN7_ISR0 | DIN7_ISR1 | DIN7_ISR2 | DIN7_ISRA | DIN7_ISRB)
#ifndef DIN7_ISR_MASK
#define DIN7_ISR_MASK 0
#endif
#define DIO137_ISR_MASK DIN7_ISR_MASK
#define DIO137_ISRREG DIN7_ISRREG</v>
      </c>
      <c r="H118" s="6"/>
      <c r="I118" s="4" t="str">
        <f t="shared" si="15"/>
        <v>#if DIN7&gt;=0
mcu_config_input(DIN7);
#ifdef DIN7_PULLUP
mcu_config_pullup(DIN7);
#endif
#ifdef DIN7_ISR
mcu_config_input_isr(DIN7);
#endif
#endif</v>
      </c>
    </row>
    <row r="119" spans="1:9" ht="15" customHeight="1" x14ac:dyDescent="0.25">
      <c r="A119" s="4">
        <v>138</v>
      </c>
      <c r="B119" s="4" t="str">
        <f t="shared" si="0"/>
        <v>DIO138</v>
      </c>
      <c r="C119" s="5" t="s">
        <v>97</v>
      </c>
      <c r="D119" s="6"/>
      <c r="E119" s="9" t="str">
        <f t="shared" si="12"/>
        <v>#if(defined(DIN8_BIT))
#define DIO138 138
#define DIN8 138
#define DIO138_BIT (DIN8_BIT)
#endif</v>
      </c>
      <c r="F119" s="6"/>
      <c r="G119" s="6"/>
      <c r="H119" s="6"/>
      <c r="I119" s="4" t="str">
        <f t="shared" ref="I119:I148" si="16">"#if "&amp;C119&amp;"&gt;=0
mcu_config_input("&amp;C119&amp;");
#ifdef "&amp;C119&amp;"_PULLUP
mcu_config_pullup("&amp;C119&amp;");
#endif
#endif"</f>
        <v>#if DIN8&gt;=0
mcu_config_input(DIN8);
#ifdef DIN8_PULLUP
mcu_config_pullup(DIN8);
#endif
#endif</v>
      </c>
    </row>
    <row r="120" spans="1:9" ht="15" customHeight="1" x14ac:dyDescent="0.25">
      <c r="A120" s="4">
        <v>139</v>
      </c>
      <c r="B120" s="4" t="str">
        <f t="shared" si="0"/>
        <v>DIO139</v>
      </c>
      <c r="C120" s="5" t="s">
        <v>98</v>
      </c>
      <c r="D120" s="6"/>
      <c r="E120" s="9" t="str">
        <f t="shared" si="12"/>
        <v>#if(defined(DIN9_BIT))
#define DIO139 139
#define DIN9 139
#define DIO139_BIT (DIN9_BIT)
#endif</v>
      </c>
      <c r="F120" s="6"/>
      <c r="G120" s="6"/>
      <c r="H120" s="6"/>
      <c r="I120" s="4" t="str">
        <f t="shared" si="16"/>
        <v>#if DIN9&gt;=0
mcu_config_input(DIN9);
#ifdef DIN9_PULLUP
mcu_config_pullup(DIN9);
#endif
#endif</v>
      </c>
    </row>
    <row r="121" spans="1:9" ht="15" customHeight="1" x14ac:dyDescent="0.25">
      <c r="A121" s="4">
        <v>140</v>
      </c>
      <c r="B121" s="4" t="str">
        <f t="shared" si="0"/>
        <v>DIO140</v>
      </c>
      <c r="C121" s="5" t="s">
        <v>99</v>
      </c>
      <c r="D121" s="6"/>
      <c r="E121" s="9" t="str">
        <f t="shared" si="12"/>
        <v>#if(defined(DIN10_BIT))
#define DIO140 140
#define DIN10 140
#define DIO140_BIT (DIN10_BIT)
#endif</v>
      </c>
      <c r="F121" s="6"/>
      <c r="G121" s="6"/>
      <c r="H121" s="6"/>
      <c r="I121" s="4" t="str">
        <f t="shared" si="16"/>
        <v>#if DIN10&gt;=0
mcu_config_input(DIN10);
#ifdef DIN10_PULLUP
mcu_config_pullup(DIN10);
#endif
#endif</v>
      </c>
    </row>
    <row r="122" spans="1:9" ht="15" customHeight="1" x14ac:dyDescent="0.25">
      <c r="A122" s="4">
        <v>141</v>
      </c>
      <c r="B122" s="4" t="str">
        <f t="shared" si="0"/>
        <v>DIO141</v>
      </c>
      <c r="C122" s="5" t="s">
        <v>100</v>
      </c>
      <c r="D122" s="6"/>
      <c r="E122" s="9" t="str">
        <f t="shared" si="12"/>
        <v>#if(defined(DIN11_BIT))
#define DIO141 141
#define DIN11 141
#define DIO141_BIT (DIN11_BIT)
#endif</v>
      </c>
      <c r="F122" s="6"/>
      <c r="G122" s="6"/>
      <c r="H122" s="6"/>
      <c r="I122" s="4" t="str">
        <f t="shared" si="16"/>
        <v>#if DIN11&gt;=0
mcu_config_input(DIN11);
#ifdef DIN11_PULLUP
mcu_config_pullup(DIN11);
#endif
#endif</v>
      </c>
    </row>
    <row r="123" spans="1:9" ht="15" customHeight="1" x14ac:dyDescent="0.25">
      <c r="A123" s="4">
        <v>142</v>
      </c>
      <c r="B123" s="4" t="str">
        <f t="shared" si="0"/>
        <v>DIO142</v>
      </c>
      <c r="C123" s="5" t="s">
        <v>101</v>
      </c>
      <c r="D123" s="6"/>
      <c r="E123" s="9" t="str">
        <f t="shared" si="12"/>
        <v>#if(defined(DIN12_BIT))
#define DIO142 142
#define DIN12 142
#define DIO142_BIT (DIN12_BIT)
#endif</v>
      </c>
      <c r="F123" s="6"/>
      <c r="G123" s="6"/>
      <c r="H123" s="6"/>
      <c r="I123" s="4" t="str">
        <f t="shared" si="16"/>
        <v>#if DIN12&gt;=0
mcu_config_input(DIN12);
#ifdef DIN12_PULLUP
mcu_config_pullup(DIN12);
#endif
#endif</v>
      </c>
    </row>
    <row r="124" spans="1:9" ht="15" customHeight="1" x14ac:dyDescent="0.25">
      <c r="A124" s="4">
        <v>143</v>
      </c>
      <c r="B124" s="4" t="str">
        <f t="shared" si="0"/>
        <v>DIO143</v>
      </c>
      <c r="C124" s="5" t="s">
        <v>102</v>
      </c>
      <c r="D124" s="6"/>
      <c r="E124" s="9" t="str">
        <f t="shared" si="12"/>
        <v>#if(defined(DIN13_BIT))
#define DIO143 143
#define DIN13 143
#define DIO143_BIT (DIN13_BIT)
#endif</v>
      </c>
      <c r="F124" s="6"/>
      <c r="G124" s="6"/>
      <c r="H124" s="6"/>
      <c r="I124" s="4" t="str">
        <f t="shared" si="16"/>
        <v>#if DIN13&gt;=0
mcu_config_input(DIN13);
#ifdef DIN13_PULLUP
mcu_config_pullup(DIN13);
#endif
#endif</v>
      </c>
    </row>
    <row r="125" spans="1:9" ht="15" customHeight="1" x14ac:dyDescent="0.25">
      <c r="A125" s="4">
        <v>144</v>
      </c>
      <c r="B125" s="4" t="str">
        <f t="shared" si="0"/>
        <v>DIO144</v>
      </c>
      <c r="C125" s="5" t="s">
        <v>103</v>
      </c>
      <c r="D125" s="6"/>
      <c r="E125" s="9" t="str">
        <f t="shared" si="12"/>
        <v>#if(defined(DIN14_BIT))
#define DIO144 144
#define DIN14 144
#define DIO144_BIT (DIN14_BIT)
#endif</v>
      </c>
      <c r="F125" s="6"/>
      <c r="G125" s="6"/>
      <c r="H125" s="6"/>
      <c r="I125" s="4" t="str">
        <f t="shared" si="16"/>
        <v>#if DIN14&gt;=0
mcu_config_input(DIN14);
#ifdef DIN14_PULLUP
mcu_config_pullup(DIN14);
#endif
#endif</v>
      </c>
    </row>
    <row r="126" spans="1:9" ht="15" customHeight="1" x14ac:dyDescent="0.25">
      <c r="A126" s="4">
        <v>145</v>
      </c>
      <c r="B126" s="4" t="str">
        <f t="shared" si="0"/>
        <v>DIO145</v>
      </c>
      <c r="C126" s="5" t="s">
        <v>104</v>
      </c>
      <c r="D126" s="6"/>
      <c r="E126" s="9" t="str">
        <f t="shared" si="12"/>
        <v>#if(defined(DIN15_BIT))
#define DIO145 145
#define DIN15 145
#define DIO145_BIT (DIN15_BIT)
#endif</v>
      </c>
      <c r="F126" s="6"/>
      <c r="G126" s="6"/>
      <c r="H126" s="6"/>
      <c r="I126" s="4" t="str">
        <f t="shared" si="16"/>
        <v>#if DIN15&gt;=0
mcu_config_input(DIN15);
#ifdef DIN15_PULLUP
mcu_config_pullup(DIN15);
#endif
#endif</v>
      </c>
    </row>
    <row r="127" spans="1:9" ht="15" customHeight="1" x14ac:dyDescent="0.25">
      <c r="A127" s="4">
        <v>146</v>
      </c>
      <c r="B127" s="4" t="str">
        <f t="shared" si="0"/>
        <v>DIO146</v>
      </c>
      <c r="C127" s="5" t="s">
        <v>207</v>
      </c>
      <c r="D127" s="6"/>
      <c r="E127" s="9" t="str">
        <f t="shared" si="12"/>
        <v>#if(defined(DIN16_BIT))
#define DIO146 146
#define DIN16 146
#define DIO146_BIT (DIN16_BIT)
#endif</v>
      </c>
      <c r="F127" s="6"/>
      <c r="G127" s="6"/>
      <c r="H127" s="6"/>
      <c r="I127" s="4" t="str">
        <f t="shared" si="16"/>
        <v>#if DIN16&gt;=0
mcu_config_input(DIN16);
#ifdef DIN16_PULLUP
mcu_config_pullup(DIN16);
#endif
#endif</v>
      </c>
    </row>
    <row r="128" spans="1:9" ht="15" customHeight="1" x14ac:dyDescent="0.25">
      <c r="A128" s="4">
        <v>147</v>
      </c>
      <c r="B128" s="4" t="str">
        <f t="shared" si="0"/>
        <v>DIO147</v>
      </c>
      <c r="C128" s="5" t="s">
        <v>208</v>
      </c>
      <c r="D128" s="6"/>
      <c r="E128" s="9" t="str">
        <f t="shared" si="12"/>
        <v>#if(defined(DIN17_BIT))
#define DIO147 147
#define DIN17 147
#define DIO147_BIT (DIN17_BIT)
#endif</v>
      </c>
      <c r="F128" s="6"/>
      <c r="G128" s="6"/>
      <c r="H128" s="6"/>
      <c r="I128" s="4" t="str">
        <f t="shared" si="16"/>
        <v>#if DIN17&gt;=0
mcu_config_input(DIN17);
#ifdef DIN17_PULLUP
mcu_config_pullup(DIN17);
#endif
#endif</v>
      </c>
    </row>
    <row r="129" spans="1:9" ht="15" customHeight="1" x14ac:dyDescent="0.25">
      <c r="A129" s="4">
        <v>148</v>
      </c>
      <c r="B129" s="4" t="str">
        <f t="shared" si="0"/>
        <v>DIO148</v>
      </c>
      <c r="C129" s="5" t="s">
        <v>209</v>
      </c>
      <c r="D129" s="6"/>
      <c r="E129" s="9" t="str">
        <f t="shared" si="12"/>
        <v>#if(defined(DIN18_BIT))
#define DIO148 148
#define DIN18 148
#define DIO148_BIT (DIN18_BIT)
#endif</v>
      </c>
      <c r="F129" s="6"/>
      <c r="G129" s="6"/>
      <c r="H129" s="6"/>
      <c r="I129" s="4" t="str">
        <f t="shared" si="16"/>
        <v>#if DIN18&gt;=0
mcu_config_input(DIN18);
#ifdef DIN18_PULLUP
mcu_config_pullup(DIN18);
#endif
#endif</v>
      </c>
    </row>
    <row r="130" spans="1:9" ht="15" customHeight="1" x14ac:dyDescent="0.25">
      <c r="A130" s="4">
        <v>149</v>
      </c>
      <c r="B130" s="4" t="str">
        <f t="shared" si="0"/>
        <v>DIO149</v>
      </c>
      <c r="C130" s="5" t="s">
        <v>210</v>
      </c>
      <c r="D130" s="6"/>
      <c r="E130" s="9" t="str">
        <f t="shared" si="12"/>
        <v>#if(defined(DIN19_BIT))
#define DIO149 149
#define DIN19 149
#define DIO149_BIT (DIN19_BIT)
#endif</v>
      </c>
      <c r="F130" s="6"/>
      <c r="G130" s="6"/>
      <c r="H130" s="6"/>
      <c r="I130" s="4" t="str">
        <f t="shared" si="16"/>
        <v>#if DIN19&gt;=0
mcu_config_input(DIN19);
#ifdef DIN19_PULLUP
mcu_config_pullup(DIN19);
#endif
#endif</v>
      </c>
    </row>
    <row r="131" spans="1:9" ht="15" customHeight="1" x14ac:dyDescent="0.25">
      <c r="A131" s="4">
        <v>150</v>
      </c>
      <c r="B131" s="4" t="str">
        <f t="shared" si="0"/>
        <v>DIO150</v>
      </c>
      <c r="C131" s="5" t="s">
        <v>211</v>
      </c>
      <c r="D131" s="6"/>
      <c r="E131" s="9" t="str">
        <f t="shared" si="12"/>
        <v>#if(defined(DIN20_BIT))
#define DIO150 150
#define DIN20 150
#define DIO150_BIT (DIN20_BIT)
#endif</v>
      </c>
      <c r="F131" s="6"/>
      <c r="G131" s="6"/>
      <c r="H131" s="6"/>
      <c r="I131" s="4" t="str">
        <f t="shared" si="16"/>
        <v>#if DIN20&gt;=0
mcu_config_input(DIN20);
#ifdef DIN20_PULLUP
mcu_config_pullup(DIN20);
#endif
#endif</v>
      </c>
    </row>
    <row r="132" spans="1:9" ht="15" customHeight="1" x14ac:dyDescent="0.25">
      <c r="A132" s="4">
        <v>151</v>
      </c>
      <c r="B132" s="4" t="str">
        <f t="shared" si="0"/>
        <v>DIO151</v>
      </c>
      <c r="C132" s="5" t="s">
        <v>212</v>
      </c>
      <c r="D132" s="6"/>
      <c r="E132" s="9" t="str">
        <f t="shared" si="12"/>
        <v>#if(defined(DIN21_BIT))
#define DIO151 151
#define DIN21 151
#define DIO151_BIT (DIN21_BIT)
#endif</v>
      </c>
      <c r="F132" s="6"/>
      <c r="G132" s="6"/>
      <c r="H132" s="6"/>
      <c r="I132" s="4" t="str">
        <f t="shared" si="16"/>
        <v>#if DIN21&gt;=0
mcu_config_input(DIN21);
#ifdef DIN21_PULLUP
mcu_config_pullup(DIN21);
#endif
#endif</v>
      </c>
    </row>
    <row r="133" spans="1:9" ht="15" customHeight="1" x14ac:dyDescent="0.25">
      <c r="A133" s="4">
        <v>152</v>
      </c>
      <c r="B133" s="4" t="str">
        <f t="shared" si="0"/>
        <v>DIO152</v>
      </c>
      <c r="C133" s="5" t="s">
        <v>213</v>
      </c>
      <c r="D133" s="6"/>
      <c r="E133" s="9" t="str">
        <f t="shared" si="12"/>
        <v>#if(defined(DIN22_BIT))
#define DIO152 152
#define DIN22 152
#define DIO152_BIT (DIN22_BIT)
#endif</v>
      </c>
      <c r="F133" s="6"/>
      <c r="G133" s="6"/>
      <c r="H133" s="6"/>
      <c r="I133" s="4" t="str">
        <f t="shared" si="16"/>
        <v>#if DIN22&gt;=0
mcu_config_input(DIN22);
#ifdef DIN22_PULLUP
mcu_config_pullup(DIN22);
#endif
#endif</v>
      </c>
    </row>
    <row r="134" spans="1:9" ht="15" customHeight="1" x14ac:dyDescent="0.25">
      <c r="A134" s="4">
        <v>153</v>
      </c>
      <c r="B134" s="4" t="str">
        <f t="shared" si="0"/>
        <v>DIO153</v>
      </c>
      <c r="C134" s="5" t="s">
        <v>214</v>
      </c>
      <c r="D134" s="6"/>
      <c r="E134" s="9" t="str">
        <f t="shared" si="12"/>
        <v>#if(defined(DIN23_BIT))
#define DIO153 153
#define DIN23 153
#define DIO153_BIT (DIN23_BIT)
#endif</v>
      </c>
      <c r="F134" s="6"/>
      <c r="G134" s="6"/>
      <c r="H134" s="6"/>
      <c r="I134" s="4" t="str">
        <f t="shared" si="16"/>
        <v>#if DIN23&gt;=0
mcu_config_input(DIN23);
#ifdef DIN23_PULLUP
mcu_config_pullup(DIN23);
#endif
#endif</v>
      </c>
    </row>
    <row r="135" spans="1:9" ht="15" customHeight="1" x14ac:dyDescent="0.25">
      <c r="A135" s="4">
        <v>154</v>
      </c>
      <c r="B135" s="4" t="str">
        <f t="shared" si="0"/>
        <v>DIO154</v>
      </c>
      <c r="C135" s="5" t="s">
        <v>215</v>
      </c>
      <c r="D135" s="6"/>
      <c r="E135" s="9" t="str">
        <f t="shared" si="12"/>
        <v>#if(defined(DIN24_BIT))
#define DIO154 154
#define DIN24 154
#define DIO154_BIT (DIN24_BIT)
#endif</v>
      </c>
      <c r="F135" s="6"/>
      <c r="G135" s="6"/>
      <c r="H135" s="6"/>
      <c r="I135" s="4" t="str">
        <f t="shared" si="16"/>
        <v>#if DIN24&gt;=0
mcu_config_input(DIN24);
#ifdef DIN24_PULLUP
mcu_config_pullup(DIN24);
#endif
#endif</v>
      </c>
    </row>
    <row r="136" spans="1:9" ht="15" customHeight="1" x14ac:dyDescent="0.25">
      <c r="A136" s="4">
        <v>155</v>
      </c>
      <c r="B136" s="4" t="str">
        <f t="shared" si="0"/>
        <v>DIO155</v>
      </c>
      <c r="C136" s="5" t="s">
        <v>216</v>
      </c>
      <c r="D136" s="6"/>
      <c r="E136" s="9" t="str">
        <f t="shared" si="12"/>
        <v>#if(defined(DIN25_BIT))
#define DIO155 155
#define DIN25 155
#define DIO155_BIT (DIN25_BIT)
#endif</v>
      </c>
      <c r="F136" s="6"/>
      <c r="G136" s="6"/>
      <c r="H136" s="6"/>
      <c r="I136" s="4" t="str">
        <f t="shared" si="16"/>
        <v>#if DIN25&gt;=0
mcu_config_input(DIN25);
#ifdef DIN25_PULLUP
mcu_config_pullup(DIN25);
#endif
#endif</v>
      </c>
    </row>
    <row r="137" spans="1:9" ht="15" customHeight="1" x14ac:dyDescent="0.25">
      <c r="A137" s="4">
        <v>156</v>
      </c>
      <c r="B137" s="4" t="str">
        <f t="shared" si="0"/>
        <v>DIO156</v>
      </c>
      <c r="C137" s="5" t="s">
        <v>217</v>
      </c>
      <c r="D137" s="6"/>
      <c r="E137" s="9" t="str">
        <f t="shared" si="12"/>
        <v>#if(defined(DIN26_BIT))
#define DIO156 156
#define DIN26 156
#define DIO156_BIT (DIN26_BIT)
#endif</v>
      </c>
      <c r="F137" s="6"/>
      <c r="G137" s="6"/>
      <c r="H137" s="6"/>
      <c r="I137" s="4" t="str">
        <f t="shared" si="16"/>
        <v>#if DIN26&gt;=0
mcu_config_input(DIN26);
#ifdef DIN26_PULLUP
mcu_config_pullup(DIN26);
#endif
#endif</v>
      </c>
    </row>
    <row r="138" spans="1:9" ht="15" customHeight="1" x14ac:dyDescent="0.25">
      <c r="A138" s="4">
        <v>157</v>
      </c>
      <c r="B138" s="4" t="str">
        <f t="shared" si="0"/>
        <v>DIO157</v>
      </c>
      <c r="C138" s="5" t="s">
        <v>218</v>
      </c>
      <c r="D138" s="6"/>
      <c r="E138" s="9" t="str">
        <f t="shared" si="12"/>
        <v>#if(defined(DIN27_BIT))
#define DIO157 157
#define DIN27 157
#define DIO157_BIT (DIN27_BIT)
#endif</v>
      </c>
      <c r="F138" s="6"/>
      <c r="G138" s="6"/>
      <c r="H138" s="6"/>
      <c r="I138" s="4" t="str">
        <f t="shared" si="16"/>
        <v>#if DIN27&gt;=0
mcu_config_input(DIN27);
#ifdef DIN27_PULLUP
mcu_config_pullup(DIN27);
#endif
#endif</v>
      </c>
    </row>
    <row r="139" spans="1:9" ht="15" customHeight="1" x14ac:dyDescent="0.25">
      <c r="A139" s="4">
        <v>158</v>
      </c>
      <c r="B139" s="4" t="str">
        <f t="shared" si="0"/>
        <v>DIO158</v>
      </c>
      <c r="C139" s="5" t="s">
        <v>219</v>
      </c>
      <c r="D139" s="6"/>
      <c r="E139" s="9" t="str">
        <f t="shared" si="12"/>
        <v>#if(defined(DIN28_BIT))
#define DIO158 158
#define DIN28 158
#define DIO158_BIT (DIN28_BIT)
#endif</v>
      </c>
      <c r="F139" s="6"/>
      <c r="G139" s="6"/>
      <c r="H139" s="6"/>
      <c r="I139" s="4" t="str">
        <f t="shared" si="16"/>
        <v>#if DIN28&gt;=0
mcu_config_input(DIN28);
#ifdef DIN28_PULLUP
mcu_config_pullup(DIN28);
#endif
#endif</v>
      </c>
    </row>
    <row r="140" spans="1:9" ht="15" customHeight="1" x14ac:dyDescent="0.25">
      <c r="A140" s="4">
        <v>159</v>
      </c>
      <c r="B140" s="4" t="str">
        <f t="shared" si="0"/>
        <v>DIO159</v>
      </c>
      <c r="C140" s="5" t="s">
        <v>220</v>
      </c>
      <c r="D140" s="6"/>
      <c r="E140" s="9" t="str">
        <f t="shared" si="12"/>
        <v>#if(defined(DIN29_BIT))
#define DIO159 159
#define DIN29 159
#define DIO159_BIT (DIN29_BIT)
#endif</v>
      </c>
      <c r="F140" s="6"/>
      <c r="G140" s="6"/>
      <c r="H140" s="6"/>
      <c r="I140" s="4" t="str">
        <f t="shared" si="16"/>
        <v>#if DIN29&gt;=0
mcu_config_input(DIN29);
#ifdef DIN29_PULLUP
mcu_config_pullup(DIN29);
#endif
#endif</v>
      </c>
    </row>
    <row r="141" spans="1:9" ht="15" customHeight="1" x14ac:dyDescent="0.25">
      <c r="A141" s="4">
        <v>160</v>
      </c>
      <c r="B141" s="4" t="str">
        <f t="shared" si="0"/>
        <v>DIO160</v>
      </c>
      <c r="C141" s="5" t="s">
        <v>221</v>
      </c>
      <c r="D141" s="6"/>
      <c r="E141" s="9" t="str">
        <f t="shared" si="12"/>
        <v>#if(defined(DIN30_BIT))
#define DIO160 160
#define DIN30 160
#define DIO160_BIT (DIN30_BIT)
#endif</v>
      </c>
      <c r="F141" s="6"/>
      <c r="G141" s="6"/>
      <c r="H141" s="6"/>
      <c r="I141" s="4" t="str">
        <f t="shared" si="16"/>
        <v>#if DIN30&gt;=0
mcu_config_input(DIN30);
#ifdef DIN30_PULLUP
mcu_config_pullup(DIN30);
#endif
#endif</v>
      </c>
    </row>
    <row r="142" spans="1:9" ht="15" customHeight="1" x14ac:dyDescent="0.25">
      <c r="A142" s="4">
        <v>161</v>
      </c>
      <c r="B142" s="4" t="str">
        <f t="shared" si="0"/>
        <v>DIO161</v>
      </c>
      <c r="C142" s="5" t="s">
        <v>222</v>
      </c>
      <c r="D142" s="6"/>
      <c r="E142" s="9" t="str">
        <f t="shared" si="12"/>
        <v>#if(defined(DIN31_BIT))
#define DIO161 161
#define DIN31 161
#define DIO161_BIT (DIN31_BIT)
#endif</v>
      </c>
      <c r="F142" s="6"/>
      <c r="G142" s="6"/>
      <c r="H142" s="6"/>
      <c r="I142" s="4" t="str">
        <f t="shared" si="16"/>
        <v>#if DIN31&gt;=0
mcu_config_input(DIN31);
#ifdef DIN31_PULLUP
mcu_config_pullup(DIN31);
#endif
#endif</v>
      </c>
    </row>
    <row r="143" spans="1:9" ht="15" customHeight="1" x14ac:dyDescent="0.25">
      <c r="A143" s="4">
        <v>200</v>
      </c>
      <c r="B143" s="4" t="str">
        <f t="shared" si="0"/>
        <v>DIO200</v>
      </c>
      <c r="C143" s="4" t="s">
        <v>105</v>
      </c>
      <c r="D143" s="6"/>
      <c r="E143" s="9" t="str">
        <f t="shared" si="12"/>
        <v>#if(defined(TX_BIT))
#define DIO200 200
#define TX 200
#define DIO200_BIT (TX_BIT)
#endif</v>
      </c>
      <c r="F143" s="6"/>
      <c r="G143" s="6"/>
      <c r="H143" s="6"/>
      <c r="I143" s="4" t="str">
        <f>"#if "&amp;C143&amp;"&gt;=0
mcu_config_output("&amp;C143&amp;");
#endif"</f>
        <v>#if TX&gt;=0
mcu_config_output(TX);
#endif</v>
      </c>
    </row>
    <row r="144" spans="1:9" ht="15" customHeight="1" x14ac:dyDescent="0.25">
      <c r="A144" s="4">
        <v>201</v>
      </c>
      <c r="B144" s="4" t="str">
        <f t="shared" si="0"/>
        <v>DIO201</v>
      </c>
      <c r="C144" s="4" t="s">
        <v>106</v>
      </c>
      <c r="D144" s="6"/>
      <c r="E144" s="9" t="str">
        <f t="shared" si="12"/>
        <v>#if(defined(RX_BIT))
#define DIO201 201
#define RX 201
#define DIO201_BIT (RX_BIT)
#endif</v>
      </c>
      <c r="F144" s="6"/>
      <c r="G144" s="6"/>
      <c r="H144" s="6"/>
      <c r="I144" s="4" t="str">
        <f t="shared" si="16"/>
        <v>#if RX&gt;=0
mcu_config_input(RX);
#ifdef RX_PULLUP
mcu_config_pullup(RX);
#endif
#endif</v>
      </c>
    </row>
    <row r="145" spans="1:9" ht="15" customHeight="1" x14ac:dyDescent="0.25">
      <c r="A145" s="4">
        <v>202</v>
      </c>
      <c r="B145" s="4" t="str">
        <f t="shared" si="0"/>
        <v>DIO202</v>
      </c>
      <c r="C145" s="4" t="s">
        <v>107</v>
      </c>
      <c r="D145" s="6"/>
      <c r="E145" s="9" t="str">
        <f t="shared" si="12"/>
        <v>#if(defined(USB_DM_BIT))
#define DIO202 202
#define USB_DM 202
#define DIO202_BIT (USB_DM_BIT)
#endif</v>
      </c>
      <c r="F145" s="6"/>
      <c r="G145" s="6"/>
      <c r="H145" s="6"/>
      <c r="I145" s="4" t="str">
        <f t="shared" si="16"/>
        <v>#if USB_DM&gt;=0
mcu_config_input(USB_DM);
#ifdef USB_DM_PULLUP
mcu_config_pullup(USB_DM);
#endif
#endif</v>
      </c>
    </row>
    <row r="146" spans="1:9" ht="15" customHeight="1" x14ac:dyDescent="0.25">
      <c r="A146" s="4">
        <v>203</v>
      </c>
      <c r="B146" s="4" t="str">
        <f t="shared" si="0"/>
        <v>DIO203</v>
      </c>
      <c r="C146" s="4" t="s">
        <v>108</v>
      </c>
      <c r="D146" s="6"/>
      <c r="E146" s="9" t="str">
        <f t="shared" si="12"/>
        <v>#if(defined(USB_DP_BIT))
#define DIO203 203
#define USB_DP 203
#define DIO203_BIT (USB_DP_BIT)
#endif</v>
      </c>
      <c r="F146" s="6"/>
      <c r="G146" s="6"/>
      <c r="H146" s="6"/>
      <c r="I146" s="4" t="str">
        <f t="shared" si="16"/>
        <v>#if USB_DP&gt;=0
mcu_config_input(USB_DP);
#ifdef USB_DP_PULLUP
mcu_config_pullup(USB_DP);
#endif
#endif</v>
      </c>
    </row>
    <row r="147" spans="1:9" ht="15" customHeight="1" x14ac:dyDescent="0.25">
      <c r="A147" s="4">
        <v>204</v>
      </c>
      <c r="B147" s="4" t="str">
        <f t="shared" si="0"/>
        <v>DIO204</v>
      </c>
      <c r="C147" s="4" t="s">
        <v>223</v>
      </c>
      <c r="D147" s="6"/>
      <c r="E147" s="9" t="str">
        <f t="shared" si="12"/>
        <v>#if(defined(SPI_CLK_BIT))
#define DIO204 204
#define SPI_CLK 204
#define DIO204_BIT (SPI_CLK_BIT)
#endif</v>
      </c>
      <c r="F147" s="6"/>
      <c r="G147" s="6"/>
      <c r="H147" s="6"/>
      <c r="I147" s="13" t="str">
        <f>"#if "&amp;C147&amp;"&gt;=0
mcu_config_output("&amp;C147&amp;");
#endif"</f>
        <v>#if SPI_CLK&gt;=0
mcu_config_output(SPI_CLK);
#endif</v>
      </c>
    </row>
    <row r="148" spans="1:9" ht="15" customHeight="1" x14ac:dyDescent="0.25">
      <c r="A148" s="4">
        <v>205</v>
      </c>
      <c r="B148" s="4" t="str">
        <f t="shared" ref="B148:B154" si="17">"DIO"&amp;A148</f>
        <v>DIO205</v>
      </c>
      <c r="C148" s="4" t="s">
        <v>224</v>
      </c>
      <c r="D148" s="6"/>
      <c r="E148" s="9" t="str">
        <f t="shared" si="12"/>
        <v>#if(defined(SPI_SDI_BIT))
#define DIO205 205
#define SPI_SDI 205
#define DIO205_BIT (SPI_SDI_BIT)
#endif</v>
      </c>
      <c r="F148" s="6"/>
      <c r="G148" s="6"/>
      <c r="H148" s="6"/>
      <c r="I148" s="4" t="str">
        <f t="shared" si="16"/>
        <v>#if SPI_SDI&gt;=0
mcu_config_input(SPI_SDI);
#ifdef SPI_SDI_PULLUP
mcu_config_pullup(SPI_SDI);
#endif
#endif</v>
      </c>
    </row>
    <row r="149" spans="1:9" ht="15" customHeight="1" x14ac:dyDescent="0.25">
      <c r="A149" s="4">
        <v>206</v>
      </c>
      <c r="B149" s="4" t="str">
        <f t="shared" si="17"/>
        <v>DIO206</v>
      </c>
      <c r="C149" s="4" t="s">
        <v>225</v>
      </c>
      <c r="D149" s="6"/>
      <c r="E149" s="9" t="str">
        <f t="shared" si="12"/>
        <v>#if(defined(SPI_SDO_BIT))
#define DIO206 206
#define SPI_SDO 206
#define DIO206_BIT (SPI_SDO_BIT)
#endif</v>
      </c>
      <c r="F149" s="6"/>
      <c r="G149" s="6"/>
      <c r="H149" s="6"/>
      <c r="I149" s="4" t="str">
        <f>"#if "&amp;C149&amp;"&gt;=0
mcu_config_output("&amp;C149&amp;");
#endif"</f>
        <v>#if SPI_SDO&gt;=0
mcu_config_output(SPI_SDO);
#endif</v>
      </c>
    </row>
    <row r="150" spans="1:9" ht="15" customHeight="1" x14ac:dyDescent="0.25">
      <c r="A150" s="4">
        <v>207</v>
      </c>
      <c r="B150" s="4" t="str">
        <f t="shared" si="17"/>
        <v>DIO207</v>
      </c>
      <c r="C150" s="4" t="s">
        <v>459</v>
      </c>
      <c r="D150" s="6"/>
      <c r="E150" s="9" t="str">
        <f t="shared" si="12"/>
        <v>#if(defined(SPI_CS_BIT))
#define DIO207 207
#define SPI_CS 207
#define DIO207_BIT (SPI_CS_BIT)
#endif</v>
      </c>
      <c r="F150" s="6"/>
      <c r="G150" s="6"/>
      <c r="H150" s="6"/>
      <c r="I150" s="4" t="str">
        <f>"#if "&amp;C150&amp;"&gt;=0
mcu_config_output("&amp;C150&amp;");
#endif"</f>
        <v>#if SPI_CS&gt;=0
mcu_config_output(SPI_CS);
#endif</v>
      </c>
    </row>
    <row r="151" spans="1:9" ht="15" customHeight="1" x14ac:dyDescent="0.25">
      <c r="A151" s="4">
        <v>208</v>
      </c>
      <c r="B151" s="4" t="str">
        <f t="shared" si="17"/>
        <v>DIO208</v>
      </c>
      <c r="C151" s="4" t="s">
        <v>237</v>
      </c>
      <c r="D151" s="6"/>
      <c r="E151" s="9" t="str">
        <f t="shared" si="12"/>
        <v>#if(defined(I2C_SCL_BIT))
#define DIO208 208
#define I2C_SCL 208
#define DIO208_BIT (I2C_SCL_BIT)
#endif</v>
      </c>
      <c r="F151" s="6"/>
      <c r="G151" s="6"/>
      <c r="H151" s="6"/>
      <c r="I151" s="4" t="str">
        <f>"#if "&amp;C151&amp;"&gt;=0
mcu_config_input("&amp;C151&amp;");
mcu_config_pullup("&amp;C151&amp;");
#endif"</f>
        <v>#if I2C_SCL&gt;=0
mcu_config_input(I2C_SCL);
mcu_config_pullup(I2C_SCL);
#endif</v>
      </c>
    </row>
    <row r="152" spans="1:9" ht="15" customHeight="1" x14ac:dyDescent="0.25">
      <c r="A152" s="4">
        <v>209</v>
      </c>
      <c r="B152" s="4" t="str">
        <f t="shared" si="17"/>
        <v>DIO209</v>
      </c>
      <c r="C152" s="4" t="s">
        <v>238</v>
      </c>
      <c r="D152" s="6"/>
      <c r="E152" s="9" t="str">
        <f t="shared" si="12"/>
        <v>#if(defined(I2C_SDA_BIT))
#define DIO209 209
#define I2C_SDA 209
#define DIO209_BIT (I2C_SDA_BIT)
#endif</v>
      </c>
      <c r="F152" s="6"/>
      <c r="G152" s="6"/>
      <c r="H152" s="6"/>
      <c r="I152" s="4" t="str">
        <f>"#if "&amp;C152&amp;"&gt;=0
mcu_config_input("&amp;C152&amp;");
mcu_config_pullup("&amp;C152&amp;");
#endif"</f>
        <v>#if I2C_SDA&gt;=0
mcu_config_input(I2C_SDA);
mcu_config_pullup(I2C_SDA);
#endif</v>
      </c>
    </row>
    <row r="153" spans="1:9" ht="15" customHeight="1" x14ac:dyDescent="0.25">
      <c r="A153" s="4">
        <v>210</v>
      </c>
      <c r="B153" s="4" t="str">
        <f t="shared" si="17"/>
        <v>DIO210</v>
      </c>
      <c r="C153" s="4" t="s">
        <v>467</v>
      </c>
      <c r="D153" s="6"/>
      <c r="E153" s="9" t="str">
        <f t="shared" ref="E153:E158" si="18">"#if(defined("&amp;C153&amp;"_BIT))
#define "&amp;B153&amp;" "&amp;A153&amp;"
#define "&amp;C153&amp;" "&amp;A153&amp;"
#define "&amp;B153&amp;"_BIT ("&amp;C153&amp;"_BIT)
#endif"</f>
        <v>#if(defined(TX2_BIT))
#define DIO210 210
#define TX2 210
#define DIO210_BIT (TX2_BIT)
#endif</v>
      </c>
      <c r="F153" s="6"/>
      <c r="G153" s="6"/>
      <c r="H153" s="6"/>
      <c r="I153" s="4" t="str">
        <f>"#if "&amp;C153&amp;"&gt;=0
mcu_config_output("&amp;C153&amp;");
#endif"</f>
        <v>#if TX2&gt;=0
mcu_config_output(TX2);
#endif</v>
      </c>
    </row>
    <row r="154" spans="1:9" ht="15" customHeight="1" x14ac:dyDescent="0.25">
      <c r="A154" s="4">
        <v>211</v>
      </c>
      <c r="B154" s="4" t="str">
        <f t="shared" si="17"/>
        <v>DIO211</v>
      </c>
      <c r="C154" s="4" t="s">
        <v>468</v>
      </c>
      <c r="D154" s="6"/>
      <c r="E154" s="9" t="str">
        <f t="shared" si="18"/>
        <v>#if(defined(RX2_BIT))
#define DIO211 211
#define RX2 211
#define DIO211_BIT (RX2_BIT)
#endif</v>
      </c>
      <c r="F154" s="6"/>
      <c r="G154" s="6"/>
      <c r="H154" s="6"/>
      <c r="I154" s="4" t="str">
        <f t="shared" ref="I154" si="19">"#if "&amp;C154&amp;"&gt;=0
mcu_config_input("&amp;C154&amp;");
#ifdef "&amp;C154&amp;"_PULLUP
mcu_config_pullup("&amp;C154&amp;");
#endif
#endif"</f>
        <v>#if RX2&gt;=0
mcu_config_input(RX2);
#ifdef RX2_PULLUP
mcu_config_pullup(RX2);
#endif
#endif</v>
      </c>
    </row>
    <row r="155" spans="1:9" ht="15" customHeight="1" x14ac:dyDescent="0.25">
      <c r="A155" s="4">
        <v>212</v>
      </c>
      <c r="B155" s="4" t="s">
        <v>519</v>
      </c>
      <c r="C155" s="29" t="s">
        <v>520</v>
      </c>
      <c r="D155" s="4">
        <v>0</v>
      </c>
      <c r="E155" s="12" t="str">
        <f t="shared" si="18"/>
        <v>#if(defined(SPI2_CLK_BIT))
#define DIO212 212
#define SPI2_CLK 212
#define DIO212_BIT (SPI2_CLK_BIT)
#endif</v>
      </c>
      <c r="F155" s="33"/>
      <c r="G155" s="33"/>
      <c r="H155" s="33"/>
      <c r="I155" s="27" t="str">
        <f>"#if "&amp;C155&amp;"&gt;=0
mcu_config_output("&amp;C155&amp;");
#endif"</f>
        <v>#if SPI2_CLK&gt;=0
mcu_config_output(SPI2_CLK);
#endif</v>
      </c>
    </row>
    <row r="156" spans="1:9" ht="15" customHeight="1" x14ac:dyDescent="0.25">
      <c r="A156" s="4">
        <v>213</v>
      </c>
      <c r="B156" s="4" t="s">
        <v>521</v>
      </c>
      <c r="C156" s="29" t="s">
        <v>522</v>
      </c>
      <c r="D156" s="4">
        <v>1</v>
      </c>
      <c r="E156" s="12" t="str">
        <f t="shared" si="18"/>
        <v>#if(defined(SPI2_SDI_BIT))
#define DIO213 213
#define SPI2_SDI 213
#define DIO213_BIT (SPI2_SDI_BIT)
#endif</v>
      </c>
      <c r="F156" s="33"/>
      <c r="G156" s="33"/>
      <c r="H156" s="33"/>
      <c r="I156" s="27" t="str">
        <f t="shared" ref="I156" si="20">"#if "&amp;C156&amp;"&gt;=0
mcu_config_input("&amp;C156&amp;");
#ifdef "&amp;C156&amp;"_PULLUP
mcu_config_pullup("&amp;C156&amp;");
#endif
#endif"</f>
        <v>#if SPI2_SDI&gt;=0
mcu_config_input(SPI2_SDI);
#ifdef SPI2_SDI_PULLUP
mcu_config_pullup(SPI2_SDI);
#endif
#endif</v>
      </c>
    </row>
    <row r="157" spans="1:9" ht="15" customHeight="1" x14ac:dyDescent="0.25">
      <c r="A157" s="4">
        <v>214</v>
      </c>
      <c r="B157" s="4" t="s">
        <v>523</v>
      </c>
      <c r="C157" s="29" t="s">
        <v>524</v>
      </c>
      <c r="D157" s="5">
        <v>2</v>
      </c>
      <c r="E157" s="12" t="str">
        <f t="shared" si="18"/>
        <v>#if(defined(SPI2_SDO_BIT))
#define DIO214 214
#define SPI2_SDO 214
#define DIO214_BIT (SPI2_SDO_BIT)
#endif</v>
      </c>
      <c r="F157" s="33"/>
      <c r="G157" s="33"/>
      <c r="H157" s="33"/>
      <c r="I157" s="27" t="str">
        <f>"#if "&amp;C157&amp;"&gt;=0
mcu_config_output("&amp;C157&amp;");
#endif"</f>
        <v>#if SPI2_SDO&gt;=0
mcu_config_output(SPI2_SDO);
#endif</v>
      </c>
    </row>
    <row r="158" spans="1:9" ht="15" customHeight="1" x14ac:dyDescent="0.25">
      <c r="A158" s="4">
        <v>215</v>
      </c>
      <c r="B158" s="4" t="s">
        <v>525</v>
      </c>
      <c r="C158" s="29" t="s">
        <v>526</v>
      </c>
      <c r="D158" s="5">
        <v>3</v>
      </c>
      <c r="E158" s="12" t="str">
        <f t="shared" si="18"/>
        <v>#if(defined(SPI2_CS_BIT))
#define DIO215 215
#define SPI2_CS 215
#define DIO215_BIT (SPI2_CS_BIT)
#endif</v>
      </c>
      <c r="F158" s="33"/>
      <c r="G158" s="33"/>
      <c r="H158" s="33"/>
      <c r="I158" s="27" t="str">
        <f>"#if "&amp;C158&amp;"&gt;=0
mcu_config_output("&amp;C158&amp;");
#endif"</f>
        <v>#if SPI2_CS&gt;=0
mcu_config_output(SPI2_CS);
#endif</v>
      </c>
    </row>
  </sheetData>
  <mergeCells count="2">
    <mergeCell ref="A1:C1"/>
    <mergeCell ref="F2:H2"/>
  </mergeCells>
  <pageMargins left="0.7" right="0.7" top="0.75" bottom="0.75" header="0.3" footer="0.3"/>
  <customProperties>
    <customPr name="_pios_id" r:id="rId1"/>
  </customProperti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E2C53-3473-48BD-942C-732E6F7B937B}">
  <dimension ref="A1:D18"/>
  <sheetViews>
    <sheetView workbookViewId="0">
      <selection activeCell="G22" sqref="G22"/>
    </sheetView>
  </sheetViews>
  <sheetFormatPr defaultRowHeight="15" x14ac:dyDescent="0.25"/>
  <sheetData>
    <row r="1" spans="1:4" x14ac:dyDescent="0.25">
      <c r="A1">
        <v>0</v>
      </c>
      <c r="B1" t="str">
        <f>"#if (STEP"&amp;A1&amp;"_MASK == STEP_DUAL0)
#define STEP"&amp;A1&amp;"_ITP_MASK (STEP"&amp;A1&amp;"_MASK | STEP_DUAL0_MASK)
#elif (STEP"&amp;A1&amp;"_MASK == STEP_DUAL1)
#define STEP"&amp;A1&amp;"_ITP_MASK (STEP"&amp;A1&amp;"_MASK | STEP_DUAL1_MASK)
#else
#define STEP"&amp;A1&amp;"_ITP_MASK STEP0_MASK
#endif"</f>
        <v>#if (STEP0_MASK == STEP_DUAL0)
#define STEP0_ITP_MASK (STEP0_MASK | STEP_DUAL0_MASK)
#elif (STEP0_MASK == STEP_DUAL1)
#define STEP0_ITP_MASK (STEP0_MASK | STEP_DUAL1_MASK)
#else
#define STEP0_ITP_MASK STEP0_MASK
#endif</v>
      </c>
      <c r="C1" t="str">
        <f>"#if (STEPPER_COUNT &lt; "&amp;A1+1&amp;" &amp;&amp; STEP_DUAL0 != "&amp;A1&amp;" &amp;&amp; STEP_DUAL1 != "&amp;A1&amp;")
#ifdef STEP"&amp;A1&amp;"
#undef STEP"&amp;A1&amp;"
#define STEP"&amp;A1&amp;" -1
#endif
#ifdef DIR"&amp;A1&amp;"
#undef DIR"&amp;A1&amp;"
#define DIR"&amp;A1&amp;" -1
#endif
#endif"</f>
        <v>#if (STEPPER_COUNT &lt; 1 &amp;&amp; STEP_DUAL0 != 0 &amp;&amp; STEP_DUAL1 != 0)
#ifdef STEP0
#undef STEP0
#define STEP0 -1
#endif
#ifdef DIR0
#undef DIR0
#define DIR0 -1
#endif
#endif</v>
      </c>
      <c r="D1" t="str">
        <f>"#if (STEPPER_COUNT &gt; "&amp;A1&amp;" &amp;&amp; (DUAL_DRIVE0_STEPPER == "&amp;A1&amp;" || DUAL_DRIVE1_STEPPER == "&amp;A1&amp;"))
#error 'Stepper  "&amp;A1&amp;" cannot be used as a axis drive and a dual axis drive at the same time'
#endif"</f>
        <v>#if (STEPPER_COUNT &gt; 0 &amp;&amp; (DUAL_DRIVE0_STEPPER == 0 || DUAL_DRIVE1_STEPPER == 0))
#error 'Stepper  0 cannot be used as a axis drive and a dual axis drive at the same time'
#endif</v>
      </c>
    </row>
    <row r="2" spans="1:4" x14ac:dyDescent="0.25">
      <c r="A2">
        <v>1</v>
      </c>
      <c r="B2" t="str">
        <f t="shared" ref="B2:B8" si="0">"#if (STEP"&amp;A2&amp;"_MASK == STEP_DUAL0)
#define STEP"&amp;A2&amp;"_ITP_MASK (STEP"&amp;A2&amp;"_MASK | STEP_DUAL0_MASK)
#elif (STEP"&amp;A2&amp;"_MASK == STEP_DUAL1)
#define STEP"&amp;A2&amp;"_ITP_MASK (STEP"&amp;A2&amp;"_MASK | STEP_DUAL1_MASK)
#else
#define STEP"&amp;A2&amp;"_ITP_MASK STEP0_MASK
#endif"</f>
        <v>#if (STEP1_MASK == STEP_DUAL0)
#define STEP1_ITP_MASK (STEP1_MASK | STEP_DUAL0_MASK)
#elif (STEP1_MASK == STEP_DUAL1)
#define STEP1_ITP_MASK (STEP1_MASK | STEP_DUAL1_MASK)
#else
#define STEP1_ITP_MASK STEP0_MASK
#endif</v>
      </c>
      <c r="C2" t="str">
        <f t="shared" ref="C2:C8" si="1">"#if (STEPPER_COUNT &lt; "&amp;A2+1&amp;" &amp;&amp; STEP_DUAL0 != "&amp;A2&amp;" &amp;&amp; STEP_DUAL1 != "&amp;A2&amp;")
#ifdef STEP"&amp;A2&amp;"
#undef STEP"&amp;A2&amp;"
#define STEP"&amp;A2&amp;" -1
#endif
#ifdef DIR"&amp;A2&amp;"
#undef DIR"&amp;A2&amp;"
#define DIR"&amp;A2&amp;" -1
#endif
#endif"</f>
        <v>#if (STEPPER_COUNT &lt; 2 &amp;&amp; STEP_DUAL0 != 1 &amp;&amp; STEP_DUAL1 != 1)
#ifdef STEP1
#undef STEP1
#define STEP1 -1
#endif
#ifdef DIR1
#undef DIR1
#define DIR1 -1
#endif
#endif</v>
      </c>
      <c r="D2" t="str">
        <f t="shared" ref="D2:D6" si="2">"#if (STEPPER_COUNT &gt; "&amp;A2&amp;" &amp;&amp; (DUAL_DRIVE0_STEPPER == "&amp;A2&amp;" || DUAL_DRIVE1_STEPPER == "&amp;A2&amp;"))
#error 'Stepper  "&amp;A2&amp;" cannot be used as a axis drive and a dual axis drive at the same time'
#endif"</f>
        <v>#if (STEPPER_COUNT &gt; 1 &amp;&amp; (DUAL_DRIVE0_STEPPER == 1 || DUAL_DRIVE1_STEPPER == 1))
#error 'Stepper  1 cannot be used as a axis drive and a dual axis drive at the same time'
#endif</v>
      </c>
    </row>
    <row r="3" spans="1:4" x14ac:dyDescent="0.25">
      <c r="A3">
        <v>2</v>
      </c>
      <c r="B3" t="str">
        <f t="shared" si="0"/>
        <v>#if (STEP2_MASK == STEP_DUAL0)
#define STEP2_ITP_MASK (STEP2_MASK | STEP_DUAL0_MASK)
#elif (STEP2_MASK == STEP_DUAL1)
#define STEP2_ITP_MASK (STEP2_MASK | STEP_DUAL1_MASK)
#else
#define STEP2_ITP_MASK STEP0_MASK
#endif</v>
      </c>
      <c r="C3" t="str">
        <f t="shared" si="1"/>
        <v>#if (STEPPER_COUNT &lt; 3 &amp;&amp; STEP_DUAL0 != 2 &amp;&amp; STEP_DUAL1 != 2)
#ifdef STEP2
#undef STEP2
#define STEP2 -1
#endif
#ifdef DIR2
#undef DIR2
#define DIR2 -1
#endif
#endif</v>
      </c>
      <c r="D3" t="str">
        <f t="shared" si="2"/>
        <v>#if (STEPPER_COUNT &gt; 2 &amp;&amp; (DUAL_DRIVE0_STEPPER == 2 || DUAL_DRIVE1_STEPPER == 2))
#error 'Stepper  2 cannot be used as a axis drive and a dual axis drive at the same time'
#endif</v>
      </c>
    </row>
    <row r="4" spans="1:4" x14ac:dyDescent="0.25">
      <c r="A4">
        <v>3</v>
      </c>
      <c r="B4" t="str">
        <f t="shared" si="0"/>
        <v>#if (STEP3_MASK == STEP_DUAL0)
#define STEP3_ITP_MASK (STEP3_MASK | STEP_DUAL0_MASK)
#elif (STEP3_MASK == STEP_DUAL1)
#define STEP3_ITP_MASK (STEP3_MASK | STEP_DUAL1_MASK)
#else
#define STEP3_ITP_MASK STEP0_MASK
#endif</v>
      </c>
      <c r="C4" t="str">
        <f t="shared" si="1"/>
        <v>#if (STEPPER_COUNT &lt; 4 &amp;&amp; STEP_DUAL0 != 3 &amp;&amp; STEP_DUAL1 != 3)
#ifdef STEP3
#undef STEP3
#define STEP3 -1
#endif
#ifdef DIR3
#undef DIR3
#define DIR3 -1
#endif
#endif</v>
      </c>
      <c r="D4" t="str">
        <f t="shared" si="2"/>
        <v>#if (STEPPER_COUNT &gt; 3 &amp;&amp; (DUAL_DRIVE0_STEPPER == 3 || DUAL_DRIVE1_STEPPER == 3))
#error 'Stepper  3 cannot be used as a axis drive and a dual axis drive at the same time'
#endif</v>
      </c>
    </row>
    <row r="5" spans="1:4" x14ac:dyDescent="0.25">
      <c r="A5">
        <v>4</v>
      </c>
      <c r="B5" t="str">
        <f t="shared" si="0"/>
        <v>#if (STEP4_MASK == STEP_DUAL0)
#define STEP4_ITP_MASK (STEP4_MASK | STEP_DUAL0_MASK)
#elif (STEP4_MASK == STEP_DUAL1)
#define STEP4_ITP_MASK (STEP4_MASK | STEP_DUAL1_MASK)
#else
#define STEP4_ITP_MASK STEP0_MASK
#endif</v>
      </c>
      <c r="C5" t="str">
        <f t="shared" si="1"/>
        <v>#if (STEPPER_COUNT &lt; 5 &amp;&amp; STEP_DUAL0 != 4 &amp;&amp; STEP_DUAL1 != 4)
#ifdef STEP4
#undef STEP4
#define STEP4 -1
#endif
#ifdef DIR4
#undef DIR4
#define DIR4 -1
#endif
#endif</v>
      </c>
      <c r="D5" t="str">
        <f t="shared" si="2"/>
        <v>#if (STEPPER_COUNT &gt; 4 &amp;&amp; (DUAL_DRIVE0_STEPPER == 4 || DUAL_DRIVE1_STEPPER == 4))
#error 'Stepper  4 cannot be used as a axis drive and a dual axis drive at the same time'
#endif</v>
      </c>
    </row>
    <row r="6" spans="1:4" x14ac:dyDescent="0.25">
      <c r="A6">
        <v>5</v>
      </c>
      <c r="B6" t="str">
        <f t="shared" si="0"/>
        <v>#if (STEP5_MASK == STEP_DUAL0)
#define STEP5_ITP_MASK (STEP5_MASK | STEP_DUAL0_MASK)
#elif (STEP5_MASK == STEP_DUAL1)
#define STEP5_ITP_MASK (STEP5_MASK | STEP_DUAL1_MASK)
#else
#define STEP5_ITP_MASK STEP0_MASK
#endif</v>
      </c>
      <c r="C6" t="str">
        <f t="shared" si="1"/>
        <v>#if (STEPPER_COUNT &lt; 6 &amp;&amp; STEP_DUAL0 != 5 &amp;&amp; STEP_DUAL1 != 5)
#ifdef STEP5
#undef STEP5
#define STEP5 -1
#endif
#ifdef DIR5
#undef DIR5
#define DIR5 -1
#endif
#endif</v>
      </c>
      <c r="D6" t="str">
        <f t="shared" si="2"/>
        <v>#if (STEPPER_COUNT &gt; 5 &amp;&amp; (DUAL_DRIVE0_STEPPER == 5 || DUAL_DRIVE1_STEPPER == 5))
#error 'Stepper  5 cannot be used as a axis drive and a dual axis drive at the same time'
#endif</v>
      </c>
    </row>
    <row r="7" spans="1:4" x14ac:dyDescent="0.25">
      <c r="A7">
        <v>6</v>
      </c>
      <c r="B7" t="str">
        <f t="shared" si="0"/>
        <v>#if (STEP6_MASK == STEP_DUAL0)
#define STEP6_ITP_MASK (STEP6_MASK | STEP_DUAL0_MASK)
#elif (STEP6_MASK == STEP_DUAL1)
#define STEP6_ITP_MASK (STEP6_MASK | STEP_DUAL1_MASK)
#else
#define STEP6_ITP_MASK STEP0_MASK
#endif</v>
      </c>
      <c r="C7" t="str">
        <f t="shared" si="1"/>
        <v>#if (STEPPER_COUNT &lt; 7 &amp;&amp; STEP_DUAL0 != 6 &amp;&amp; STEP_DUAL1 != 6)
#ifdef STEP6
#undef STEP6
#define STEP6 -1
#endif
#ifdef DIR6
#undef DIR6
#define DIR6 -1
#endif
#endif</v>
      </c>
    </row>
    <row r="8" spans="1:4" x14ac:dyDescent="0.25">
      <c r="A8">
        <v>7</v>
      </c>
      <c r="B8" t="str">
        <f t="shared" si="0"/>
        <v>#if (STEP7_MASK == STEP_DUAL0)
#define STEP7_ITP_MASK (STEP7_MASK | STEP_DUAL0_MASK)
#elif (STEP7_MASK == STEP_DUAL1)
#define STEP7_ITP_MASK (STEP7_MASK | STEP_DUAL1_MASK)
#else
#define STEP7_ITP_MASK STEP0_MASK
#endif</v>
      </c>
      <c r="C8" t="str">
        <f t="shared" si="1"/>
        <v>#if (STEPPER_COUNT &lt; 8 &amp;&amp; STEP_DUAL0 != 7 &amp;&amp; STEP_DUAL1 != 7)
#ifdef STEP7
#undef STEP7
#define STEP7 -1
#endif
#ifdef DIR7
#undef DIR7
#define DIR7 -1
#endif
#endif</v>
      </c>
    </row>
    <row r="10" spans="1:4" x14ac:dyDescent="0.25">
      <c r="A10" t="s">
        <v>230</v>
      </c>
      <c r="B10" t="str">
        <f>"#ifdef LIMIT_"&amp;A10&amp;"_DISABLE
#ifdef LIMIT_"&amp;A10&amp;"
#undef LIMIT_"&amp;A10&amp;"
#endif
#endif"</f>
        <v>#ifdef LIMIT_X_DISABLE
#ifdef LIMIT_X
#undef LIMIT_X
#endif
#endif</v>
      </c>
    </row>
    <row r="11" spans="1:4" x14ac:dyDescent="0.25">
      <c r="A11" t="s">
        <v>231</v>
      </c>
      <c r="B11" t="str">
        <f t="shared" ref="B11:B18" si="3">"#ifdef LIMIT_"&amp;A11&amp;"_DISABLE
#ifdef LIMIT_"&amp;A11&amp;"
#undef LIMIT_"&amp;A11&amp;"
#endif
#endif"</f>
        <v>#ifdef LIMIT_X2_DISABLE
#ifdef LIMIT_X2
#undef LIMIT_X2
#endif
#endif</v>
      </c>
    </row>
    <row r="12" spans="1:4" x14ac:dyDescent="0.25">
      <c r="A12" t="s">
        <v>232</v>
      </c>
      <c r="B12" t="str">
        <f t="shared" si="3"/>
        <v>#ifdef LIMIT_Y_DISABLE
#ifdef LIMIT_Y
#undef LIMIT_Y
#endif
#endif</v>
      </c>
    </row>
    <row r="13" spans="1:4" x14ac:dyDescent="0.25">
      <c r="A13" t="s">
        <v>233</v>
      </c>
      <c r="B13" t="str">
        <f t="shared" si="3"/>
        <v>#ifdef LIMIT_Y2_DISABLE
#ifdef LIMIT_Y2
#undef LIMIT_Y2
#endif
#endif</v>
      </c>
    </row>
    <row r="14" spans="1:4" x14ac:dyDescent="0.25">
      <c r="A14" t="s">
        <v>234</v>
      </c>
      <c r="B14" t="str">
        <f t="shared" si="3"/>
        <v>#ifdef LIMIT_Z_DISABLE
#ifdef LIMIT_Z
#undef LIMIT_Z
#endif
#endif</v>
      </c>
    </row>
    <row r="15" spans="1:4" x14ac:dyDescent="0.25">
      <c r="A15" t="s">
        <v>235</v>
      </c>
      <c r="B15" t="str">
        <f t="shared" si="3"/>
        <v>#ifdef LIMIT_Z2_DISABLE
#ifdef LIMIT_Z2
#undef LIMIT_Z2
#endif
#endif</v>
      </c>
    </row>
    <row r="16" spans="1:4" x14ac:dyDescent="0.25">
      <c r="A16" t="s">
        <v>119</v>
      </c>
      <c r="B16" t="str">
        <f t="shared" si="3"/>
        <v>#ifdef LIMIT_A_DISABLE
#ifdef LIMIT_A
#undef LIMIT_A
#endif
#endif</v>
      </c>
    </row>
    <row r="17" spans="1:2" x14ac:dyDescent="0.25">
      <c r="A17" t="s">
        <v>120</v>
      </c>
      <c r="B17" t="str">
        <f t="shared" si="3"/>
        <v>#ifdef LIMIT_B_DISABLE
#ifdef LIMIT_B
#undef LIMIT_B
#endif
#endif</v>
      </c>
    </row>
    <row r="18" spans="1:2" x14ac:dyDescent="0.25">
      <c r="A18" t="s">
        <v>236</v>
      </c>
      <c r="B18" t="str">
        <f t="shared" si="3"/>
        <v>#ifdef LIMIT_C_DISABLE
#ifdef LIMIT_C
#undef LIMIT_C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22BA8-1963-4EA6-873E-4182C9D8C30A}">
  <dimension ref="A1:F180"/>
  <sheetViews>
    <sheetView workbookViewId="0">
      <selection activeCell="F42" sqref="F42"/>
    </sheetView>
  </sheetViews>
  <sheetFormatPr defaultRowHeight="15" x14ac:dyDescent="0.25"/>
  <sheetData>
    <row r="1" spans="1:6" x14ac:dyDescent="0.25">
      <c r="A1" s="40" t="s">
        <v>0</v>
      </c>
      <c r="B1" s="41"/>
      <c r="C1" s="42"/>
      <c r="D1" s="26"/>
    </row>
    <row r="2" spans="1:6" x14ac:dyDescent="0.25">
      <c r="A2" s="1" t="s">
        <v>1</v>
      </c>
      <c r="B2" s="1" t="s">
        <v>2</v>
      </c>
      <c r="C2" s="1" t="s">
        <v>3</v>
      </c>
      <c r="D2" s="1" t="s">
        <v>460</v>
      </c>
      <c r="E2" s="1"/>
    </row>
    <row r="3" spans="1:6" x14ac:dyDescent="0.25">
      <c r="A3" s="4">
        <v>1</v>
      </c>
      <c r="B3" s="4" t="str">
        <f t="shared" ref="B3:B80" si="0">"DIO"&amp;A3</f>
        <v>DIO1</v>
      </c>
      <c r="C3" s="4" t="s">
        <v>7</v>
      </c>
      <c r="D3" s="4" t="s">
        <v>461</v>
      </c>
      <c r="E3" s="4" t="str">
        <f>"#ifndef "&amp;C3&amp;"_IO_OFFSET
#define "&amp;C3&amp;"_IO_OFFSET -1
#define "&amp;B3&amp;"_IO_OFFSET -1
#else
#define "&amp;B3&amp;"_IO_OFFSET "&amp;C3&amp;"_IO_OFFSET
#ifdef "&amp;C3&amp;"
#undef "&amp;C3&amp;"
#endif
#ifdef "&amp;B3&amp;"
#undef "&amp;B3&amp;"
#endif
#define "&amp;C3&amp;" "&amp;A3&amp;"
#define "&amp;B3&amp;" -"&amp;A3&amp;"
#define "&amp;C3&amp;"_IO_BYTEOFFSET ("&amp;C3&amp;"_IO_OFFSET &gt;&gt; 3)
#define "&amp;C3&amp;"_IO_BITMASK (1 &lt;&lt; ("&amp;C3&amp;"_IO_OFFSET &amp; 0x7))
#define "&amp;B3&amp;"_IO_BYTEOFFSET "&amp;C3&amp;"_IO_BYTEOFFSET
#define "&amp;B3&amp;"_IO_BITMASK "&amp;C3&amp;"_IO_BITMASK
#ifndef IC74HC595_HAS_"&amp;D3&amp;"
#define IC74HC595_HAS_"&amp;D3&amp;"
#endif
#endif"</f>
        <v>#ifndef STEP0_IO_OFFSET
#define STEP0_IO_OFFSET -1
#define DIO1_IO_OFFSET -1
#else
#define DIO1_IO_OFFSET STEP0_IO_OFFSET
#ifdef STEP0
#undef STEP0
#endif
#ifdef DIO1
#undef DIO1
#endif
#define STEP0 1
#define DIO1 -1
#define STEP0_IO_BYTEOFFSET (STEP0_IO_OFFSET &gt;&gt; 3)
#define STEP0_IO_BITMASK (1 &lt;&lt; (STEP0_IO_OFFSET &amp; 0x7))
#define DIO1_IO_BYTEOFFSET STEP0_IO_BYTEOFFSET
#define DIO1_IO_BITMASK STEP0_IO_BITMASK
#ifndef IC74HC595_HAS_STEPS
#define IC74HC595_HAS_STEPS
#endif
#endif</v>
      </c>
      <c r="F3" s="4" t="str">
        <f>"#if ASSERT_PIN_IO("&amp;C3&amp;")
#define io"&amp;A3&amp;"_config_output mcu_config_output("&amp;C3&amp;")
#define io"&amp;A3&amp;"_set_output mcu_set_output("&amp;C3&amp;")
#define io"&amp;A3&amp;"_clear_output mcu_clear_output("&amp;C3&amp;")
#define io"&amp;A3&amp;"_toggle_output mcu_toggle_output("&amp;C3&amp;")
#define io"&amp;A3&amp;"_get_output mcu_get_output("&amp;C3&amp;")
#elif ASSERT_PIN_EXTENDED("&amp;C3&amp;")
#define io"&amp;A3&amp;"_config_output
#define io"&amp;A3&amp;"_set_output ic74hc595_set_pin("&amp;C3&amp;")
#define io"&amp;A3&amp;"_clear_output ic74hc595_clear_pin("&amp;C3&amp;")
#define io"&amp;A3&amp;"_toggle_output ic74hc595_toggle_pin("&amp;C3&amp;")
#define io"&amp;A3&amp;"_get_output ic74hc595_get_pin("&amp;C3&amp;")
#else
#define io"&amp;A3&amp;"_config_output
#define io"&amp;A3&amp;"_set_output
#define io"&amp;A3&amp;"_clear_output
#define io"&amp;A3&amp;"_toggle_output
#define io"&amp;A3&amp;"_get_output -1
#endif"</f>
        <v>#if ASSERT_PIN_IO(STEP0)
#define io1_config_output mcu_config_output(STEP0)
#define io1_set_output mcu_set_output(STEP0)
#define io1_clear_output mcu_clear_output(STEP0)
#define io1_toggle_output mcu_toggle_output(STEP0)
#define io1_get_output mcu_get_output(STEP0)
#elif ASSERT_PIN_EXTENDED(STEP0)
#define io1_config_output
#define io1_set_output ic74hc595_set_pin(STEP0)
#define io1_clear_output ic74hc595_clear_pin(STEP0)
#define io1_toggle_output ic74hc595_toggle_pin(STEP0)
#define io1_get_output ic74hc595_get_pin(STEP0)
#else
#define io1_config_output
#define io1_set_output
#define io1_clear_output
#define io1_toggle_output
#define io1_get_output -1
#endif</v>
      </c>
    </row>
    <row r="4" spans="1:6" x14ac:dyDescent="0.25">
      <c r="A4" s="4">
        <v>2</v>
      </c>
      <c r="B4" s="4" t="str">
        <f t="shared" si="0"/>
        <v>DIO2</v>
      </c>
      <c r="C4" s="4" t="s">
        <v>8</v>
      </c>
      <c r="D4" s="4" t="s">
        <v>461</v>
      </c>
      <c r="E4" s="4" t="str">
        <f t="shared" ref="E4:E67" si="1">"#ifndef "&amp;C4&amp;"_IO_OFFSET
#define "&amp;C4&amp;"_IO_OFFSET -1
#define "&amp;B4&amp;"_IO_OFFSET -1
#else
#define "&amp;B4&amp;"_IO_OFFSET "&amp;C4&amp;"_IO_OFFSET
#ifdef "&amp;C4&amp;"
#undef "&amp;C4&amp;"
#endif
#ifdef "&amp;B4&amp;"
#undef "&amp;B4&amp;"
#endif
#define "&amp;C4&amp;" "&amp;A4&amp;"
#define "&amp;B4&amp;" -"&amp;A4&amp;"
#define "&amp;C4&amp;"_IO_BYTEOFFSET ("&amp;C4&amp;"_IO_OFFSET &gt;&gt; 3)
#define "&amp;C4&amp;"_IO_BITMASK (1 &lt;&lt; ("&amp;C4&amp;"_IO_OFFSET &amp; 0x7))
#define "&amp;B4&amp;"_IO_BYTEOFFSET "&amp;C4&amp;"_IO_BYTEOFFSET
#define "&amp;B4&amp;"_IO_BITMASK "&amp;C4&amp;"_IO_BITMASK
#ifndef IC74HC595_HAS_"&amp;D4&amp;"
#define IC74HC595_HAS_"&amp;D4&amp;"
#endif
#endif"</f>
        <v>#ifndef STEP1_IO_OFFSET
#define STEP1_IO_OFFSET -1
#define DIO2_IO_OFFSET -1
#else
#define DIO2_IO_OFFSET STEP1_IO_OFFSET
#ifdef STEP1
#undef STEP1
#endif
#ifdef DIO2
#undef DIO2
#endif
#define STEP1 2
#define DIO2 -2
#define STEP1_IO_BYTEOFFSET (STEP1_IO_OFFSET &gt;&gt; 3)
#define STEP1_IO_BITMASK (1 &lt;&lt; (STEP1_IO_OFFSET &amp; 0x7))
#define DIO2_IO_BYTEOFFSET STEP1_IO_BYTEOFFSET
#define DIO2_IO_BITMASK STEP1_IO_BITMASK
#ifndef IC74HC595_HAS_STEPS
#define IC74HC595_HAS_STEPS
#endif
#endif</v>
      </c>
      <c r="F4" s="4" t="str">
        <f t="shared" ref="F4:F26" si="2">"#if ASSERT_PIN_IO("&amp;C4&amp;")
#define io"&amp;A4&amp;"_config_output mcu_config_output("&amp;C4&amp;")
#define io"&amp;A4&amp;"_set_output mcu_set_output("&amp;C4&amp;")
#define io"&amp;A4&amp;"_clear_output mcu_clear_output("&amp;C4&amp;")
#define io"&amp;A4&amp;"_toggle_output mcu_toggle_output("&amp;C4&amp;")
#define io"&amp;A4&amp;"_get_output mcu_get_output("&amp;C4&amp;")
#elif ASSERT_PIN_EXTENDED("&amp;C4&amp;")
#define io"&amp;A4&amp;"_config_output
#define io"&amp;A4&amp;"_set_output ic74hc595_set_pin("&amp;C4&amp;")
#define io"&amp;A4&amp;"_clear_output ic74hc595_clear_pin("&amp;C4&amp;")
#define io"&amp;A4&amp;"_toggle_output ic74hc595_toggle_pin("&amp;C4&amp;")
#define io"&amp;A4&amp;"_get_output ic74hc595_get_pin("&amp;C4&amp;")
#else
#define io"&amp;A4&amp;"_config_output
#define io"&amp;A4&amp;"_set_output
#define io"&amp;A4&amp;"_clear_output
#define io"&amp;A4&amp;"_toggle_output
#define io"&amp;A4&amp;"_get_output -1
#endif"</f>
        <v>#if ASSERT_PIN_IO(STEP1)
#define io2_config_output mcu_config_output(STEP1)
#define io2_set_output mcu_set_output(STEP1)
#define io2_clear_output mcu_clear_output(STEP1)
#define io2_toggle_output mcu_toggle_output(STEP1)
#define io2_get_output mcu_get_output(STEP1)
#elif ASSERT_PIN_EXTENDED(STEP1)
#define io2_config_output
#define io2_set_output ic74hc595_set_pin(STEP1)
#define io2_clear_output ic74hc595_clear_pin(STEP1)
#define io2_toggle_output ic74hc595_toggle_pin(STEP1)
#define io2_get_output ic74hc595_get_pin(STEP1)
#else
#define io2_config_output
#define io2_set_output
#define io2_clear_output
#define io2_toggle_output
#define io2_get_output -1
#endif</v>
      </c>
    </row>
    <row r="5" spans="1:6" x14ac:dyDescent="0.25">
      <c r="A5" s="4">
        <v>3</v>
      </c>
      <c r="B5" s="4" t="str">
        <f t="shared" si="0"/>
        <v>DIO3</v>
      </c>
      <c r="C5" s="4" t="s">
        <v>9</v>
      </c>
      <c r="D5" s="4" t="s">
        <v>461</v>
      </c>
      <c r="E5" s="4" t="str">
        <f t="shared" si="1"/>
        <v>#ifndef STEP2_IO_OFFSET
#define STEP2_IO_OFFSET -1
#define DIO3_IO_OFFSET -1
#else
#define DIO3_IO_OFFSET STEP2_IO_OFFSET
#ifdef STEP2
#undef STEP2
#endif
#ifdef DIO3
#undef DIO3
#endif
#define STEP2 3
#define DIO3 -3
#define STEP2_IO_BYTEOFFSET (STEP2_IO_OFFSET &gt;&gt; 3)
#define STEP2_IO_BITMASK (1 &lt;&lt; (STEP2_IO_OFFSET &amp; 0x7))
#define DIO3_IO_BYTEOFFSET STEP2_IO_BYTEOFFSET
#define DIO3_IO_BITMASK STEP2_IO_BITMASK
#ifndef IC74HC595_HAS_STEPS
#define IC74HC595_HAS_STEPS
#endif
#endif</v>
      </c>
      <c r="F5" s="4" t="str">
        <f t="shared" si="2"/>
        <v>#if ASSERT_PIN_IO(STEP2)
#define io3_config_output mcu_config_output(STEP2)
#define io3_set_output mcu_set_output(STEP2)
#define io3_clear_output mcu_clear_output(STEP2)
#define io3_toggle_output mcu_toggle_output(STEP2)
#define io3_get_output mcu_get_output(STEP2)
#elif ASSERT_PIN_EXTENDED(STEP2)
#define io3_config_output
#define io3_set_output ic74hc595_set_pin(STEP2)
#define io3_clear_output ic74hc595_clear_pin(STEP2)
#define io3_toggle_output ic74hc595_toggle_pin(STEP2)
#define io3_get_output ic74hc595_get_pin(STEP2)
#else
#define io3_config_output
#define io3_set_output
#define io3_clear_output
#define io3_toggle_output
#define io3_get_output -1
#endif</v>
      </c>
    </row>
    <row r="6" spans="1:6" x14ac:dyDescent="0.25">
      <c r="A6" s="4">
        <v>4</v>
      </c>
      <c r="B6" s="4" t="str">
        <f t="shared" si="0"/>
        <v>DIO4</v>
      </c>
      <c r="C6" s="4" t="s">
        <v>10</v>
      </c>
      <c r="D6" s="4" t="s">
        <v>461</v>
      </c>
      <c r="E6" s="4" t="str">
        <f t="shared" si="1"/>
        <v>#ifndef STEP3_IO_OFFSET
#define STEP3_IO_OFFSET -1
#define DIO4_IO_OFFSET -1
#else
#define DIO4_IO_OFFSET STEP3_IO_OFFSET
#ifdef STEP3
#undef STEP3
#endif
#ifdef DIO4
#undef DIO4
#endif
#define STEP3 4
#define DIO4 -4
#define STEP3_IO_BYTEOFFSET (STEP3_IO_OFFSET &gt;&gt; 3)
#define STEP3_IO_BITMASK (1 &lt;&lt; (STEP3_IO_OFFSET &amp; 0x7))
#define DIO4_IO_BYTEOFFSET STEP3_IO_BYTEOFFSET
#define DIO4_IO_BITMASK STEP3_IO_BITMASK
#ifndef IC74HC595_HAS_STEPS
#define IC74HC595_HAS_STEPS
#endif
#endif</v>
      </c>
      <c r="F6" s="4" t="str">
        <f t="shared" si="2"/>
        <v>#if ASSERT_PIN_IO(STEP3)
#define io4_config_output mcu_config_output(STEP3)
#define io4_set_output mcu_set_output(STEP3)
#define io4_clear_output mcu_clear_output(STEP3)
#define io4_toggle_output mcu_toggle_output(STEP3)
#define io4_get_output mcu_get_output(STEP3)
#elif ASSERT_PIN_EXTENDED(STEP3)
#define io4_config_output
#define io4_set_output ic74hc595_set_pin(STEP3)
#define io4_clear_output ic74hc595_clear_pin(STEP3)
#define io4_toggle_output ic74hc595_toggle_pin(STEP3)
#define io4_get_output ic74hc595_get_pin(STEP3)
#else
#define io4_config_output
#define io4_set_output
#define io4_clear_output
#define io4_toggle_output
#define io4_get_output -1
#endif</v>
      </c>
    </row>
    <row r="7" spans="1:6" x14ac:dyDescent="0.25">
      <c r="A7" s="4">
        <v>5</v>
      </c>
      <c r="B7" s="4" t="str">
        <f t="shared" si="0"/>
        <v>DIO5</v>
      </c>
      <c r="C7" s="4" t="s">
        <v>11</v>
      </c>
      <c r="D7" s="4" t="s">
        <v>461</v>
      </c>
      <c r="E7" s="4" t="str">
        <f t="shared" si="1"/>
        <v>#ifndef STEP4_IO_OFFSET
#define STEP4_IO_OFFSET -1
#define DIO5_IO_OFFSET -1
#else
#define DIO5_IO_OFFSET STEP4_IO_OFFSET
#ifdef STEP4
#undef STEP4
#endif
#ifdef DIO5
#undef DIO5
#endif
#define STEP4 5
#define DIO5 -5
#define STEP4_IO_BYTEOFFSET (STEP4_IO_OFFSET &gt;&gt; 3)
#define STEP4_IO_BITMASK (1 &lt;&lt; (STEP4_IO_OFFSET &amp; 0x7))
#define DIO5_IO_BYTEOFFSET STEP4_IO_BYTEOFFSET
#define DIO5_IO_BITMASK STEP4_IO_BITMASK
#ifndef IC74HC595_HAS_STEPS
#define IC74HC595_HAS_STEPS
#endif
#endif</v>
      </c>
      <c r="F7" s="4" t="str">
        <f t="shared" si="2"/>
        <v>#if ASSERT_PIN_IO(STEP4)
#define io5_config_output mcu_config_output(STEP4)
#define io5_set_output mcu_set_output(STEP4)
#define io5_clear_output mcu_clear_output(STEP4)
#define io5_toggle_output mcu_toggle_output(STEP4)
#define io5_get_output mcu_get_output(STEP4)
#elif ASSERT_PIN_EXTENDED(STEP4)
#define io5_config_output
#define io5_set_output ic74hc595_set_pin(STEP4)
#define io5_clear_output ic74hc595_clear_pin(STEP4)
#define io5_toggle_output ic74hc595_toggle_pin(STEP4)
#define io5_get_output ic74hc595_get_pin(STEP4)
#else
#define io5_config_output
#define io5_set_output
#define io5_clear_output
#define io5_toggle_output
#define io5_get_output -1
#endif</v>
      </c>
    </row>
    <row r="8" spans="1:6" x14ac:dyDescent="0.25">
      <c r="A8" s="4">
        <v>6</v>
      </c>
      <c r="B8" s="4" t="str">
        <f t="shared" si="0"/>
        <v>DIO6</v>
      </c>
      <c r="C8" s="4" t="s">
        <v>12</v>
      </c>
      <c r="D8" s="4" t="s">
        <v>461</v>
      </c>
      <c r="E8" s="4" t="str">
        <f t="shared" si="1"/>
        <v>#ifndef STEP5_IO_OFFSET
#define STEP5_IO_OFFSET -1
#define DIO6_IO_OFFSET -1
#else
#define DIO6_IO_OFFSET STEP5_IO_OFFSET
#ifdef STEP5
#undef STEP5
#endif
#ifdef DIO6
#undef DIO6
#endif
#define STEP5 6
#define DIO6 -6
#define STEP5_IO_BYTEOFFSET (STEP5_IO_OFFSET &gt;&gt; 3)
#define STEP5_IO_BITMASK (1 &lt;&lt; (STEP5_IO_OFFSET &amp; 0x7))
#define DIO6_IO_BYTEOFFSET STEP5_IO_BYTEOFFSET
#define DIO6_IO_BITMASK STEP5_IO_BITMASK
#ifndef IC74HC595_HAS_STEPS
#define IC74HC595_HAS_STEPS
#endif
#endif</v>
      </c>
      <c r="F8" s="4" t="str">
        <f t="shared" si="2"/>
        <v>#if ASSERT_PIN_IO(STEP5)
#define io6_config_output mcu_config_output(STEP5)
#define io6_set_output mcu_set_output(STEP5)
#define io6_clear_output mcu_clear_output(STEP5)
#define io6_toggle_output mcu_toggle_output(STEP5)
#define io6_get_output mcu_get_output(STEP5)
#elif ASSERT_PIN_EXTENDED(STEP5)
#define io6_config_output
#define io6_set_output ic74hc595_set_pin(STEP5)
#define io6_clear_output ic74hc595_clear_pin(STEP5)
#define io6_toggle_output ic74hc595_toggle_pin(STEP5)
#define io6_get_output ic74hc595_get_pin(STEP5)
#else
#define io6_config_output
#define io6_set_output
#define io6_clear_output
#define io6_toggle_output
#define io6_get_output -1
#endif</v>
      </c>
    </row>
    <row r="9" spans="1:6" x14ac:dyDescent="0.25">
      <c r="A9" s="4">
        <v>7</v>
      </c>
      <c r="B9" s="4" t="str">
        <f t="shared" si="0"/>
        <v>DIO7</v>
      </c>
      <c r="C9" s="4" t="s">
        <v>13</v>
      </c>
      <c r="D9" s="4" t="s">
        <v>461</v>
      </c>
      <c r="E9" s="4" t="str">
        <f t="shared" si="1"/>
        <v>#ifndef STEP6_IO_OFFSET
#define STEP6_IO_OFFSET -1
#define DIO7_IO_OFFSET -1
#else
#define DIO7_IO_OFFSET STEP6_IO_OFFSET
#ifdef STEP6
#undef STEP6
#endif
#ifdef DIO7
#undef DIO7
#endif
#define STEP6 7
#define DIO7 -7
#define STEP6_IO_BYTEOFFSET (STEP6_IO_OFFSET &gt;&gt; 3)
#define STEP6_IO_BITMASK (1 &lt;&lt; (STEP6_IO_OFFSET &amp; 0x7))
#define DIO7_IO_BYTEOFFSET STEP6_IO_BYTEOFFSET
#define DIO7_IO_BITMASK STEP6_IO_BITMASK
#ifndef IC74HC595_HAS_STEPS
#define IC74HC595_HAS_STEPS
#endif
#endif</v>
      </c>
      <c r="F9" s="4" t="str">
        <f t="shared" si="2"/>
        <v>#if ASSERT_PIN_IO(STEP6)
#define io7_config_output mcu_config_output(STEP6)
#define io7_set_output mcu_set_output(STEP6)
#define io7_clear_output mcu_clear_output(STEP6)
#define io7_toggle_output mcu_toggle_output(STEP6)
#define io7_get_output mcu_get_output(STEP6)
#elif ASSERT_PIN_EXTENDED(STEP6)
#define io7_config_output
#define io7_set_output ic74hc595_set_pin(STEP6)
#define io7_clear_output ic74hc595_clear_pin(STEP6)
#define io7_toggle_output ic74hc595_toggle_pin(STEP6)
#define io7_get_output ic74hc595_get_pin(STEP6)
#else
#define io7_config_output
#define io7_set_output
#define io7_clear_output
#define io7_toggle_output
#define io7_get_output -1
#endif</v>
      </c>
    </row>
    <row r="10" spans="1:6" x14ac:dyDescent="0.25">
      <c r="A10" s="4">
        <v>8</v>
      </c>
      <c r="B10" s="4" t="str">
        <f t="shared" si="0"/>
        <v>DIO8</v>
      </c>
      <c r="C10" s="4" t="s">
        <v>14</v>
      </c>
      <c r="D10" s="4" t="s">
        <v>461</v>
      </c>
      <c r="E10" s="4" t="str">
        <f t="shared" si="1"/>
        <v>#ifndef STEP7_IO_OFFSET
#define STEP7_IO_OFFSET -1
#define DIO8_IO_OFFSET -1
#else
#define DIO8_IO_OFFSET STEP7_IO_OFFSET
#ifdef STEP7
#undef STEP7
#endif
#ifdef DIO8
#undef DIO8
#endif
#define STEP7 8
#define DIO8 -8
#define STEP7_IO_BYTEOFFSET (STEP7_IO_OFFSET &gt;&gt; 3)
#define STEP7_IO_BITMASK (1 &lt;&lt; (STEP7_IO_OFFSET &amp; 0x7))
#define DIO8_IO_BYTEOFFSET STEP7_IO_BYTEOFFSET
#define DIO8_IO_BITMASK STEP7_IO_BITMASK
#ifndef IC74HC595_HAS_STEPS
#define IC74HC595_HAS_STEPS
#endif
#endif</v>
      </c>
      <c r="F10" s="4" t="str">
        <f t="shared" si="2"/>
        <v>#if ASSERT_PIN_IO(STEP7)
#define io8_config_output mcu_config_output(STEP7)
#define io8_set_output mcu_set_output(STEP7)
#define io8_clear_output mcu_clear_output(STEP7)
#define io8_toggle_output mcu_toggle_output(STEP7)
#define io8_get_output mcu_get_output(STEP7)
#elif ASSERT_PIN_EXTENDED(STEP7)
#define io8_config_output
#define io8_set_output ic74hc595_set_pin(STEP7)
#define io8_clear_output ic74hc595_clear_pin(STEP7)
#define io8_toggle_output ic74hc595_toggle_pin(STEP7)
#define io8_get_output ic74hc595_get_pin(STEP7)
#else
#define io8_config_output
#define io8_set_output
#define io8_clear_output
#define io8_toggle_output
#define io8_get_output -1
#endif</v>
      </c>
    </row>
    <row r="11" spans="1:6" x14ac:dyDescent="0.25">
      <c r="A11" s="4">
        <v>9</v>
      </c>
      <c r="B11" s="4" t="str">
        <f t="shared" si="0"/>
        <v>DIO9</v>
      </c>
      <c r="C11" s="4" t="s">
        <v>15</v>
      </c>
      <c r="D11" s="4" t="s">
        <v>462</v>
      </c>
      <c r="E11" s="4" t="str">
        <f t="shared" si="1"/>
        <v>#ifndef DIR0_IO_OFFSET
#define DIR0_IO_OFFSET -1
#define DIO9_IO_OFFSET -1
#else
#define DIO9_IO_OFFSET DIR0_IO_OFFSET
#ifdef DIR0
#undef DIR0
#endif
#ifdef DIO9
#undef DIO9
#endif
#define DIR0 9
#define DIO9 -9
#define DIR0_IO_BYTEOFFSET (DIR0_IO_OFFSET &gt;&gt; 3)
#define DIR0_IO_BITMASK (1 &lt;&lt; (DIR0_IO_OFFSET &amp; 0x7))
#define DIO9_IO_BYTEOFFSET DIR0_IO_BYTEOFFSET
#define DIO9_IO_BITMASK DIR0_IO_BITMASK
#ifndef IC74HC595_HAS_DIRS
#define IC74HC595_HAS_DIRS
#endif
#endif</v>
      </c>
      <c r="F11" s="4" t="str">
        <f t="shared" si="2"/>
        <v>#if ASSERT_PIN_IO(DIR0)
#define io9_config_output mcu_config_output(DIR0)
#define io9_set_output mcu_set_output(DIR0)
#define io9_clear_output mcu_clear_output(DIR0)
#define io9_toggle_output mcu_toggle_output(DIR0)
#define io9_get_output mcu_get_output(DIR0)
#elif ASSERT_PIN_EXTENDED(DIR0)
#define io9_config_output
#define io9_set_output ic74hc595_set_pin(DIR0)
#define io9_clear_output ic74hc595_clear_pin(DIR0)
#define io9_toggle_output ic74hc595_toggle_pin(DIR0)
#define io9_get_output ic74hc595_get_pin(DIR0)
#else
#define io9_config_output
#define io9_set_output
#define io9_clear_output
#define io9_toggle_output
#define io9_get_output -1
#endif</v>
      </c>
    </row>
    <row r="12" spans="1:6" x14ac:dyDescent="0.25">
      <c r="A12" s="4">
        <v>10</v>
      </c>
      <c r="B12" s="4" t="str">
        <f t="shared" si="0"/>
        <v>DIO10</v>
      </c>
      <c r="C12" s="4" t="s">
        <v>16</v>
      </c>
      <c r="D12" s="4" t="s">
        <v>462</v>
      </c>
      <c r="E12" s="4" t="str">
        <f t="shared" si="1"/>
        <v>#ifndef DIR1_IO_OFFSET
#define DIR1_IO_OFFSET -1
#define DIO10_IO_OFFSET -1
#else
#define DIO10_IO_OFFSET DIR1_IO_OFFSET
#ifdef DIR1
#undef DIR1
#endif
#ifdef DIO10
#undef DIO10
#endif
#define DIR1 10
#define DIO10 -10
#define DIR1_IO_BYTEOFFSET (DIR1_IO_OFFSET &gt;&gt; 3)
#define DIR1_IO_BITMASK (1 &lt;&lt; (DIR1_IO_OFFSET &amp; 0x7))
#define DIO10_IO_BYTEOFFSET DIR1_IO_BYTEOFFSET
#define DIO10_IO_BITMASK DIR1_IO_BITMASK
#ifndef IC74HC595_HAS_DIRS
#define IC74HC595_HAS_DIRS
#endif
#endif</v>
      </c>
      <c r="F12" s="4" t="str">
        <f t="shared" si="2"/>
        <v>#if ASSERT_PIN_IO(DIR1)
#define io10_config_output mcu_config_output(DIR1)
#define io10_set_output mcu_set_output(DIR1)
#define io10_clear_output mcu_clear_output(DIR1)
#define io10_toggle_output mcu_toggle_output(DIR1)
#define io10_get_output mcu_get_output(DIR1)
#elif ASSERT_PIN_EXTENDED(DIR1)
#define io10_config_output
#define io10_set_output ic74hc595_set_pin(DIR1)
#define io10_clear_output ic74hc595_clear_pin(DIR1)
#define io10_toggle_output ic74hc595_toggle_pin(DIR1)
#define io10_get_output ic74hc595_get_pin(DIR1)
#else
#define io10_config_output
#define io10_set_output
#define io10_clear_output
#define io10_toggle_output
#define io10_get_output -1
#endif</v>
      </c>
    </row>
    <row r="13" spans="1:6" x14ac:dyDescent="0.25">
      <c r="A13" s="4">
        <v>11</v>
      </c>
      <c r="B13" s="4" t="str">
        <f t="shared" si="0"/>
        <v>DIO11</v>
      </c>
      <c r="C13" s="4" t="s">
        <v>17</v>
      </c>
      <c r="D13" s="4" t="s">
        <v>462</v>
      </c>
      <c r="E13" s="4" t="str">
        <f t="shared" si="1"/>
        <v>#ifndef DIR2_IO_OFFSET
#define DIR2_IO_OFFSET -1
#define DIO11_IO_OFFSET -1
#else
#define DIO11_IO_OFFSET DIR2_IO_OFFSET
#ifdef DIR2
#undef DIR2
#endif
#ifdef DIO11
#undef DIO11
#endif
#define DIR2 11
#define DIO11 -11
#define DIR2_IO_BYTEOFFSET (DIR2_IO_OFFSET &gt;&gt; 3)
#define DIR2_IO_BITMASK (1 &lt;&lt; (DIR2_IO_OFFSET &amp; 0x7))
#define DIO11_IO_BYTEOFFSET DIR2_IO_BYTEOFFSET
#define DIO11_IO_BITMASK DIR2_IO_BITMASK
#ifndef IC74HC595_HAS_DIRS
#define IC74HC595_HAS_DIRS
#endif
#endif</v>
      </c>
      <c r="F13" s="4" t="str">
        <f t="shared" si="2"/>
        <v>#if ASSERT_PIN_IO(DIR2)
#define io11_config_output mcu_config_output(DIR2)
#define io11_set_output mcu_set_output(DIR2)
#define io11_clear_output mcu_clear_output(DIR2)
#define io11_toggle_output mcu_toggle_output(DIR2)
#define io11_get_output mcu_get_output(DIR2)
#elif ASSERT_PIN_EXTENDED(DIR2)
#define io11_config_output
#define io11_set_output ic74hc595_set_pin(DIR2)
#define io11_clear_output ic74hc595_clear_pin(DIR2)
#define io11_toggle_output ic74hc595_toggle_pin(DIR2)
#define io11_get_output ic74hc595_get_pin(DIR2)
#else
#define io11_config_output
#define io11_set_output
#define io11_clear_output
#define io11_toggle_output
#define io11_get_output -1
#endif</v>
      </c>
    </row>
    <row r="14" spans="1:6" x14ac:dyDescent="0.25">
      <c r="A14" s="4">
        <v>12</v>
      </c>
      <c r="B14" s="4" t="str">
        <f t="shared" si="0"/>
        <v>DIO12</v>
      </c>
      <c r="C14" s="4" t="s">
        <v>18</v>
      </c>
      <c r="D14" s="4" t="s">
        <v>462</v>
      </c>
      <c r="E14" s="4" t="str">
        <f t="shared" si="1"/>
        <v>#ifndef DIR3_IO_OFFSET
#define DIR3_IO_OFFSET -1
#define DIO12_IO_OFFSET -1
#else
#define DIO12_IO_OFFSET DIR3_IO_OFFSET
#ifdef DIR3
#undef DIR3
#endif
#ifdef DIO12
#undef DIO12
#endif
#define DIR3 12
#define DIO12 -12
#define DIR3_IO_BYTEOFFSET (DIR3_IO_OFFSET &gt;&gt; 3)
#define DIR3_IO_BITMASK (1 &lt;&lt; (DIR3_IO_OFFSET &amp; 0x7))
#define DIO12_IO_BYTEOFFSET DIR3_IO_BYTEOFFSET
#define DIO12_IO_BITMASK DIR3_IO_BITMASK
#ifndef IC74HC595_HAS_DIRS
#define IC74HC595_HAS_DIRS
#endif
#endif</v>
      </c>
      <c r="F14" s="4" t="str">
        <f t="shared" si="2"/>
        <v>#if ASSERT_PIN_IO(DIR3)
#define io12_config_output mcu_config_output(DIR3)
#define io12_set_output mcu_set_output(DIR3)
#define io12_clear_output mcu_clear_output(DIR3)
#define io12_toggle_output mcu_toggle_output(DIR3)
#define io12_get_output mcu_get_output(DIR3)
#elif ASSERT_PIN_EXTENDED(DIR3)
#define io12_config_output
#define io12_set_output ic74hc595_set_pin(DIR3)
#define io12_clear_output ic74hc595_clear_pin(DIR3)
#define io12_toggle_output ic74hc595_toggle_pin(DIR3)
#define io12_get_output ic74hc595_get_pin(DIR3)
#else
#define io12_config_output
#define io12_set_output
#define io12_clear_output
#define io12_toggle_output
#define io12_get_output -1
#endif</v>
      </c>
    </row>
    <row r="15" spans="1:6" x14ac:dyDescent="0.25">
      <c r="A15" s="4">
        <v>13</v>
      </c>
      <c r="B15" s="4" t="str">
        <f t="shared" si="0"/>
        <v>DIO13</v>
      </c>
      <c r="C15" s="4" t="s">
        <v>19</v>
      </c>
      <c r="D15" s="4" t="s">
        <v>462</v>
      </c>
      <c r="E15" s="4" t="str">
        <f t="shared" si="1"/>
        <v>#ifndef DIR4_IO_OFFSET
#define DIR4_IO_OFFSET -1
#define DIO13_IO_OFFSET -1
#else
#define DIO13_IO_OFFSET DIR4_IO_OFFSET
#ifdef DIR4
#undef DIR4
#endif
#ifdef DIO13
#undef DIO13
#endif
#define DIR4 13
#define DIO13 -13
#define DIR4_IO_BYTEOFFSET (DIR4_IO_OFFSET &gt;&gt; 3)
#define DIR4_IO_BITMASK (1 &lt;&lt; (DIR4_IO_OFFSET &amp; 0x7))
#define DIO13_IO_BYTEOFFSET DIR4_IO_BYTEOFFSET
#define DIO13_IO_BITMASK DIR4_IO_BITMASK
#ifndef IC74HC595_HAS_DIRS
#define IC74HC595_HAS_DIRS
#endif
#endif</v>
      </c>
      <c r="F15" s="4" t="str">
        <f t="shared" si="2"/>
        <v>#if ASSERT_PIN_IO(DIR4)
#define io13_config_output mcu_config_output(DIR4)
#define io13_set_output mcu_set_output(DIR4)
#define io13_clear_output mcu_clear_output(DIR4)
#define io13_toggle_output mcu_toggle_output(DIR4)
#define io13_get_output mcu_get_output(DIR4)
#elif ASSERT_PIN_EXTENDED(DIR4)
#define io13_config_output
#define io13_set_output ic74hc595_set_pin(DIR4)
#define io13_clear_output ic74hc595_clear_pin(DIR4)
#define io13_toggle_output ic74hc595_toggle_pin(DIR4)
#define io13_get_output ic74hc595_get_pin(DIR4)
#else
#define io13_config_output
#define io13_set_output
#define io13_clear_output
#define io13_toggle_output
#define io13_get_output -1
#endif</v>
      </c>
    </row>
    <row r="16" spans="1:6" x14ac:dyDescent="0.25">
      <c r="A16" s="4">
        <v>14</v>
      </c>
      <c r="B16" s="4" t="str">
        <f t="shared" si="0"/>
        <v>DIO14</v>
      </c>
      <c r="C16" s="4" t="s">
        <v>20</v>
      </c>
      <c r="D16" s="4" t="s">
        <v>462</v>
      </c>
      <c r="E16" s="4" t="str">
        <f t="shared" si="1"/>
        <v>#ifndef DIR5_IO_OFFSET
#define DIR5_IO_OFFSET -1
#define DIO14_IO_OFFSET -1
#else
#define DIO14_IO_OFFSET DIR5_IO_OFFSET
#ifdef DIR5
#undef DIR5
#endif
#ifdef DIO14
#undef DIO14
#endif
#define DIR5 14
#define DIO14 -14
#define DIR5_IO_BYTEOFFSET (DIR5_IO_OFFSET &gt;&gt; 3)
#define DIR5_IO_BITMASK (1 &lt;&lt; (DIR5_IO_OFFSET &amp; 0x7))
#define DIO14_IO_BYTEOFFSET DIR5_IO_BYTEOFFSET
#define DIO14_IO_BITMASK DIR5_IO_BITMASK
#ifndef IC74HC595_HAS_DIRS
#define IC74HC595_HAS_DIRS
#endif
#endif</v>
      </c>
      <c r="F16" s="4" t="str">
        <f t="shared" si="2"/>
        <v>#if ASSERT_PIN_IO(DIR5)
#define io14_config_output mcu_config_output(DIR5)
#define io14_set_output mcu_set_output(DIR5)
#define io14_clear_output mcu_clear_output(DIR5)
#define io14_toggle_output mcu_toggle_output(DIR5)
#define io14_get_output mcu_get_output(DIR5)
#elif ASSERT_PIN_EXTENDED(DIR5)
#define io14_config_output
#define io14_set_output ic74hc595_set_pin(DIR5)
#define io14_clear_output ic74hc595_clear_pin(DIR5)
#define io14_toggle_output ic74hc595_toggle_pin(DIR5)
#define io14_get_output ic74hc595_get_pin(DIR5)
#else
#define io14_config_output
#define io14_set_output
#define io14_clear_output
#define io14_toggle_output
#define io14_get_output -1
#endif</v>
      </c>
    </row>
    <row r="17" spans="1:6" x14ac:dyDescent="0.25">
      <c r="A17" s="4">
        <v>15</v>
      </c>
      <c r="B17" s="4" t="str">
        <f t="shared" si="0"/>
        <v>DIO15</v>
      </c>
      <c r="C17" s="4" t="s">
        <v>228</v>
      </c>
      <c r="D17" s="4" t="s">
        <v>462</v>
      </c>
      <c r="E17" s="4" t="str">
        <f t="shared" si="1"/>
        <v>#ifndef DIR6_IO_OFFSET
#define DIR6_IO_OFFSET -1
#define DIO15_IO_OFFSET -1
#else
#define DIO15_IO_OFFSET DIR6_IO_OFFSET
#ifdef DIR6
#undef DIR6
#endif
#ifdef DIO15
#undef DIO15
#endif
#define DIR6 15
#define DIO15 -15
#define DIR6_IO_BYTEOFFSET (DIR6_IO_OFFSET &gt;&gt; 3)
#define DIR6_IO_BITMASK (1 &lt;&lt; (DIR6_IO_OFFSET &amp; 0x7))
#define DIO15_IO_BYTEOFFSET DIR6_IO_BYTEOFFSET
#define DIO15_IO_BITMASK DIR6_IO_BITMASK
#ifndef IC74HC595_HAS_DIRS
#define IC74HC595_HAS_DIRS
#endif
#endif</v>
      </c>
      <c r="F17" s="4" t="str">
        <f t="shared" si="2"/>
        <v>#if ASSERT_PIN_IO(DIR6)
#define io15_config_output mcu_config_output(DIR6)
#define io15_set_output mcu_set_output(DIR6)
#define io15_clear_output mcu_clear_output(DIR6)
#define io15_toggle_output mcu_toggle_output(DIR6)
#define io15_get_output mcu_get_output(DIR6)
#elif ASSERT_PIN_EXTENDED(DIR6)
#define io15_config_output
#define io15_set_output ic74hc595_set_pin(DIR6)
#define io15_clear_output ic74hc595_clear_pin(DIR6)
#define io15_toggle_output ic74hc595_toggle_pin(DIR6)
#define io15_get_output ic74hc595_get_pin(DIR6)
#else
#define io15_config_output
#define io15_set_output
#define io15_clear_output
#define io15_toggle_output
#define io15_get_output -1
#endif</v>
      </c>
    </row>
    <row r="18" spans="1:6" x14ac:dyDescent="0.25">
      <c r="A18" s="4">
        <v>16</v>
      </c>
      <c r="B18" s="4" t="str">
        <f t="shared" si="0"/>
        <v>DIO16</v>
      </c>
      <c r="C18" s="4" t="s">
        <v>229</v>
      </c>
      <c r="D18" s="4" t="s">
        <v>462</v>
      </c>
      <c r="E18" s="4" t="str">
        <f t="shared" si="1"/>
        <v>#ifndef DIR7_IO_OFFSET
#define DIR7_IO_OFFSET -1
#define DIO16_IO_OFFSET -1
#else
#define DIO16_IO_OFFSET DIR7_IO_OFFSET
#ifdef DIR7
#undef DIR7
#endif
#ifdef DIO16
#undef DIO16
#endif
#define DIR7 16
#define DIO16 -16
#define DIR7_IO_BYTEOFFSET (DIR7_IO_OFFSET &gt;&gt; 3)
#define DIR7_IO_BITMASK (1 &lt;&lt; (DIR7_IO_OFFSET &amp; 0x7))
#define DIO16_IO_BYTEOFFSET DIR7_IO_BYTEOFFSET
#define DIO16_IO_BITMASK DIR7_IO_BITMASK
#ifndef IC74HC595_HAS_DIRS
#define IC74HC595_HAS_DIRS
#endif
#endif</v>
      </c>
      <c r="F18" s="4" t="str">
        <f t="shared" si="2"/>
        <v>#if ASSERT_PIN_IO(DIR7)
#define io16_config_output mcu_config_output(DIR7)
#define io16_set_output mcu_set_output(DIR7)
#define io16_clear_output mcu_clear_output(DIR7)
#define io16_toggle_output mcu_toggle_output(DIR7)
#define io16_get_output mcu_get_output(DIR7)
#elif ASSERT_PIN_EXTENDED(DIR7)
#define io16_config_output
#define io16_set_output ic74hc595_set_pin(DIR7)
#define io16_clear_output ic74hc595_clear_pin(DIR7)
#define io16_toggle_output ic74hc595_toggle_pin(DIR7)
#define io16_get_output ic74hc595_get_pin(DIR7)
#else
#define io16_config_output
#define io16_set_output
#define io16_clear_output
#define io16_toggle_output
#define io16_get_output -1
#endif</v>
      </c>
    </row>
    <row r="19" spans="1:6" x14ac:dyDescent="0.25">
      <c r="A19" s="4">
        <v>17</v>
      </c>
      <c r="B19" s="4" t="str">
        <f t="shared" si="0"/>
        <v>DIO17</v>
      </c>
      <c r="C19" s="4" t="s">
        <v>21</v>
      </c>
      <c r="D19" s="4" t="s">
        <v>463</v>
      </c>
      <c r="E19" s="4" t="str">
        <f t="shared" si="1"/>
        <v>#ifndef STEP0_EN_IO_OFFSET
#define STEP0_EN_IO_OFFSET -1
#define DIO17_IO_OFFSET -1
#else
#define DIO17_IO_OFFSET STEP0_EN_IO_OFFSET
#ifdef STEP0_EN
#undef STEP0_EN
#endif
#ifdef DIO17
#undef DIO17
#endif
#define STEP0_EN 17
#define DIO17 -17
#define STEP0_EN_IO_BYTEOFFSET (STEP0_EN_IO_OFFSET &gt;&gt; 3)
#define STEP0_EN_IO_BITMASK (1 &lt;&lt; (STEP0_EN_IO_OFFSET &amp; 0x7))
#define DIO17_IO_BYTEOFFSET STEP0_EN_IO_BYTEOFFSET
#define DIO17_IO_BITMASK STEP0_EN_IO_BITMASK
#ifndef IC74HC595_HAS_STEPS_EN
#define IC74HC595_HAS_STEPS_EN
#endif
#endif</v>
      </c>
      <c r="F19" s="4" t="str">
        <f t="shared" si="2"/>
        <v>#if ASSERT_PIN_IO(STEP0_EN)
#define io17_config_output mcu_config_output(STEP0_EN)
#define io17_set_output mcu_set_output(STEP0_EN)
#define io17_clear_output mcu_clear_output(STEP0_EN)
#define io17_toggle_output mcu_toggle_output(STEP0_EN)
#define io17_get_output mcu_get_output(STEP0_EN)
#elif ASSERT_PIN_EXTENDED(STEP0_EN)
#define io17_config_output
#define io17_set_output ic74hc595_set_pin(STEP0_EN)
#define io17_clear_output ic74hc595_clear_pin(STEP0_EN)
#define io17_toggle_output ic74hc595_toggle_pin(STEP0_EN)
#define io17_get_output ic74hc595_get_pin(STEP0_EN)
#else
#define io17_config_output
#define io17_set_output
#define io17_clear_output
#define io17_toggle_output
#define io17_get_output -1
#endif</v>
      </c>
    </row>
    <row r="20" spans="1:6" x14ac:dyDescent="0.25">
      <c r="A20" s="4">
        <v>18</v>
      </c>
      <c r="B20" s="4" t="str">
        <f t="shared" si="0"/>
        <v>DIO18</v>
      </c>
      <c r="C20" s="4" t="s">
        <v>22</v>
      </c>
      <c r="D20" s="4" t="s">
        <v>463</v>
      </c>
      <c r="E20" s="4" t="str">
        <f t="shared" si="1"/>
        <v>#ifndef STEP1_EN_IO_OFFSET
#define STEP1_EN_IO_OFFSET -1
#define DIO18_IO_OFFSET -1
#else
#define DIO18_IO_OFFSET STEP1_EN_IO_OFFSET
#ifdef STEP1_EN
#undef STEP1_EN
#endif
#ifdef DIO18
#undef DIO18
#endif
#define STEP1_EN 18
#define DIO18 -18
#define STEP1_EN_IO_BYTEOFFSET (STEP1_EN_IO_OFFSET &gt;&gt; 3)
#define STEP1_EN_IO_BITMASK (1 &lt;&lt; (STEP1_EN_IO_OFFSET &amp; 0x7))
#define DIO18_IO_BYTEOFFSET STEP1_EN_IO_BYTEOFFSET
#define DIO18_IO_BITMASK STEP1_EN_IO_BITMASK
#ifndef IC74HC595_HAS_STEPS_EN
#define IC74HC595_HAS_STEPS_EN
#endif
#endif</v>
      </c>
      <c r="F20" s="4" t="str">
        <f t="shared" si="2"/>
        <v>#if ASSERT_PIN_IO(STEP1_EN)
#define io18_config_output mcu_config_output(STEP1_EN)
#define io18_set_output mcu_set_output(STEP1_EN)
#define io18_clear_output mcu_clear_output(STEP1_EN)
#define io18_toggle_output mcu_toggle_output(STEP1_EN)
#define io18_get_output mcu_get_output(STEP1_EN)
#elif ASSERT_PIN_EXTENDED(STEP1_EN)
#define io18_config_output
#define io18_set_output ic74hc595_set_pin(STEP1_EN)
#define io18_clear_output ic74hc595_clear_pin(STEP1_EN)
#define io18_toggle_output ic74hc595_toggle_pin(STEP1_EN)
#define io18_get_output ic74hc595_get_pin(STEP1_EN)
#else
#define io18_config_output
#define io18_set_output
#define io18_clear_output
#define io18_toggle_output
#define io18_get_output -1
#endif</v>
      </c>
    </row>
    <row r="21" spans="1:6" x14ac:dyDescent="0.25">
      <c r="A21" s="4">
        <v>19</v>
      </c>
      <c r="B21" s="4" t="str">
        <f t="shared" si="0"/>
        <v>DIO19</v>
      </c>
      <c r="C21" s="4" t="s">
        <v>23</v>
      </c>
      <c r="D21" s="4" t="s">
        <v>463</v>
      </c>
      <c r="E21" s="4" t="str">
        <f t="shared" si="1"/>
        <v>#ifndef STEP2_EN_IO_OFFSET
#define STEP2_EN_IO_OFFSET -1
#define DIO19_IO_OFFSET -1
#else
#define DIO19_IO_OFFSET STEP2_EN_IO_OFFSET
#ifdef STEP2_EN
#undef STEP2_EN
#endif
#ifdef DIO19
#undef DIO19
#endif
#define STEP2_EN 19
#define DIO19 -19
#define STEP2_EN_IO_BYTEOFFSET (STEP2_EN_IO_OFFSET &gt;&gt; 3)
#define STEP2_EN_IO_BITMASK (1 &lt;&lt; (STEP2_EN_IO_OFFSET &amp; 0x7))
#define DIO19_IO_BYTEOFFSET STEP2_EN_IO_BYTEOFFSET
#define DIO19_IO_BITMASK STEP2_EN_IO_BITMASK
#ifndef IC74HC595_HAS_STEPS_EN
#define IC74HC595_HAS_STEPS_EN
#endif
#endif</v>
      </c>
      <c r="F21" s="4" t="str">
        <f t="shared" si="2"/>
        <v>#if ASSERT_PIN_IO(STEP2_EN)
#define io19_config_output mcu_config_output(STEP2_EN)
#define io19_set_output mcu_set_output(STEP2_EN)
#define io19_clear_output mcu_clear_output(STEP2_EN)
#define io19_toggle_output mcu_toggle_output(STEP2_EN)
#define io19_get_output mcu_get_output(STEP2_EN)
#elif ASSERT_PIN_EXTENDED(STEP2_EN)
#define io19_config_output
#define io19_set_output ic74hc595_set_pin(STEP2_EN)
#define io19_clear_output ic74hc595_clear_pin(STEP2_EN)
#define io19_toggle_output ic74hc595_toggle_pin(STEP2_EN)
#define io19_get_output ic74hc595_get_pin(STEP2_EN)
#else
#define io19_config_output
#define io19_set_output
#define io19_clear_output
#define io19_toggle_output
#define io19_get_output -1
#endif</v>
      </c>
    </row>
    <row r="22" spans="1:6" x14ac:dyDescent="0.25">
      <c r="A22" s="4">
        <v>20</v>
      </c>
      <c r="B22" s="4" t="str">
        <f t="shared" si="0"/>
        <v>DIO20</v>
      </c>
      <c r="C22" s="4" t="s">
        <v>24</v>
      </c>
      <c r="D22" s="4" t="s">
        <v>463</v>
      </c>
      <c r="E22" s="4" t="str">
        <f t="shared" si="1"/>
        <v>#ifndef STEP3_EN_IO_OFFSET
#define STEP3_EN_IO_OFFSET -1
#define DIO20_IO_OFFSET -1
#else
#define DIO20_IO_OFFSET STEP3_EN_IO_OFFSET
#ifdef STEP3_EN
#undef STEP3_EN
#endif
#ifdef DIO20
#undef DIO20
#endif
#define STEP3_EN 20
#define DIO20 -20
#define STEP3_EN_IO_BYTEOFFSET (STEP3_EN_IO_OFFSET &gt;&gt; 3)
#define STEP3_EN_IO_BITMASK (1 &lt;&lt; (STEP3_EN_IO_OFFSET &amp; 0x7))
#define DIO20_IO_BYTEOFFSET STEP3_EN_IO_BYTEOFFSET
#define DIO20_IO_BITMASK STEP3_EN_IO_BITMASK
#ifndef IC74HC595_HAS_STEPS_EN
#define IC74HC595_HAS_STEPS_EN
#endif
#endif</v>
      </c>
      <c r="F22" s="4" t="str">
        <f t="shared" si="2"/>
        <v>#if ASSERT_PIN_IO(STEP3_EN)
#define io20_config_output mcu_config_output(STEP3_EN)
#define io20_set_output mcu_set_output(STEP3_EN)
#define io20_clear_output mcu_clear_output(STEP3_EN)
#define io20_toggle_output mcu_toggle_output(STEP3_EN)
#define io20_get_output mcu_get_output(STEP3_EN)
#elif ASSERT_PIN_EXTENDED(STEP3_EN)
#define io20_config_output
#define io20_set_output ic74hc595_set_pin(STEP3_EN)
#define io20_clear_output ic74hc595_clear_pin(STEP3_EN)
#define io20_toggle_output ic74hc595_toggle_pin(STEP3_EN)
#define io20_get_output ic74hc595_get_pin(STEP3_EN)
#else
#define io20_config_output
#define io20_set_output
#define io20_clear_output
#define io20_toggle_output
#define io20_get_output -1
#endif</v>
      </c>
    </row>
    <row r="23" spans="1:6" x14ac:dyDescent="0.25">
      <c r="A23" s="4">
        <v>21</v>
      </c>
      <c r="B23" s="4" t="str">
        <f t="shared" si="0"/>
        <v>DIO21</v>
      </c>
      <c r="C23" s="4" t="s">
        <v>25</v>
      </c>
      <c r="D23" s="4" t="s">
        <v>463</v>
      </c>
      <c r="E23" s="4" t="str">
        <f t="shared" si="1"/>
        <v>#ifndef STEP4_EN_IO_OFFSET
#define STEP4_EN_IO_OFFSET -1
#define DIO21_IO_OFFSET -1
#else
#define DIO21_IO_OFFSET STEP4_EN_IO_OFFSET
#ifdef STEP4_EN
#undef STEP4_EN
#endif
#ifdef DIO21
#undef DIO21
#endif
#define STEP4_EN 21
#define DIO21 -21
#define STEP4_EN_IO_BYTEOFFSET (STEP4_EN_IO_OFFSET &gt;&gt; 3)
#define STEP4_EN_IO_BITMASK (1 &lt;&lt; (STEP4_EN_IO_OFFSET &amp; 0x7))
#define DIO21_IO_BYTEOFFSET STEP4_EN_IO_BYTEOFFSET
#define DIO21_IO_BITMASK STEP4_EN_IO_BITMASK
#ifndef IC74HC595_HAS_STEPS_EN
#define IC74HC595_HAS_STEPS_EN
#endif
#endif</v>
      </c>
      <c r="F23" s="4" t="str">
        <f t="shared" si="2"/>
        <v>#if ASSERT_PIN_IO(STEP4_EN)
#define io21_config_output mcu_config_output(STEP4_EN)
#define io21_set_output mcu_set_output(STEP4_EN)
#define io21_clear_output mcu_clear_output(STEP4_EN)
#define io21_toggle_output mcu_toggle_output(STEP4_EN)
#define io21_get_output mcu_get_output(STEP4_EN)
#elif ASSERT_PIN_EXTENDED(STEP4_EN)
#define io21_config_output
#define io21_set_output ic74hc595_set_pin(STEP4_EN)
#define io21_clear_output ic74hc595_clear_pin(STEP4_EN)
#define io21_toggle_output ic74hc595_toggle_pin(STEP4_EN)
#define io21_get_output ic74hc595_get_pin(STEP4_EN)
#else
#define io21_config_output
#define io21_set_output
#define io21_clear_output
#define io21_toggle_output
#define io21_get_output -1
#endif</v>
      </c>
    </row>
    <row r="24" spans="1:6" x14ac:dyDescent="0.25">
      <c r="A24" s="4">
        <v>22</v>
      </c>
      <c r="B24" s="4" t="str">
        <f t="shared" si="0"/>
        <v>DIO22</v>
      </c>
      <c r="C24" s="4" t="s">
        <v>26</v>
      </c>
      <c r="D24" s="4" t="s">
        <v>463</v>
      </c>
      <c r="E24" s="4" t="str">
        <f t="shared" si="1"/>
        <v>#ifndef STEP5_EN_IO_OFFSET
#define STEP5_EN_IO_OFFSET -1
#define DIO22_IO_OFFSET -1
#else
#define DIO22_IO_OFFSET STEP5_EN_IO_OFFSET
#ifdef STEP5_EN
#undef STEP5_EN
#endif
#ifdef DIO22
#undef DIO22
#endif
#define STEP5_EN 22
#define DIO22 -22
#define STEP5_EN_IO_BYTEOFFSET (STEP5_EN_IO_OFFSET &gt;&gt; 3)
#define STEP5_EN_IO_BITMASK (1 &lt;&lt; (STEP5_EN_IO_OFFSET &amp; 0x7))
#define DIO22_IO_BYTEOFFSET STEP5_EN_IO_BYTEOFFSET
#define DIO22_IO_BITMASK STEP5_EN_IO_BITMASK
#ifndef IC74HC595_HAS_STEPS_EN
#define IC74HC595_HAS_STEPS_EN
#endif
#endif</v>
      </c>
      <c r="F24" s="4" t="str">
        <f t="shared" si="2"/>
        <v>#if ASSERT_PIN_IO(STEP5_EN)
#define io22_config_output mcu_config_output(STEP5_EN)
#define io22_set_output mcu_set_output(STEP5_EN)
#define io22_clear_output mcu_clear_output(STEP5_EN)
#define io22_toggle_output mcu_toggle_output(STEP5_EN)
#define io22_get_output mcu_get_output(STEP5_EN)
#elif ASSERT_PIN_EXTENDED(STEP5_EN)
#define io22_config_output
#define io22_set_output ic74hc595_set_pin(STEP5_EN)
#define io22_clear_output ic74hc595_clear_pin(STEP5_EN)
#define io22_toggle_output ic74hc595_toggle_pin(STEP5_EN)
#define io22_get_output ic74hc595_get_pin(STEP5_EN)
#else
#define io22_config_output
#define io22_set_output
#define io22_clear_output
#define io22_toggle_output
#define io22_get_output -1
#endif</v>
      </c>
    </row>
    <row r="25" spans="1:6" x14ac:dyDescent="0.25">
      <c r="A25" s="4">
        <v>23</v>
      </c>
      <c r="B25" s="4" t="str">
        <f t="shared" si="0"/>
        <v>DIO23</v>
      </c>
      <c r="C25" s="4" t="s">
        <v>226</v>
      </c>
      <c r="D25" s="4" t="s">
        <v>463</v>
      </c>
      <c r="E25" s="4" t="str">
        <f t="shared" si="1"/>
        <v>#ifndef STEP6_EN_IO_OFFSET
#define STEP6_EN_IO_OFFSET -1
#define DIO23_IO_OFFSET -1
#else
#define DIO23_IO_OFFSET STEP6_EN_IO_OFFSET
#ifdef STEP6_EN
#undef STEP6_EN
#endif
#ifdef DIO23
#undef DIO23
#endif
#define STEP6_EN 23
#define DIO23 -23
#define STEP6_EN_IO_BYTEOFFSET (STEP6_EN_IO_OFFSET &gt;&gt; 3)
#define STEP6_EN_IO_BITMASK (1 &lt;&lt; (STEP6_EN_IO_OFFSET &amp; 0x7))
#define DIO23_IO_BYTEOFFSET STEP6_EN_IO_BYTEOFFSET
#define DIO23_IO_BITMASK STEP6_EN_IO_BITMASK
#ifndef IC74HC595_HAS_STEPS_EN
#define IC74HC595_HAS_STEPS_EN
#endif
#endif</v>
      </c>
      <c r="F25" s="4" t="str">
        <f t="shared" si="2"/>
        <v>#if ASSERT_PIN_IO(STEP6_EN)
#define io23_config_output mcu_config_output(STEP6_EN)
#define io23_set_output mcu_set_output(STEP6_EN)
#define io23_clear_output mcu_clear_output(STEP6_EN)
#define io23_toggle_output mcu_toggle_output(STEP6_EN)
#define io23_get_output mcu_get_output(STEP6_EN)
#elif ASSERT_PIN_EXTENDED(STEP6_EN)
#define io23_config_output
#define io23_set_output ic74hc595_set_pin(STEP6_EN)
#define io23_clear_output ic74hc595_clear_pin(STEP6_EN)
#define io23_toggle_output ic74hc595_toggle_pin(STEP6_EN)
#define io23_get_output ic74hc595_get_pin(STEP6_EN)
#else
#define io23_config_output
#define io23_set_output
#define io23_clear_output
#define io23_toggle_output
#define io23_get_output -1
#endif</v>
      </c>
    </row>
    <row r="26" spans="1:6" x14ac:dyDescent="0.25">
      <c r="A26" s="4">
        <v>24</v>
      </c>
      <c r="B26" s="4" t="str">
        <f t="shared" si="0"/>
        <v>DIO24</v>
      </c>
      <c r="C26" s="4" t="s">
        <v>227</v>
      </c>
      <c r="D26" s="4" t="s">
        <v>463</v>
      </c>
      <c r="E26" s="4" t="str">
        <f t="shared" si="1"/>
        <v>#ifndef STEP7_EN_IO_OFFSET
#define STEP7_EN_IO_OFFSET -1
#define DIO24_IO_OFFSET -1
#else
#define DIO24_IO_OFFSET STEP7_EN_IO_OFFSET
#ifdef STEP7_EN
#undef STEP7_EN
#endif
#ifdef DIO24
#undef DIO24
#endif
#define STEP7_EN 24
#define DIO24 -24
#define STEP7_EN_IO_BYTEOFFSET (STEP7_EN_IO_OFFSET &gt;&gt; 3)
#define STEP7_EN_IO_BITMASK (1 &lt;&lt; (STEP7_EN_IO_OFFSET &amp; 0x7))
#define DIO24_IO_BYTEOFFSET STEP7_EN_IO_BYTEOFFSET
#define DIO24_IO_BITMASK STEP7_EN_IO_BITMASK
#ifndef IC74HC595_HAS_STEPS_EN
#define IC74HC595_HAS_STEPS_EN
#endif
#endif</v>
      </c>
      <c r="F26" s="4" t="str">
        <f t="shared" si="2"/>
        <v>#if ASSERT_PIN_IO(STEP7_EN)
#define io24_config_output mcu_config_output(STEP7_EN)
#define io24_set_output mcu_set_output(STEP7_EN)
#define io24_clear_output mcu_clear_output(STEP7_EN)
#define io24_toggle_output mcu_toggle_output(STEP7_EN)
#define io24_get_output mcu_get_output(STEP7_EN)
#elif ASSERT_PIN_EXTENDED(STEP7_EN)
#define io24_config_output
#define io24_set_output ic74hc595_set_pin(STEP7_EN)
#define io24_clear_output ic74hc595_clear_pin(STEP7_EN)
#define io24_toggle_output ic74hc595_toggle_pin(STEP7_EN)
#define io24_get_output ic74hc595_get_pin(STEP7_EN)
#else
#define io24_config_output
#define io24_set_output
#define io24_clear_output
#define io24_toggle_output
#define io24_get_output -1
#endif</v>
      </c>
    </row>
    <row r="27" spans="1:6" x14ac:dyDescent="0.25">
      <c r="A27" s="4">
        <v>25</v>
      </c>
      <c r="B27" s="4" t="str">
        <f t="shared" si="0"/>
        <v>DIO25</v>
      </c>
      <c r="C27" s="4" t="s">
        <v>27</v>
      </c>
      <c r="D27" s="4" t="s">
        <v>464</v>
      </c>
      <c r="E27" s="4" t="str">
        <f t="shared" si="1"/>
        <v>#ifndef PWM0_IO_OFFSET
#define PWM0_IO_OFFSET -1
#define DIO25_IO_OFFSET -1
#else
#define DIO25_IO_OFFSET PWM0_IO_OFFSET
#ifdef PWM0
#undef PWM0
#endif
#ifdef DIO25
#undef DIO25
#endif
#define PWM0 25
#define DIO25 -25
#define PWM0_IO_BYTEOFFSET (PWM0_IO_OFFSET &gt;&gt; 3)
#define PWM0_IO_BITMASK (1 &lt;&lt; (PWM0_IO_OFFSET &amp; 0x7))
#define DIO25_IO_BYTEOFFSET PWM0_IO_BYTEOFFSET
#define DIO25_IO_BITMASK PWM0_IO_BITMASK
#ifndef IC74HC595_HAS_PWMS
#define IC74HC595_HAS_PWMS
#endif
#endif</v>
      </c>
      <c r="F27" s="4" t="str">
        <f>"#if ASSERT_PIN_IO("&amp;C27&amp;")
#define io"&amp;A27&amp;"_config_output mcu_config_output("&amp;C27&amp;")
#define io"&amp;A27&amp;"_set_output mcu_set_output("&amp;C27&amp;")
#define io"&amp;A27&amp;"_clear_output mcu_clear_output("&amp;C27&amp;")
#define io"&amp;A27&amp;"_toggle_output mcu_toggle_output("&amp;C27&amp;")
#define io"&amp;A27&amp;"_get_output mcu_get_output("&amp;C27&amp;")
#define io"&amp;A27&amp;"_config_pwm(freq) mcu_config_pwm("&amp;C27&amp;", freq)
#define io"&amp;A27&amp;"_set_pwm(value) mcu_set_pwm("&amp;C27&amp;", value)
#define io"&amp;A27&amp;"_get_pwm mcu_get_pwm("&amp;C27&amp;")
#elif ASSERT_PIN_EXTENDED("&amp;C27&amp;")
#define io"&amp;A27&amp;"_config_output ({})
#define io"&amp;A27&amp;"_set_output ic74hc595_set_pin("&amp;C27&amp;")
#define io"&amp;A27&amp;"_clear_output ic74hc595_clear_pin("&amp;C27&amp;")
#define io"&amp;A27&amp;"_toggle_output ic74hc595_toggle_pin("&amp;C27&amp;")
#define io"&amp;A27&amp;"_get_output ic74hc595_get_pin("&amp;C27&amp;")
#define io"&amp;A27&amp;"_config_pwm(freq)  { io_config_output("&amp;C27&amp;"); g_soft_pwm_res = mcu_softpwm_freq_config(freq); }
#define io"&amp;A27&amp;"_set_pwm(value) { g_io_soft_pwm["&amp;C27&amp;" - PWM_PINS_OFFSET] = (0xFF &amp; value); }
#define io"&amp;A27&amp;"_get_pwm g_io_soft_pwm["&amp;C27&amp;" - PWM_PINS_OFFSET]
#endif"</f>
        <v>#if ASSERT_PIN_IO(PWM0)
#define io25_config_output mcu_config_output(PWM0)
#define io25_set_output mcu_set_output(PWM0)
#define io25_clear_output mcu_clear_output(PWM0)
#define io25_toggle_output mcu_toggle_output(PWM0)
#define io25_get_output mcu_get_output(PWM0)
#define io25_config_pwm(freq) mcu_config_pwm(PWM0, freq)
#define io25_set_pwm(value) mcu_set_pwm(PWM0, value)
#define io25_get_pwm mcu_get_pwm(PWM0)
#elif ASSERT_PIN_EXTENDED(PWM0)
#define io25_config_output ({})
#define io25_set_output ic74hc595_set_pin(PWM0)
#define io25_clear_output ic74hc595_clear_pin(PWM0)
#define io25_toggle_output ic74hc595_toggle_pin(PWM0)
#define io25_get_output ic74hc595_get_pin(PWM0)
#define io25_config_pwm(freq)  { io_config_output(PWM0); g_soft_pwm_res = mcu_softpwm_freq_config(freq); }
#define io25_set_pwm(value) { g_io_soft_pwm[PWM0 - PWM_PINS_OFFSET] = (0xFF &amp; value); }
#define io25_get_pwm g_io_soft_pwm[PWM0 - PWM_PINS_OFFSET]
#endif</v>
      </c>
    </row>
    <row r="28" spans="1:6" x14ac:dyDescent="0.25">
      <c r="A28" s="4">
        <v>26</v>
      </c>
      <c r="B28" s="4" t="str">
        <f t="shared" si="0"/>
        <v>DIO26</v>
      </c>
      <c r="C28" s="4" t="s">
        <v>28</v>
      </c>
      <c r="D28" s="4" t="s">
        <v>464</v>
      </c>
      <c r="E28" s="4" t="str">
        <f t="shared" si="1"/>
        <v>#ifndef PWM1_IO_OFFSET
#define PWM1_IO_OFFSET -1
#define DIO26_IO_OFFSET -1
#else
#define DIO26_IO_OFFSET PWM1_IO_OFFSET
#ifdef PWM1
#undef PWM1
#endif
#ifdef DIO26
#undef DIO26
#endif
#define PWM1 26
#define DIO26 -26
#define PWM1_IO_BYTEOFFSET (PWM1_IO_OFFSET &gt;&gt; 3)
#define PWM1_IO_BITMASK (1 &lt;&lt; (PWM1_IO_OFFSET &amp; 0x7))
#define DIO26_IO_BYTEOFFSET PWM1_IO_BYTEOFFSET
#define DIO26_IO_BITMASK PWM1_IO_BITMASK
#ifndef IC74HC595_HAS_PWMS
#define IC74HC595_HAS_PWMS
#endif
#endif</v>
      </c>
      <c r="F28" s="4" t="str">
        <f t="shared" ref="F28:F42" si="3">"#if ASSERT_PIN_IO("&amp;C28&amp;")
#define io"&amp;A28&amp;"_config_output mcu_config_output("&amp;C28&amp;")
#define io"&amp;A28&amp;"_set_output mcu_set_output("&amp;C28&amp;")
#define io"&amp;A28&amp;"_clear_output mcu_clear_output("&amp;C28&amp;")
#define io"&amp;A28&amp;"_toggle_output mcu_toggle_output("&amp;C28&amp;")
#define io"&amp;A28&amp;"_get_output mcu_get_output("&amp;C28&amp;")
#define io"&amp;A28&amp;"_config_pwm(freq) mcu_config_pwm("&amp;C28&amp;", freq)
#define io"&amp;A28&amp;"_set_pwm(value) mcu_set_pwm("&amp;C28&amp;", value)
#define io"&amp;A28&amp;"_get_pwm mcu_get_pwm("&amp;C28&amp;")
#elif ASSERT_PIN_EXTENDED("&amp;C28&amp;")
#define io"&amp;A28&amp;"_config_output ({})
#define io"&amp;A28&amp;"_set_output ic74hc595_set_pin("&amp;C28&amp;")
#define io"&amp;A28&amp;"_clear_output ic74hc595_clear_pin("&amp;C28&amp;")
#define io"&amp;A28&amp;"_toggle_output ic74hc595_toggle_pin("&amp;C28&amp;")
#define io"&amp;A28&amp;"_get_output ic74hc595_get_pin("&amp;C28&amp;")
#define io"&amp;A28&amp;"_config_pwm(freq)  { io_config_output("&amp;C28&amp;"); g_soft_pwm_res = mcu_softpwm_freq_config(freq); }
#define io"&amp;A28&amp;"_set_pwm(value) { g_io_soft_pwm["&amp;C28&amp;" - PWM_PINS_OFFSET] = (0xFF &amp; value); }
#define io"&amp;A28&amp;"_get_pwm g_io_soft_pwm["&amp;C28&amp;" - PWM_PINS_OFFSET]
#endif"</f>
        <v>#if ASSERT_PIN_IO(PWM1)
#define io26_config_output mcu_config_output(PWM1)
#define io26_set_output mcu_set_output(PWM1)
#define io26_clear_output mcu_clear_output(PWM1)
#define io26_toggle_output mcu_toggle_output(PWM1)
#define io26_get_output mcu_get_output(PWM1)
#define io26_config_pwm(freq) mcu_config_pwm(PWM1, freq)
#define io26_set_pwm(value) mcu_set_pwm(PWM1, value)
#define io26_get_pwm mcu_get_pwm(PWM1)
#elif ASSERT_PIN_EXTENDED(PWM1)
#define io26_config_output ({})
#define io26_set_output ic74hc595_set_pin(PWM1)
#define io26_clear_output ic74hc595_clear_pin(PWM1)
#define io26_toggle_output ic74hc595_toggle_pin(PWM1)
#define io26_get_output ic74hc595_get_pin(PWM1)
#define io26_config_pwm(freq)  { io_config_output(PWM1); g_soft_pwm_res = mcu_softpwm_freq_config(freq); }
#define io26_set_pwm(value) { g_io_soft_pwm[PWM1 - PWM_PINS_OFFSET] = (0xFF &amp; value); }
#define io26_get_pwm g_io_soft_pwm[PWM1 - PWM_PINS_OFFSET]
#endif</v>
      </c>
    </row>
    <row r="29" spans="1:6" x14ac:dyDescent="0.25">
      <c r="A29" s="4">
        <v>27</v>
      </c>
      <c r="B29" s="4" t="str">
        <f t="shared" si="0"/>
        <v>DIO27</v>
      </c>
      <c r="C29" s="4" t="s">
        <v>29</v>
      </c>
      <c r="D29" s="4" t="s">
        <v>464</v>
      </c>
      <c r="E29" s="4" t="str">
        <f t="shared" si="1"/>
        <v>#ifndef PWM2_IO_OFFSET
#define PWM2_IO_OFFSET -1
#define DIO27_IO_OFFSET -1
#else
#define DIO27_IO_OFFSET PWM2_IO_OFFSET
#ifdef PWM2
#undef PWM2
#endif
#ifdef DIO27
#undef DIO27
#endif
#define PWM2 27
#define DIO27 -27
#define PWM2_IO_BYTEOFFSET (PWM2_IO_OFFSET &gt;&gt; 3)
#define PWM2_IO_BITMASK (1 &lt;&lt; (PWM2_IO_OFFSET &amp; 0x7))
#define DIO27_IO_BYTEOFFSET PWM2_IO_BYTEOFFSET
#define DIO27_IO_BITMASK PWM2_IO_BITMASK
#ifndef IC74HC595_HAS_PWMS
#define IC74HC595_HAS_PWMS
#endif
#endif</v>
      </c>
      <c r="F29" s="4" t="str">
        <f t="shared" si="3"/>
        <v>#if ASSERT_PIN_IO(PWM2)
#define io27_config_output mcu_config_output(PWM2)
#define io27_set_output mcu_set_output(PWM2)
#define io27_clear_output mcu_clear_output(PWM2)
#define io27_toggle_output mcu_toggle_output(PWM2)
#define io27_get_output mcu_get_output(PWM2)
#define io27_config_pwm(freq) mcu_config_pwm(PWM2, freq)
#define io27_set_pwm(value) mcu_set_pwm(PWM2, value)
#define io27_get_pwm mcu_get_pwm(PWM2)
#elif ASSERT_PIN_EXTENDED(PWM2)
#define io27_config_output ({})
#define io27_set_output ic74hc595_set_pin(PWM2)
#define io27_clear_output ic74hc595_clear_pin(PWM2)
#define io27_toggle_output ic74hc595_toggle_pin(PWM2)
#define io27_get_output ic74hc595_get_pin(PWM2)
#define io27_config_pwm(freq)  { io_config_output(PWM2); g_soft_pwm_res = mcu_softpwm_freq_config(freq); }
#define io27_set_pwm(value) { g_io_soft_pwm[PWM2 - PWM_PINS_OFFSET] = (0xFF &amp; value); }
#define io27_get_pwm g_io_soft_pwm[PWM2 - PWM_PINS_OFFSET]
#endif</v>
      </c>
    </row>
    <row r="30" spans="1:6" x14ac:dyDescent="0.25">
      <c r="A30" s="4">
        <v>28</v>
      </c>
      <c r="B30" s="4" t="str">
        <f t="shared" si="0"/>
        <v>DIO28</v>
      </c>
      <c r="C30" s="4" t="s">
        <v>30</v>
      </c>
      <c r="D30" s="4" t="s">
        <v>464</v>
      </c>
      <c r="E30" s="4" t="str">
        <f t="shared" si="1"/>
        <v>#ifndef PWM3_IO_OFFSET
#define PWM3_IO_OFFSET -1
#define DIO28_IO_OFFSET -1
#else
#define DIO28_IO_OFFSET PWM3_IO_OFFSET
#ifdef PWM3
#undef PWM3
#endif
#ifdef DIO28
#undef DIO28
#endif
#define PWM3 28
#define DIO28 -28
#define PWM3_IO_BYTEOFFSET (PWM3_IO_OFFSET &gt;&gt; 3)
#define PWM3_IO_BITMASK (1 &lt;&lt; (PWM3_IO_OFFSET &amp; 0x7))
#define DIO28_IO_BYTEOFFSET PWM3_IO_BYTEOFFSET
#define DIO28_IO_BITMASK PWM3_IO_BITMASK
#ifndef IC74HC595_HAS_PWMS
#define IC74HC595_HAS_PWMS
#endif
#endif</v>
      </c>
      <c r="F30" s="4" t="str">
        <f t="shared" si="3"/>
        <v>#if ASSERT_PIN_IO(PWM3)
#define io28_config_output mcu_config_output(PWM3)
#define io28_set_output mcu_set_output(PWM3)
#define io28_clear_output mcu_clear_output(PWM3)
#define io28_toggle_output mcu_toggle_output(PWM3)
#define io28_get_output mcu_get_output(PWM3)
#define io28_config_pwm(freq) mcu_config_pwm(PWM3, freq)
#define io28_set_pwm(value) mcu_set_pwm(PWM3, value)
#define io28_get_pwm mcu_get_pwm(PWM3)
#elif ASSERT_PIN_EXTENDED(PWM3)
#define io28_config_output ({})
#define io28_set_output ic74hc595_set_pin(PWM3)
#define io28_clear_output ic74hc595_clear_pin(PWM3)
#define io28_toggle_output ic74hc595_toggle_pin(PWM3)
#define io28_get_output ic74hc595_get_pin(PWM3)
#define io28_config_pwm(freq)  { io_config_output(PWM3); g_soft_pwm_res = mcu_softpwm_freq_config(freq); }
#define io28_set_pwm(value) { g_io_soft_pwm[PWM3 - PWM_PINS_OFFSET] = (0xFF &amp; value); }
#define io28_get_pwm g_io_soft_pwm[PWM3 - PWM_PINS_OFFSET]
#endif</v>
      </c>
    </row>
    <row r="31" spans="1:6" x14ac:dyDescent="0.25">
      <c r="A31" s="4">
        <v>29</v>
      </c>
      <c r="B31" s="4" t="str">
        <f t="shared" si="0"/>
        <v>DIO29</v>
      </c>
      <c r="C31" s="4" t="s">
        <v>31</v>
      </c>
      <c r="D31" s="4" t="s">
        <v>464</v>
      </c>
      <c r="E31" s="4" t="str">
        <f t="shared" si="1"/>
        <v>#ifndef PWM4_IO_OFFSET
#define PWM4_IO_OFFSET -1
#define DIO29_IO_OFFSET -1
#else
#define DIO29_IO_OFFSET PWM4_IO_OFFSET
#ifdef PWM4
#undef PWM4
#endif
#ifdef DIO29
#undef DIO29
#endif
#define PWM4 29
#define DIO29 -29
#define PWM4_IO_BYTEOFFSET (PWM4_IO_OFFSET &gt;&gt; 3)
#define PWM4_IO_BITMASK (1 &lt;&lt; (PWM4_IO_OFFSET &amp; 0x7))
#define DIO29_IO_BYTEOFFSET PWM4_IO_BYTEOFFSET
#define DIO29_IO_BITMASK PWM4_IO_BITMASK
#ifndef IC74HC595_HAS_PWMS
#define IC74HC595_HAS_PWMS
#endif
#endif</v>
      </c>
      <c r="F31" s="4" t="str">
        <f t="shared" si="3"/>
        <v>#if ASSERT_PIN_IO(PWM4)
#define io29_config_output mcu_config_output(PWM4)
#define io29_set_output mcu_set_output(PWM4)
#define io29_clear_output mcu_clear_output(PWM4)
#define io29_toggle_output mcu_toggle_output(PWM4)
#define io29_get_output mcu_get_output(PWM4)
#define io29_config_pwm(freq) mcu_config_pwm(PWM4, freq)
#define io29_set_pwm(value) mcu_set_pwm(PWM4, value)
#define io29_get_pwm mcu_get_pwm(PWM4)
#elif ASSERT_PIN_EXTENDED(PWM4)
#define io29_config_output ({})
#define io29_set_output ic74hc595_set_pin(PWM4)
#define io29_clear_output ic74hc595_clear_pin(PWM4)
#define io29_toggle_output ic74hc595_toggle_pin(PWM4)
#define io29_get_output ic74hc595_get_pin(PWM4)
#define io29_config_pwm(freq)  { io_config_output(PWM4); g_soft_pwm_res = mcu_softpwm_freq_config(freq); }
#define io29_set_pwm(value) { g_io_soft_pwm[PWM4 - PWM_PINS_OFFSET] = (0xFF &amp; value); }
#define io29_get_pwm g_io_soft_pwm[PWM4 - PWM_PINS_OFFSET]
#endif</v>
      </c>
    </row>
    <row r="32" spans="1:6" x14ac:dyDescent="0.25">
      <c r="A32" s="4">
        <v>30</v>
      </c>
      <c r="B32" s="4" t="str">
        <f t="shared" si="0"/>
        <v>DIO30</v>
      </c>
      <c r="C32" s="4" t="s">
        <v>32</v>
      </c>
      <c r="D32" s="4" t="s">
        <v>464</v>
      </c>
      <c r="E32" s="4" t="str">
        <f t="shared" si="1"/>
        <v>#ifndef PWM5_IO_OFFSET
#define PWM5_IO_OFFSET -1
#define DIO30_IO_OFFSET -1
#else
#define DIO30_IO_OFFSET PWM5_IO_OFFSET
#ifdef PWM5
#undef PWM5
#endif
#ifdef DIO30
#undef DIO30
#endif
#define PWM5 30
#define DIO30 -30
#define PWM5_IO_BYTEOFFSET (PWM5_IO_OFFSET &gt;&gt; 3)
#define PWM5_IO_BITMASK (1 &lt;&lt; (PWM5_IO_OFFSET &amp; 0x7))
#define DIO30_IO_BYTEOFFSET PWM5_IO_BYTEOFFSET
#define DIO30_IO_BITMASK PWM5_IO_BITMASK
#ifndef IC74HC595_HAS_PWMS
#define IC74HC595_HAS_PWMS
#endif
#endif</v>
      </c>
      <c r="F32" s="4" t="str">
        <f t="shared" si="3"/>
        <v>#if ASSERT_PIN_IO(PWM5)
#define io30_config_output mcu_config_output(PWM5)
#define io30_set_output mcu_set_output(PWM5)
#define io30_clear_output mcu_clear_output(PWM5)
#define io30_toggle_output mcu_toggle_output(PWM5)
#define io30_get_output mcu_get_output(PWM5)
#define io30_config_pwm(freq) mcu_config_pwm(PWM5, freq)
#define io30_set_pwm(value) mcu_set_pwm(PWM5, value)
#define io30_get_pwm mcu_get_pwm(PWM5)
#elif ASSERT_PIN_EXTENDED(PWM5)
#define io30_config_output ({})
#define io30_set_output ic74hc595_set_pin(PWM5)
#define io30_clear_output ic74hc595_clear_pin(PWM5)
#define io30_toggle_output ic74hc595_toggle_pin(PWM5)
#define io30_get_output ic74hc595_get_pin(PWM5)
#define io30_config_pwm(freq)  { io_config_output(PWM5); g_soft_pwm_res = mcu_softpwm_freq_config(freq); }
#define io30_set_pwm(value) { g_io_soft_pwm[PWM5 - PWM_PINS_OFFSET] = (0xFF &amp; value); }
#define io30_get_pwm g_io_soft_pwm[PWM5 - PWM_PINS_OFFSET]
#endif</v>
      </c>
    </row>
    <row r="33" spans="1:6" x14ac:dyDescent="0.25">
      <c r="A33" s="4">
        <v>31</v>
      </c>
      <c r="B33" s="4" t="str">
        <f t="shared" si="0"/>
        <v>DIO31</v>
      </c>
      <c r="C33" s="4" t="s">
        <v>33</v>
      </c>
      <c r="D33" s="4" t="s">
        <v>464</v>
      </c>
      <c r="E33" s="4" t="str">
        <f t="shared" si="1"/>
        <v>#ifndef PWM6_IO_OFFSET
#define PWM6_IO_OFFSET -1
#define DIO31_IO_OFFSET -1
#else
#define DIO31_IO_OFFSET PWM6_IO_OFFSET
#ifdef PWM6
#undef PWM6
#endif
#ifdef DIO31
#undef DIO31
#endif
#define PWM6 31
#define DIO31 -31
#define PWM6_IO_BYTEOFFSET (PWM6_IO_OFFSET &gt;&gt; 3)
#define PWM6_IO_BITMASK (1 &lt;&lt; (PWM6_IO_OFFSET &amp; 0x7))
#define DIO31_IO_BYTEOFFSET PWM6_IO_BYTEOFFSET
#define DIO31_IO_BITMASK PWM6_IO_BITMASK
#ifndef IC74HC595_HAS_PWMS
#define IC74HC595_HAS_PWMS
#endif
#endif</v>
      </c>
      <c r="F33" s="4" t="str">
        <f t="shared" si="3"/>
        <v>#if ASSERT_PIN_IO(PWM6)
#define io31_config_output mcu_config_output(PWM6)
#define io31_set_output mcu_set_output(PWM6)
#define io31_clear_output mcu_clear_output(PWM6)
#define io31_toggle_output mcu_toggle_output(PWM6)
#define io31_get_output mcu_get_output(PWM6)
#define io31_config_pwm(freq) mcu_config_pwm(PWM6, freq)
#define io31_set_pwm(value) mcu_set_pwm(PWM6, value)
#define io31_get_pwm mcu_get_pwm(PWM6)
#elif ASSERT_PIN_EXTENDED(PWM6)
#define io31_config_output ({})
#define io31_set_output ic74hc595_set_pin(PWM6)
#define io31_clear_output ic74hc595_clear_pin(PWM6)
#define io31_toggle_output ic74hc595_toggle_pin(PWM6)
#define io31_get_output ic74hc595_get_pin(PWM6)
#define io31_config_pwm(freq)  { io_config_output(PWM6); g_soft_pwm_res = mcu_softpwm_freq_config(freq); }
#define io31_set_pwm(value) { g_io_soft_pwm[PWM6 - PWM_PINS_OFFSET] = (0xFF &amp; value); }
#define io31_get_pwm g_io_soft_pwm[PWM6 - PWM_PINS_OFFSET]
#endif</v>
      </c>
    </row>
    <row r="34" spans="1:6" x14ac:dyDescent="0.25">
      <c r="A34" s="4">
        <v>32</v>
      </c>
      <c r="B34" s="4" t="str">
        <f t="shared" si="0"/>
        <v>DIO32</v>
      </c>
      <c r="C34" s="4" t="s">
        <v>34</v>
      </c>
      <c r="D34" s="4" t="s">
        <v>464</v>
      </c>
      <c r="E34" s="4" t="str">
        <f t="shared" si="1"/>
        <v>#ifndef PWM7_IO_OFFSET
#define PWM7_IO_OFFSET -1
#define DIO32_IO_OFFSET -1
#else
#define DIO32_IO_OFFSET PWM7_IO_OFFSET
#ifdef PWM7
#undef PWM7
#endif
#ifdef DIO32
#undef DIO32
#endif
#define PWM7 32
#define DIO32 -32
#define PWM7_IO_BYTEOFFSET (PWM7_IO_OFFSET &gt;&gt; 3)
#define PWM7_IO_BITMASK (1 &lt;&lt; (PWM7_IO_OFFSET &amp; 0x7))
#define DIO32_IO_BYTEOFFSET PWM7_IO_BYTEOFFSET
#define DIO32_IO_BITMASK PWM7_IO_BITMASK
#ifndef IC74HC595_HAS_PWMS
#define IC74HC595_HAS_PWMS
#endif
#endif</v>
      </c>
      <c r="F34" s="4" t="str">
        <f t="shared" si="3"/>
        <v>#if ASSERT_PIN_IO(PWM7)
#define io32_config_output mcu_config_output(PWM7)
#define io32_set_output mcu_set_output(PWM7)
#define io32_clear_output mcu_clear_output(PWM7)
#define io32_toggle_output mcu_toggle_output(PWM7)
#define io32_get_output mcu_get_output(PWM7)
#define io32_config_pwm(freq) mcu_config_pwm(PWM7, freq)
#define io32_set_pwm(value) mcu_set_pwm(PWM7, value)
#define io32_get_pwm mcu_get_pwm(PWM7)
#elif ASSERT_PIN_EXTENDED(PWM7)
#define io32_config_output ({})
#define io32_set_output ic74hc595_set_pin(PWM7)
#define io32_clear_output ic74hc595_clear_pin(PWM7)
#define io32_toggle_output ic74hc595_toggle_pin(PWM7)
#define io32_get_output ic74hc595_get_pin(PWM7)
#define io32_config_pwm(freq)  { io_config_output(PWM7); g_soft_pwm_res = mcu_softpwm_freq_config(freq); }
#define io32_set_pwm(value) { g_io_soft_pwm[PWM7 - PWM_PINS_OFFSET] = (0xFF &amp; value); }
#define io32_get_pwm g_io_soft_pwm[PWM7 - PWM_PINS_OFFSET]
#endif</v>
      </c>
    </row>
    <row r="35" spans="1:6" x14ac:dyDescent="0.25">
      <c r="A35" s="4">
        <v>33</v>
      </c>
      <c r="B35" s="4" t="str">
        <f t="shared" si="0"/>
        <v>DIO33</v>
      </c>
      <c r="C35" s="4" t="s">
        <v>35</v>
      </c>
      <c r="D35" s="4" t="s">
        <v>464</v>
      </c>
      <c r="E35" s="4" t="str">
        <f t="shared" si="1"/>
        <v>#ifndef PWM8_IO_OFFSET
#define PWM8_IO_OFFSET -1
#define DIO33_IO_OFFSET -1
#else
#define DIO33_IO_OFFSET PWM8_IO_OFFSET
#ifdef PWM8
#undef PWM8
#endif
#ifdef DIO33
#undef DIO33
#endif
#define PWM8 33
#define DIO33 -33
#define PWM8_IO_BYTEOFFSET (PWM8_IO_OFFSET &gt;&gt; 3)
#define PWM8_IO_BITMASK (1 &lt;&lt; (PWM8_IO_OFFSET &amp; 0x7))
#define DIO33_IO_BYTEOFFSET PWM8_IO_BYTEOFFSET
#define DIO33_IO_BITMASK PWM8_IO_BITMASK
#ifndef IC74HC595_HAS_PWMS
#define IC74HC595_HAS_PWMS
#endif
#endif</v>
      </c>
      <c r="F35" s="4" t="str">
        <f t="shared" si="3"/>
        <v>#if ASSERT_PIN_IO(PWM8)
#define io33_config_output mcu_config_output(PWM8)
#define io33_set_output mcu_set_output(PWM8)
#define io33_clear_output mcu_clear_output(PWM8)
#define io33_toggle_output mcu_toggle_output(PWM8)
#define io33_get_output mcu_get_output(PWM8)
#define io33_config_pwm(freq) mcu_config_pwm(PWM8, freq)
#define io33_set_pwm(value) mcu_set_pwm(PWM8, value)
#define io33_get_pwm mcu_get_pwm(PWM8)
#elif ASSERT_PIN_EXTENDED(PWM8)
#define io33_config_output ({})
#define io33_set_output ic74hc595_set_pin(PWM8)
#define io33_clear_output ic74hc595_clear_pin(PWM8)
#define io33_toggle_output ic74hc595_toggle_pin(PWM8)
#define io33_get_output ic74hc595_get_pin(PWM8)
#define io33_config_pwm(freq)  { io_config_output(PWM8); g_soft_pwm_res = mcu_softpwm_freq_config(freq); }
#define io33_set_pwm(value) { g_io_soft_pwm[PWM8 - PWM_PINS_OFFSET] = (0xFF &amp; value); }
#define io33_get_pwm g_io_soft_pwm[PWM8 - PWM_PINS_OFFSET]
#endif</v>
      </c>
    </row>
    <row r="36" spans="1:6" x14ac:dyDescent="0.25">
      <c r="A36" s="4">
        <v>34</v>
      </c>
      <c r="B36" s="4" t="str">
        <f t="shared" si="0"/>
        <v>DIO34</v>
      </c>
      <c r="C36" s="4" t="s">
        <v>36</v>
      </c>
      <c r="D36" s="4" t="s">
        <v>464</v>
      </c>
      <c r="E36" s="4" t="str">
        <f t="shared" si="1"/>
        <v>#ifndef PWM9_IO_OFFSET
#define PWM9_IO_OFFSET -1
#define DIO34_IO_OFFSET -1
#else
#define DIO34_IO_OFFSET PWM9_IO_OFFSET
#ifdef PWM9
#undef PWM9
#endif
#ifdef DIO34
#undef DIO34
#endif
#define PWM9 34
#define DIO34 -34
#define PWM9_IO_BYTEOFFSET (PWM9_IO_OFFSET &gt;&gt; 3)
#define PWM9_IO_BITMASK (1 &lt;&lt; (PWM9_IO_OFFSET &amp; 0x7))
#define DIO34_IO_BYTEOFFSET PWM9_IO_BYTEOFFSET
#define DIO34_IO_BITMASK PWM9_IO_BITMASK
#ifndef IC74HC595_HAS_PWMS
#define IC74HC595_HAS_PWMS
#endif
#endif</v>
      </c>
      <c r="F36" s="4" t="str">
        <f t="shared" si="3"/>
        <v>#if ASSERT_PIN_IO(PWM9)
#define io34_config_output mcu_config_output(PWM9)
#define io34_set_output mcu_set_output(PWM9)
#define io34_clear_output mcu_clear_output(PWM9)
#define io34_toggle_output mcu_toggle_output(PWM9)
#define io34_get_output mcu_get_output(PWM9)
#define io34_config_pwm(freq) mcu_config_pwm(PWM9, freq)
#define io34_set_pwm(value) mcu_set_pwm(PWM9, value)
#define io34_get_pwm mcu_get_pwm(PWM9)
#elif ASSERT_PIN_EXTENDED(PWM9)
#define io34_config_output ({})
#define io34_set_output ic74hc595_set_pin(PWM9)
#define io34_clear_output ic74hc595_clear_pin(PWM9)
#define io34_toggle_output ic74hc595_toggle_pin(PWM9)
#define io34_get_output ic74hc595_get_pin(PWM9)
#define io34_config_pwm(freq)  { io_config_output(PWM9); g_soft_pwm_res = mcu_softpwm_freq_config(freq); }
#define io34_set_pwm(value) { g_io_soft_pwm[PWM9 - PWM_PINS_OFFSET] = (0xFF &amp; value); }
#define io34_get_pwm g_io_soft_pwm[PWM9 - PWM_PINS_OFFSET]
#endif</v>
      </c>
    </row>
    <row r="37" spans="1:6" x14ac:dyDescent="0.25">
      <c r="A37" s="4">
        <v>35</v>
      </c>
      <c r="B37" s="4" t="str">
        <f t="shared" si="0"/>
        <v>DIO35</v>
      </c>
      <c r="C37" s="4" t="s">
        <v>37</v>
      </c>
      <c r="D37" s="4" t="s">
        <v>464</v>
      </c>
      <c r="E37" s="4" t="str">
        <f t="shared" si="1"/>
        <v>#ifndef PWM10_IO_OFFSET
#define PWM10_IO_OFFSET -1
#define DIO35_IO_OFFSET -1
#else
#define DIO35_IO_OFFSET PWM10_IO_OFFSET
#ifdef PWM10
#undef PWM10
#endif
#ifdef DIO35
#undef DIO35
#endif
#define PWM10 35
#define DIO35 -35
#define PWM10_IO_BYTEOFFSET (PWM10_IO_OFFSET &gt;&gt; 3)
#define PWM10_IO_BITMASK (1 &lt;&lt; (PWM10_IO_OFFSET &amp; 0x7))
#define DIO35_IO_BYTEOFFSET PWM10_IO_BYTEOFFSET
#define DIO35_IO_BITMASK PWM10_IO_BITMASK
#ifndef IC74HC595_HAS_PWMS
#define IC74HC595_HAS_PWMS
#endif
#endif</v>
      </c>
      <c r="F37" s="4" t="str">
        <f t="shared" si="3"/>
        <v>#if ASSERT_PIN_IO(PWM10)
#define io35_config_output mcu_config_output(PWM10)
#define io35_set_output mcu_set_output(PWM10)
#define io35_clear_output mcu_clear_output(PWM10)
#define io35_toggle_output mcu_toggle_output(PWM10)
#define io35_get_output mcu_get_output(PWM10)
#define io35_config_pwm(freq) mcu_config_pwm(PWM10, freq)
#define io35_set_pwm(value) mcu_set_pwm(PWM10, value)
#define io35_get_pwm mcu_get_pwm(PWM10)
#elif ASSERT_PIN_EXTENDED(PWM10)
#define io35_config_output ({})
#define io35_set_output ic74hc595_set_pin(PWM10)
#define io35_clear_output ic74hc595_clear_pin(PWM10)
#define io35_toggle_output ic74hc595_toggle_pin(PWM10)
#define io35_get_output ic74hc595_get_pin(PWM10)
#define io35_config_pwm(freq)  { io_config_output(PWM10); g_soft_pwm_res = mcu_softpwm_freq_config(freq); }
#define io35_set_pwm(value) { g_io_soft_pwm[PWM10 - PWM_PINS_OFFSET] = (0xFF &amp; value); }
#define io35_get_pwm g_io_soft_pwm[PWM10 - PWM_PINS_OFFSET]
#endif</v>
      </c>
    </row>
    <row r="38" spans="1:6" x14ac:dyDescent="0.25">
      <c r="A38" s="4">
        <v>36</v>
      </c>
      <c r="B38" s="4" t="str">
        <f t="shared" si="0"/>
        <v>DIO36</v>
      </c>
      <c r="C38" s="4" t="s">
        <v>38</v>
      </c>
      <c r="D38" s="4" t="s">
        <v>464</v>
      </c>
      <c r="E38" s="4" t="str">
        <f t="shared" si="1"/>
        <v>#ifndef PWM11_IO_OFFSET
#define PWM11_IO_OFFSET -1
#define DIO36_IO_OFFSET -1
#else
#define DIO36_IO_OFFSET PWM11_IO_OFFSET
#ifdef PWM11
#undef PWM11
#endif
#ifdef DIO36
#undef DIO36
#endif
#define PWM11 36
#define DIO36 -36
#define PWM11_IO_BYTEOFFSET (PWM11_IO_OFFSET &gt;&gt; 3)
#define PWM11_IO_BITMASK (1 &lt;&lt; (PWM11_IO_OFFSET &amp; 0x7))
#define DIO36_IO_BYTEOFFSET PWM11_IO_BYTEOFFSET
#define DIO36_IO_BITMASK PWM11_IO_BITMASK
#ifndef IC74HC595_HAS_PWMS
#define IC74HC595_HAS_PWMS
#endif
#endif</v>
      </c>
      <c r="F38" s="4" t="str">
        <f t="shared" si="3"/>
        <v>#if ASSERT_PIN_IO(PWM11)
#define io36_config_output mcu_config_output(PWM11)
#define io36_set_output mcu_set_output(PWM11)
#define io36_clear_output mcu_clear_output(PWM11)
#define io36_toggle_output mcu_toggle_output(PWM11)
#define io36_get_output mcu_get_output(PWM11)
#define io36_config_pwm(freq) mcu_config_pwm(PWM11, freq)
#define io36_set_pwm(value) mcu_set_pwm(PWM11, value)
#define io36_get_pwm mcu_get_pwm(PWM11)
#elif ASSERT_PIN_EXTENDED(PWM11)
#define io36_config_output ({})
#define io36_set_output ic74hc595_set_pin(PWM11)
#define io36_clear_output ic74hc595_clear_pin(PWM11)
#define io36_toggle_output ic74hc595_toggle_pin(PWM11)
#define io36_get_output ic74hc595_get_pin(PWM11)
#define io36_config_pwm(freq)  { io_config_output(PWM11); g_soft_pwm_res = mcu_softpwm_freq_config(freq); }
#define io36_set_pwm(value) { g_io_soft_pwm[PWM11 - PWM_PINS_OFFSET] = (0xFF &amp; value); }
#define io36_get_pwm g_io_soft_pwm[PWM11 - PWM_PINS_OFFSET]
#endif</v>
      </c>
    </row>
    <row r="39" spans="1:6" x14ac:dyDescent="0.25">
      <c r="A39" s="4">
        <v>37</v>
      </c>
      <c r="B39" s="4" t="str">
        <f t="shared" si="0"/>
        <v>DIO37</v>
      </c>
      <c r="C39" s="4" t="s">
        <v>39</v>
      </c>
      <c r="D39" s="4" t="s">
        <v>464</v>
      </c>
      <c r="E39" s="4" t="str">
        <f t="shared" si="1"/>
        <v>#ifndef PWM12_IO_OFFSET
#define PWM12_IO_OFFSET -1
#define DIO37_IO_OFFSET -1
#else
#define DIO37_IO_OFFSET PWM12_IO_OFFSET
#ifdef PWM12
#undef PWM12
#endif
#ifdef DIO37
#undef DIO37
#endif
#define PWM12 37
#define DIO37 -37
#define PWM12_IO_BYTEOFFSET (PWM12_IO_OFFSET &gt;&gt; 3)
#define PWM12_IO_BITMASK (1 &lt;&lt; (PWM12_IO_OFFSET &amp; 0x7))
#define DIO37_IO_BYTEOFFSET PWM12_IO_BYTEOFFSET
#define DIO37_IO_BITMASK PWM12_IO_BITMASK
#ifndef IC74HC595_HAS_PWMS
#define IC74HC595_HAS_PWMS
#endif
#endif</v>
      </c>
      <c r="F39" s="4" t="str">
        <f t="shared" si="3"/>
        <v>#if ASSERT_PIN_IO(PWM12)
#define io37_config_output mcu_config_output(PWM12)
#define io37_set_output mcu_set_output(PWM12)
#define io37_clear_output mcu_clear_output(PWM12)
#define io37_toggle_output mcu_toggle_output(PWM12)
#define io37_get_output mcu_get_output(PWM12)
#define io37_config_pwm(freq) mcu_config_pwm(PWM12, freq)
#define io37_set_pwm(value) mcu_set_pwm(PWM12, value)
#define io37_get_pwm mcu_get_pwm(PWM12)
#elif ASSERT_PIN_EXTENDED(PWM12)
#define io37_config_output ({})
#define io37_set_output ic74hc595_set_pin(PWM12)
#define io37_clear_output ic74hc595_clear_pin(PWM12)
#define io37_toggle_output ic74hc595_toggle_pin(PWM12)
#define io37_get_output ic74hc595_get_pin(PWM12)
#define io37_config_pwm(freq)  { io_config_output(PWM12); g_soft_pwm_res = mcu_softpwm_freq_config(freq); }
#define io37_set_pwm(value) { g_io_soft_pwm[PWM12 - PWM_PINS_OFFSET] = (0xFF &amp; value); }
#define io37_get_pwm g_io_soft_pwm[PWM12 - PWM_PINS_OFFSET]
#endif</v>
      </c>
    </row>
    <row r="40" spans="1:6" x14ac:dyDescent="0.25">
      <c r="A40" s="4">
        <v>38</v>
      </c>
      <c r="B40" s="4" t="str">
        <f t="shared" si="0"/>
        <v>DIO38</v>
      </c>
      <c r="C40" s="4" t="s">
        <v>40</v>
      </c>
      <c r="D40" s="4" t="s">
        <v>464</v>
      </c>
      <c r="E40" s="4" t="str">
        <f t="shared" si="1"/>
        <v>#ifndef PWM13_IO_OFFSET
#define PWM13_IO_OFFSET -1
#define DIO38_IO_OFFSET -1
#else
#define DIO38_IO_OFFSET PWM13_IO_OFFSET
#ifdef PWM13
#undef PWM13
#endif
#ifdef DIO38
#undef DIO38
#endif
#define PWM13 38
#define DIO38 -38
#define PWM13_IO_BYTEOFFSET (PWM13_IO_OFFSET &gt;&gt; 3)
#define PWM13_IO_BITMASK (1 &lt;&lt; (PWM13_IO_OFFSET &amp; 0x7))
#define DIO38_IO_BYTEOFFSET PWM13_IO_BYTEOFFSET
#define DIO38_IO_BITMASK PWM13_IO_BITMASK
#ifndef IC74HC595_HAS_PWMS
#define IC74HC595_HAS_PWMS
#endif
#endif</v>
      </c>
      <c r="F40" s="4" t="str">
        <f t="shared" si="3"/>
        <v>#if ASSERT_PIN_IO(PWM13)
#define io38_config_output mcu_config_output(PWM13)
#define io38_set_output mcu_set_output(PWM13)
#define io38_clear_output mcu_clear_output(PWM13)
#define io38_toggle_output mcu_toggle_output(PWM13)
#define io38_get_output mcu_get_output(PWM13)
#define io38_config_pwm(freq) mcu_config_pwm(PWM13, freq)
#define io38_set_pwm(value) mcu_set_pwm(PWM13, value)
#define io38_get_pwm mcu_get_pwm(PWM13)
#elif ASSERT_PIN_EXTENDED(PWM13)
#define io38_config_output ({})
#define io38_set_output ic74hc595_set_pin(PWM13)
#define io38_clear_output ic74hc595_clear_pin(PWM13)
#define io38_toggle_output ic74hc595_toggle_pin(PWM13)
#define io38_get_output ic74hc595_get_pin(PWM13)
#define io38_config_pwm(freq)  { io_config_output(PWM13); g_soft_pwm_res = mcu_softpwm_freq_config(freq); }
#define io38_set_pwm(value) { g_io_soft_pwm[PWM13 - PWM_PINS_OFFSET] = (0xFF &amp; value); }
#define io38_get_pwm g_io_soft_pwm[PWM13 - PWM_PINS_OFFSET]
#endif</v>
      </c>
    </row>
    <row r="41" spans="1:6" x14ac:dyDescent="0.25">
      <c r="A41" s="4">
        <v>39</v>
      </c>
      <c r="B41" s="4" t="str">
        <f t="shared" si="0"/>
        <v>DIO39</v>
      </c>
      <c r="C41" s="4" t="s">
        <v>41</v>
      </c>
      <c r="D41" s="4" t="s">
        <v>464</v>
      </c>
      <c r="E41" s="4" t="str">
        <f t="shared" si="1"/>
        <v>#ifndef PWM14_IO_OFFSET
#define PWM14_IO_OFFSET -1
#define DIO39_IO_OFFSET -1
#else
#define DIO39_IO_OFFSET PWM14_IO_OFFSET
#ifdef PWM14
#undef PWM14
#endif
#ifdef DIO39
#undef DIO39
#endif
#define PWM14 39
#define DIO39 -39
#define PWM14_IO_BYTEOFFSET (PWM14_IO_OFFSET &gt;&gt; 3)
#define PWM14_IO_BITMASK (1 &lt;&lt; (PWM14_IO_OFFSET &amp; 0x7))
#define DIO39_IO_BYTEOFFSET PWM14_IO_BYTEOFFSET
#define DIO39_IO_BITMASK PWM14_IO_BITMASK
#ifndef IC74HC595_HAS_PWMS
#define IC74HC595_HAS_PWMS
#endif
#endif</v>
      </c>
      <c r="F41" s="4" t="str">
        <f t="shared" si="3"/>
        <v>#if ASSERT_PIN_IO(PWM14)
#define io39_config_output mcu_config_output(PWM14)
#define io39_set_output mcu_set_output(PWM14)
#define io39_clear_output mcu_clear_output(PWM14)
#define io39_toggle_output mcu_toggle_output(PWM14)
#define io39_get_output mcu_get_output(PWM14)
#define io39_config_pwm(freq) mcu_config_pwm(PWM14, freq)
#define io39_set_pwm(value) mcu_set_pwm(PWM14, value)
#define io39_get_pwm mcu_get_pwm(PWM14)
#elif ASSERT_PIN_EXTENDED(PWM14)
#define io39_config_output ({})
#define io39_set_output ic74hc595_set_pin(PWM14)
#define io39_clear_output ic74hc595_clear_pin(PWM14)
#define io39_toggle_output ic74hc595_toggle_pin(PWM14)
#define io39_get_output ic74hc595_get_pin(PWM14)
#define io39_config_pwm(freq)  { io_config_output(PWM14); g_soft_pwm_res = mcu_softpwm_freq_config(freq); }
#define io39_set_pwm(value) { g_io_soft_pwm[PWM14 - PWM_PINS_OFFSET] = (0xFF &amp; value); }
#define io39_get_pwm g_io_soft_pwm[PWM14 - PWM_PINS_OFFSET]
#endif</v>
      </c>
    </row>
    <row r="42" spans="1:6" x14ac:dyDescent="0.25">
      <c r="A42" s="4">
        <v>40</v>
      </c>
      <c r="B42" s="4" t="str">
        <f t="shared" si="0"/>
        <v>DIO40</v>
      </c>
      <c r="C42" s="4" t="s">
        <v>42</v>
      </c>
      <c r="D42" s="4" t="s">
        <v>464</v>
      </c>
      <c r="E42" s="4" t="str">
        <f t="shared" si="1"/>
        <v>#ifndef PWM15_IO_OFFSET
#define PWM15_IO_OFFSET -1
#define DIO40_IO_OFFSET -1
#else
#define DIO40_IO_OFFSET PWM15_IO_OFFSET
#ifdef PWM15
#undef PWM15
#endif
#ifdef DIO40
#undef DIO40
#endif
#define PWM15 40
#define DIO40 -40
#define PWM15_IO_BYTEOFFSET (PWM15_IO_OFFSET &gt;&gt; 3)
#define PWM15_IO_BITMASK (1 &lt;&lt; (PWM15_IO_OFFSET &amp; 0x7))
#define DIO40_IO_BYTEOFFSET PWM15_IO_BYTEOFFSET
#define DIO40_IO_BITMASK PWM15_IO_BITMASK
#ifndef IC74HC595_HAS_PWMS
#define IC74HC595_HAS_PWMS
#endif
#endif</v>
      </c>
      <c r="F42" s="4" t="str">
        <f t="shared" si="3"/>
        <v>#if ASSERT_PIN_IO(PWM15)
#define io40_config_output mcu_config_output(PWM15)
#define io40_set_output mcu_set_output(PWM15)
#define io40_clear_output mcu_clear_output(PWM15)
#define io40_toggle_output mcu_toggle_output(PWM15)
#define io40_get_output mcu_get_output(PWM15)
#define io40_config_pwm(freq) mcu_config_pwm(PWM15, freq)
#define io40_set_pwm(value) mcu_set_pwm(PWM15, value)
#define io40_get_pwm mcu_get_pwm(PWM15)
#elif ASSERT_PIN_EXTENDED(PWM15)
#define io40_config_output ({})
#define io40_set_output ic74hc595_set_pin(PWM15)
#define io40_clear_output ic74hc595_clear_pin(PWM15)
#define io40_toggle_output ic74hc595_toggle_pin(PWM15)
#define io40_get_output ic74hc595_get_pin(PWM15)
#define io40_config_pwm(freq)  { io_config_output(PWM15); g_soft_pwm_res = mcu_softpwm_freq_config(freq); }
#define io40_set_pwm(value) { g_io_soft_pwm[PWM15 - PWM_PINS_OFFSET] = (0xFF &amp; value); }
#define io40_get_pwm g_io_soft_pwm[PWM15 - PWM_PINS_OFFSET]
#endif</v>
      </c>
    </row>
    <row r="43" spans="1:6" x14ac:dyDescent="0.25">
      <c r="A43" s="4">
        <v>41</v>
      </c>
      <c r="B43" s="4" t="str">
        <f t="shared" si="0"/>
        <v>DIO41</v>
      </c>
      <c r="C43" s="4" t="s">
        <v>109</v>
      </c>
      <c r="D43" s="4" t="s">
        <v>465</v>
      </c>
      <c r="E43" s="4" t="str">
        <f t="shared" si="1"/>
        <v>#ifndef SERVO0_IO_OFFSET
#define SERVO0_IO_OFFSET -1
#define DIO41_IO_OFFSET -1
#else
#define DIO41_IO_OFFSET SERVO0_IO_OFFSET
#ifdef SERVO0
#undef SERVO0
#endif
#ifdef DIO41
#undef DIO41
#endif
#define SERVO0 41
#define DIO41 -41
#define SERVO0_IO_BYTEOFFSET (SERVO0_IO_OFFSET &gt;&gt; 3)
#define SERVO0_IO_BITMASK (1 &lt;&lt; (SERVO0_IO_OFFSET &amp; 0x7))
#define DIO41_IO_BYTEOFFSET SERVO0_IO_BYTEOFFSET
#define DIO41_IO_BITMASK SERVO0_IO_BITMASK
#ifndef IC74HC595_HAS_SERVOS
#define IC74HC595_HAS_SERVOS
#endif
#endif</v>
      </c>
      <c r="F43" s="4" t="str">
        <f>"#if ASSERT_PIN_IO("&amp;C43&amp;")
#define io"&amp;A43&amp;"_config_output mcu_config_output("&amp;C43&amp;")
#define io"&amp;A43&amp;"_set_output mcu_set_output("&amp;C43&amp;")
#define io"&amp;A43&amp;"_clear_output mcu_clear_output("&amp;C43&amp;")
#define io"&amp;A43&amp;"_toggle_output mcu_toggle_output("&amp;C43&amp;")
#define io"&amp;A43&amp;"_get_output mcu_get_output("&amp;C43&amp;")
#define io"&amp;A43&amp;"_config_pwm(freq)
#define io"&amp;A43&amp;"_set_pwm(value)
#define io"&amp;A43&amp;"_get_pwm -1
#elif ASSERT_PIN_EXTENDED("&amp;C43&amp;")
#define io"&amp;A43&amp;"_config_output
#define io"&amp;A43&amp;"_set_output ic74hc595_set_pin("&amp;C43&amp;")
#define io"&amp;A43&amp;"_clear_output ic74hc595_clear_pin("&amp;C43&amp;")
#define io"&amp;A43&amp;"_toggle_output ic74hc595_toggle_pin("&amp;C43&amp;")
#define io"&amp;A43&amp;"_get_output ic74hc595_get_pin("&amp;C43&amp;")
#define io"&amp;A43&amp;"_config_pwm(freq)
#define io"&amp;A43&amp;"_set_pwm(value)
#define io"&amp;A43&amp;"_get_pwm -1
#endif"</f>
        <v>#if ASSERT_PIN_IO(SERVO0)
#define io41_config_output mcu_config_output(SERVO0)
#define io41_set_output mcu_set_output(SERVO0)
#define io41_clear_output mcu_clear_output(SERVO0)
#define io41_toggle_output mcu_toggle_output(SERVO0)
#define io41_get_output mcu_get_output(SERVO0)
#define io41_config_pwm(freq)
#define io41_set_pwm(value)
#define io41_get_pwm -1
#elif ASSERT_PIN_EXTENDED(SERVO0)
#define io41_config_output
#define io41_set_output ic74hc595_set_pin(SERVO0)
#define io41_clear_output ic74hc595_clear_pin(SERVO0)
#define io41_toggle_output ic74hc595_toggle_pin(SERVO0)
#define io41_get_output ic74hc595_get_pin(SERVO0)
#define io41_config_pwm(freq)
#define io41_set_pwm(value)
#define io41_get_pwm -1
#endif</v>
      </c>
    </row>
    <row r="44" spans="1:6" x14ac:dyDescent="0.25">
      <c r="A44" s="4">
        <v>42</v>
      </c>
      <c r="B44" s="4" t="str">
        <f t="shared" si="0"/>
        <v>DIO42</v>
      </c>
      <c r="C44" s="4" t="s">
        <v>110</v>
      </c>
      <c r="D44" s="4" t="s">
        <v>465</v>
      </c>
      <c r="E44" s="4" t="str">
        <f t="shared" si="1"/>
        <v>#ifndef SERVO1_IO_OFFSET
#define SERVO1_IO_OFFSET -1
#define DIO42_IO_OFFSET -1
#else
#define DIO42_IO_OFFSET SERVO1_IO_OFFSET
#ifdef SERVO1
#undef SERVO1
#endif
#ifdef DIO42
#undef DIO42
#endif
#define SERVO1 42
#define DIO42 -42
#define SERVO1_IO_BYTEOFFSET (SERVO1_IO_OFFSET &gt;&gt; 3)
#define SERVO1_IO_BITMASK (1 &lt;&lt; (SERVO1_IO_OFFSET &amp; 0x7))
#define DIO42_IO_BYTEOFFSET SERVO1_IO_BYTEOFFSET
#define DIO42_IO_BITMASK SERVO1_IO_BITMASK
#ifndef IC74HC595_HAS_SERVOS
#define IC74HC595_HAS_SERVOS
#endif
#endif</v>
      </c>
      <c r="F44" s="4" t="str">
        <f t="shared" ref="F44:F48" si="4">"#if ASSERT_PIN_IO("&amp;C44&amp;")
#define io"&amp;A44&amp;"_config_output mcu_config_output("&amp;C44&amp;")
#define io"&amp;A44&amp;"_set_output mcu_set_output("&amp;C44&amp;")
#define io"&amp;A44&amp;"_clear_output mcu_clear_output("&amp;C44&amp;")
#define io"&amp;A44&amp;"_toggle_output mcu_toggle_output("&amp;C44&amp;")
#define io"&amp;A44&amp;"_get_output mcu_get_output("&amp;C44&amp;")
#define io"&amp;A44&amp;"_config_pwm(freq)
#define io"&amp;A44&amp;"_set_pwm(value)
#define io"&amp;A44&amp;"_get_pwm -1
#elif ASSERT_PIN_EXTENDED("&amp;C44&amp;")
#define io"&amp;A44&amp;"_config_output
#define io"&amp;A44&amp;"_set_output ic74hc595_set_pin("&amp;C44&amp;")
#define io"&amp;A44&amp;"_clear_output ic74hc595_clear_pin("&amp;C44&amp;")
#define io"&amp;A44&amp;"_toggle_output ic74hc595_toggle_pin("&amp;C44&amp;")
#define io"&amp;A44&amp;"_get_output ic74hc595_get_pin("&amp;C44&amp;")
#define io"&amp;A44&amp;"_config_pwm(freq)
#define io"&amp;A44&amp;"_set_pwm(value)
#define io"&amp;A44&amp;"_get_pwm -1
#endif"</f>
        <v>#if ASSERT_PIN_IO(SERVO1)
#define io42_config_output mcu_config_output(SERVO1)
#define io42_set_output mcu_set_output(SERVO1)
#define io42_clear_output mcu_clear_output(SERVO1)
#define io42_toggle_output mcu_toggle_output(SERVO1)
#define io42_get_output mcu_get_output(SERVO1)
#define io42_config_pwm(freq)
#define io42_set_pwm(value)
#define io42_get_pwm -1
#elif ASSERT_PIN_EXTENDED(SERVO1)
#define io42_config_output
#define io42_set_output ic74hc595_set_pin(SERVO1)
#define io42_clear_output ic74hc595_clear_pin(SERVO1)
#define io42_toggle_output ic74hc595_toggle_pin(SERVO1)
#define io42_get_output ic74hc595_get_pin(SERVO1)
#define io42_config_pwm(freq)
#define io42_set_pwm(value)
#define io42_get_pwm -1
#endif</v>
      </c>
    </row>
    <row r="45" spans="1:6" x14ac:dyDescent="0.25">
      <c r="A45" s="4">
        <v>43</v>
      </c>
      <c r="B45" s="4" t="str">
        <f t="shared" si="0"/>
        <v>DIO43</v>
      </c>
      <c r="C45" s="4" t="s">
        <v>111</v>
      </c>
      <c r="D45" s="4" t="s">
        <v>465</v>
      </c>
      <c r="E45" s="4" t="str">
        <f t="shared" si="1"/>
        <v>#ifndef SERVO2_IO_OFFSET
#define SERVO2_IO_OFFSET -1
#define DIO43_IO_OFFSET -1
#else
#define DIO43_IO_OFFSET SERVO2_IO_OFFSET
#ifdef SERVO2
#undef SERVO2
#endif
#ifdef DIO43
#undef DIO43
#endif
#define SERVO2 43
#define DIO43 -43
#define SERVO2_IO_BYTEOFFSET (SERVO2_IO_OFFSET &gt;&gt; 3)
#define SERVO2_IO_BITMASK (1 &lt;&lt; (SERVO2_IO_OFFSET &amp; 0x7))
#define DIO43_IO_BYTEOFFSET SERVO2_IO_BYTEOFFSET
#define DIO43_IO_BITMASK SERVO2_IO_BITMASK
#ifndef IC74HC595_HAS_SERVOS
#define IC74HC595_HAS_SERVOS
#endif
#endif</v>
      </c>
      <c r="F45" s="4" t="str">
        <f t="shared" si="4"/>
        <v>#if ASSERT_PIN_IO(SERVO2)
#define io43_config_output mcu_config_output(SERVO2)
#define io43_set_output mcu_set_output(SERVO2)
#define io43_clear_output mcu_clear_output(SERVO2)
#define io43_toggle_output mcu_toggle_output(SERVO2)
#define io43_get_output mcu_get_output(SERVO2)
#define io43_config_pwm(freq)
#define io43_set_pwm(value)
#define io43_get_pwm -1
#elif ASSERT_PIN_EXTENDED(SERVO2)
#define io43_config_output
#define io43_set_output ic74hc595_set_pin(SERVO2)
#define io43_clear_output ic74hc595_clear_pin(SERVO2)
#define io43_toggle_output ic74hc595_toggle_pin(SERVO2)
#define io43_get_output ic74hc595_get_pin(SERVO2)
#define io43_config_pwm(freq)
#define io43_set_pwm(value)
#define io43_get_pwm -1
#endif</v>
      </c>
    </row>
    <row r="46" spans="1:6" x14ac:dyDescent="0.25">
      <c r="A46" s="4">
        <v>44</v>
      </c>
      <c r="B46" s="4" t="str">
        <f t="shared" si="0"/>
        <v>DIO44</v>
      </c>
      <c r="C46" s="4" t="s">
        <v>112</v>
      </c>
      <c r="D46" s="4" t="s">
        <v>465</v>
      </c>
      <c r="E46" s="4" t="str">
        <f t="shared" si="1"/>
        <v>#ifndef SERVO3_IO_OFFSET
#define SERVO3_IO_OFFSET -1
#define DIO44_IO_OFFSET -1
#else
#define DIO44_IO_OFFSET SERVO3_IO_OFFSET
#ifdef SERVO3
#undef SERVO3
#endif
#ifdef DIO44
#undef DIO44
#endif
#define SERVO3 44
#define DIO44 -44
#define SERVO3_IO_BYTEOFFSET (SERVO3_IO_OFFSET &gt;&gt; 3)
#define SERVO3_IO_BITMASK (1 &lt;&lt; (SERVO3_IO_OFFSET &amp; 0x7))
#define DIO44_IO_BYTEOFFSET SERVO3_IO_BYTEOFFSET
#define DIO44_IO_BITMASK SERVO3_IO_BITMASK
#ifndef IC74HC595_HAS_SERVOS
#define IC74HC595_HAS_SERVOS
#endif
#endif</v>
      </c>
      <c r="F46" s="4" t="str">
        <f t="shared" si="4"/>
        <v>#if ASSERT_PIN_IO(SERVO3)
#define io44_config_output mcu_config_output(SERVO3)
#define io44_set_output mcu_set_output(SERVO3)
#define io44_clear_output mcu_clear_output(SERVO3)
#define io44_toggle_output mcu_toggle_output(SERVO3)
#define io44_get_output mcu_get_output(SERVO3)
#define io44_config_pwm(freq)
#define io44_set_pwm(value)
#define io44_get_pwm -1
#elif ASSERT_PIN_EXTENDED(SERVO3)
#define io44_config_output
#define io44_set_output ic74hc595_set_pin(SERVO3)
#define io44_clear_output ic74hc595_clear_pin(SERVO3)
#define io44_toggle_output ic74hc595_toggle_pin(SERVO3)
#define io44_get_output ic74hc595_get_pin(SERVO3)
#define io44_config_pwm(freq)
#define io44_set_pwm(value)
#define io44_get_pwm -1
#endif</v>
      </c>
    </row>
    <row r="47" spans="1:6" x14ac:dyDescent="0.25">
      <c r="A47" s="4">
        <v>45</v>
      </c>
      <c r="B47" s="4" t="str">
        <f t="shared" si="0"/>
        <v>DIO45</v>
      </c>
      <c r="C47" s="4" t="s">
        <v>113</v>
      </c>
      <c r="D47" s="4" t="s">
        <v>465</v>
      </c>
      <c r="E47" s="4" t="str">
        <f t="shared" si="1"/>
        <v>#ifndef SERVO4_IO_OFFSET
#define SERVO4_IO_OFFSET -1
#define DIO45_IO_OFFSET -1
#else
#define DIO45_IO_OFFSET SERVO4_IO_OFFSET
#ifdef SERVO4
#undef SERVO4
#endif
#ifdef DIO45
#undef DIO45
#endif
#define SERVO4 45
#define DIO45 -45
#define SERVO4_IO_BYTEOFFSET (SERVO4_IO_OFFSET &gt;&gt; 3)
#define SERVO4_IO_BITMASK (1 &lt;&lt; (SERVO4_IO_OFFSET &amp; 0x7))
#define DIO45_IO_BYTEOFFSET SERVO4_IO_BYTEOFFSET
#define DIO45_IO_BITMASK SERVO4_IO_BITMASK
#ifndef IC74HC595_HAS_SERVOS
#define IC74HC595_HAS_SERVOS
#endif
#endif</v>
      </c>
      <c r="F47" s="4" t="str">
        <f t="shared" si="4"/>
        <v>#if ASSERT_PIN_IO(SERVO4)
#define io45_config_output mcu_config_output(SERVO4)
#define io45_set_output mcu_set_output(SERVO4)
#define io45_clear_output mcu_clear_output(SERVO4)
#define io45_toggle_output mcu_toggle_output(SERVO4)
#define io45_get_output mcu_get_output(SERVO4)
#define io45_config_pwm(freq)
#define io45_set_pwm(value)
#define io45_get_pwm -1
#elif ASSERT_PIN_EXTENDED(SERVO4)
#define io45_config_output
#define io45_set_output ic74hc595_set_pin(SERVO4)
#define io45_clear_output ic74hc595_clear_pin(SERVO4)
#define io45_toggle_output ic74hc595_toggle_pin(SERVO4)
#define io45_get_output ic74hc595_get_pin(SERVO4)
#define io45_config_pwm(freq)
#define io45_set_pwm(value)
#define io45_get_pwm -1
#endif</v>
      </c>
    </row>
    <row r="48" spans="1:6" x14ac:dyDescent="0.25">
      <c r="A48" s="4">
        <v>46</v>
      </c>
      <c r="B48" s="4" t="str">
        <f t="shared" si="0"/>
        <v>DIO46</v>
      </c>
      <c r="C48" s="4" t="s">
        <v>114</v>
      </c>
      <c r="D48" s="4" t="s">
        <v>465</v>
      </c>
      <c r="E48" s="4" t="str">
        <f t="shared" si="1"/>
        <v>#ifndef SERVO5_IO_OFFSET
#define SERVO5_IO_OFFSET -1
#define DIO46_IO_OFFSET -1
#else
#define DIO46_IO_OFFSET SERVO5_IO_OFFSET
#ifdef SERVO5
#undef SERVO5
#endif
#ifdef DIO46
#undef DIO46
#endif
#define SERVO5 46
#define DIO46 -46
#define SERVO5_IO_BYTEOFFSET (SERVO5_IO_OFFSET &gt;&gt; 3)
#define SERVO5_IO_BITMASK (1 &lt;&lt; (SERVO5_IO_OFFSET &amp; 0x7))
#define DIO46_IO_BYTEOFFSET SERVO5_IO_BYTEOFFSET
#define DIO46_IO_BITMASK SERVO5_IO_BITMASK
#ifndef IC74HC595_HAS_SERVOS
#define IC74HC595_HAS_SERVOS
#endif
#endif</v>
      </c>
      <c r="F48" s="4" t="str">
        <f t="shared" si="4"/>
        <v>#if ASSERT_PIN_IO(SERVO5)
#define io46_config_output mcu_config_output(SERVO5)
#define io46_set_output mcu_set_output(SERVO5)
#define io46_clear_output mcu_clear_output(SERVO5)
#define io46_toggle_output mcu_toggle_output(SERVO5)
#define io46_get_output mcu_get_output(SERVO5)
#define io46_config_pwm(freq)
#define io46_set_pwm(value)
#define io46_get_pwm -1
#elif ASSERT_PIN_EXTENDED(SERVO5)
#define io46_config_output
#define io46_set_output ic74hc595_set_pin(SERVO5)
#define io46_clear_output ic74hc595_clear_pin(SERVO5)
#define io46_toggle_output ic74hc595_toggle_pin(SERVO5)
#define io46_get_output ic74hc595_get_pin(SERVO5)
#define io46_config_pwm(freq)
#define io46_set_pwm(value)
#define io46_get_pwm -1
#endif</v>
      </c>
    </row>
    <row r="49" spans="1:6" x14ac:dyDescent="0.25">
      <c r="A49" s="4">
        <v>47</v>
      </c>
      <c r="B49" s="4" t="str">
        <f t="shared" si="0"/>
        <v>DIO47</v>
      </c>
      <c r="C49" s="4" t="s">
        <v>43</v>
      </c>
      <c r="D49" s="4" t="s">
        <v>466</v>
      </c>
      <c r="E49" s="4" t="str">
        <f t="shared" si="1"/>
        <v>#ifndef DOUT0_IO_OFFSET
#define DOUT0_IO_OFFSET -1
#define DIO47_IO_OFFSET -1
#else
#define DIO47_IO_OFFSET DOUT0_IO_OFFSET
#ifdef DOUT0
#undef DOUT0
#endif
#ifdef DIO47
#undef DIO47
#endif
#define DOUT0 47
#define DIO47 -47
#define DOUT0_IO_BYTEOFFSET (DOUT0_IO_OFFSET &gt;&gt; 3)
#define DOUT0_IO_BITMASK (1 &lt;&lt; (DOUT0_IO_OFFSET &amp; 0x7))
#define DIO47_IO_BYTEOFFSET DOUT0_IO_BYTEOFFSET
#define DIO47_IO_BITMASK DOUT0_IO_BITMASK
#ifndef IC74HC595_HAS_DOUTS
#define IC74HC595_HAS_DOUTS
#endif
#endif</v>
      </c>
      <c r="F49" s="4" t="str">
        <f>"#if ASSERT_PIN_IO("&amp;C49&amp;")
#define io"&amp;A49&amp;"_config_output mcu_config_output("&amp;C49&amp;")
#define io"&amp;A49&amp;"_set_output mcu_set_output("&amp;C49&amp;")
#define io"&amp;A49&amp;"_clear_output mcu_clear_output("&amp;C49&amp;")
#define io"&amp;A49&amp;"_toggle_output mcu_toggle_output("&amp;C49&amp;")
#define io"&amp;A49&amp;"_get_output mcu_get_output("&amp;C49&amp;")
#define io"&amp;A49&amp;"_config_input mcu_config_input("&amp;C49&amp;")
#define io"&amp;A49&amp;"_config_pullup mcu_config_pullup("&amp;C49&amp;")
#define io"&amp;A49&amp;"_get_input mcu_get_input("&amp;C49&amp;")
#elif ASSERT_PIN_EXTENDED("&amp;C49&amp;")
#define io"&amp;A49&amp;"_config_output
#define io"&amp;A49&amp;"_set_output ic74hc595_set_pin("&amp;C49&amp;");shift_register_io_pins()
#define io"&amp;A49&amp;"_clear_output ic74hc595_clear_pin("&amp;C49&amp;");shift_register_io_pins()
#define io"&amp;A49&amp;"_toggle_output ic74hc595_toggle_pin("&amp;C49&amp;");shift_register_io_pins()
#define io"&amp;A49&amp;"_get_output ic74hc595_get_pin("&amp;C49&amp;")
#endif"</f>
        <v>#if ASSERT_PIN_IO(DOUT0)
#define io47_config_output mcu_config_output(DOUT0)
#define io47_set_output mcu_set_output(DOUT0)
#define io47_clear_output mcu_clear_output(DOUT0)
#define io47_toggle_output mcu_toggle_output(DOUT0)
#define io47_get_output mcu_get_output(DOUT0)
#define io47_config_input mcu_config_input(DOUT0)
#define io47_config_pullup mcu_config_pullup(DOUT0)
#define io47_get_input mcu_get_input(DOUT0)
#elif ASSERT_PIN_EXTENDED(DOUT0)
#define io47_config_output
#define io47_set_output ic74hc595_set_pin(DOUT0);shift_register_io_pins()
#define io47_clear_output ic74hc595_clear_pin(DOUT0);shift_register_io_pins()
#define io47_toggle_output ic74hc595_toggle_pin(DOUT0);shift_register_io_pins()
#define io47_get_output ic74hc595_get_pin(DOUT0)
#endif</v>
      </c>
    </row>
    <row r="50" spans="1:6" x14ac:dyDescent="0.25">
      <c r="A50" s="4">
        <v>48</v>
      </c>
      <c r="B50" s="4" t="str">
        <f t="shared" si="0"/>
        <v>DIO48</v>
      </c>
      <c r="C50" s="4" t="s">
        <v>44</v>
      </c>
      <c r="D50" s="4" t="s">
        <v>466</v>
      </c>
      <c r="E50" s="4" t="str">
        <f t="shared" si="1"/>
        <v>#ifndef DOUT1_IO_OFFSET
#define DOUT1_IO_OFFSET -1
#define DIO48_IO_OFFSET -1
#else
#define DIO48_IO_OFFSET DOUT1_IO_OFFSET
#ifdef DOUT1
#undef DOUT1
#endif
#ifdef DIO48
#undef DIO48
#endif
#define DOUT1 48
#define DIO48 -48
#define DOUT1_IO_BYTEOFFSET (DOUT1_IO_OFFSET &gt;&gt; 3)
#define DOUT1_IO_BITMASK (1 &lt;&lt; (DOUT1_IO_OFFSET &amp; 0x7))
#define DIO48_IO_BYTEOFFSET DOUT1_IO_BYTEOFFSET
#define DIO48_IO_BITMASK DOUT1_IO_BITMASK
#ifndef IC74HC595_HAS_DOUTS
#define IC74HC595_HAS_DOUTS
#endif
#endif</v>
      </c>
      <c r="F50" s="4" t="str">
        <f t="shared" ref="F50:F98" si="5">"#if ASSERT_PIN_IO("&amp;C50&amp;")
#define io"&amp;A50&amp;"_config_output mcu_config_output("&amp;C50&amp;")
#define io"&amp;A50&amp;"_set_output mcu_set_output("&amp;C50&amp;")
#define io"&amp;A50&amp;"_clear_output mcu_clear_output("&amp;C50&amp;")
#define io"&amp;A50&amp;"_toggle_output mcu_toggle_output("&amp;C50&amp;")
#define io"&amp;A50&amp;"_get_output mcu_get_output("&amp;C50&amp;")
#define io"&amp;A50&amp;"_config_input mcu_config_input("&amp;C50&amp;")
#define io"&amp;A50&amp;"_config_pullup mcu_config_pullup("&amp;C50&amp;")
#define io"&amp;A50&amp;"_get_input mcu_get_input("&amp;C50&amp;")
#elif ASSERT_PIN_EXTENDED("&amp;C50&amp;")
#define io"&amp;A50&amp;"_config_output
#define io"&amp;A50&amp;"_set_output ic74hc595_set_pin("&amp;C50&amp;");shift_register_io_pins()
#define io"&amp;A50&amp;"_clear_output ic74hc595_clear_pin("&amp;C50&amp;");shift_register_io_pins()
#define io"&amp;A50&amp;"_toggle_output ic74hc595_toggle_pin("&amp;C50&amp;");shift_register_io_pins()
#define io"&amp;A50&amp;"_get_output ic74hc595_get_pin("&amp;C50&amp;")
#endif"</f>
        <v>#if ASSERT_PIN_IO(DOUT1)
#define io48_config_output mcu_config_output(DOUT1)
#define io48_set_output mcu_set_output(DOUT1)
#define io48_clear_output mcu_clear_output(DOUT1)
#define io48_toggle_output mcu_toggle_output(DOUT1)
#define io48_get_output mcu_get_output(DOUT1)
#define io48_config_input mcu_config_input(DOUT1)
#define io48_config_pullup mcu_config_pullup(DOUT1)
#define io48_get_input mcu_get_input(DOUT1)
#elif ASSERT_PIN_EXTENDED(DOUT1)
#define io48_config_output
#define io48_set_output ic74hc595_set_pin(DOUT1);shift_register_io_pins()
#define io48_clear_output ic74hc595_clear_pin(DOUT1);shift_register_io_pins()
#define io48_toggle_output ic74hc595_toggle_pin(DOUT1);shift_register_io_pins()
#define io48_get_output ic74hc595_get_pin(DOUT1)
#endif</v>
      </c>
    </row>
    <row r="51" spans="1:6" x14ac:dyDescent="0.25">
      <c r="A51" s="4">
        <v>49</v>
      </c>
      <c r="B51" s="4" t="str">
        <f t="shared" si="0"/>
        <v>DIO49</v>
      </c>
      <c r="C51" s="4" t="s">
        <v>45</v>
      </c>
      <c r="D51" s="4" t="s">
        <v>466</v>
      </c>
      <c r="E51" s="4" t="str">
        <f t="shared" si="1"/>
        <v>#ifndef DOUT2_IO_OFFSET
#define DOUT2_IO_OFFSET -1
#define DIO49_IO_OFFSET -1
#else
#define DIO49_IO_OFFSET DOUT2_IO_OFFSET
#ifdef DOUT2
#undef DOUT2
#endif
#ifdef DIO49
#undef DIO49
#endif
#define DOUT2 49
#define DIO49 -49
#define DOUT2_IO_BYTEOFFSET (DOUT2_IO_OFFSET &gt;&gt; 3)
#define DOUT2_IO_BITMASK (1 &lt;&lt; (DOUT2_IO_OFFSET &amp; 0x7))
#define DIO49_IO_BYTEOFFSET DOUT2_IO_BYTEOFFSET
#define DIO49_IO_BITMASK DOUT2_IO_BITMASK
#ifndef IC74HC595_HAS_DOUTS
#define IC74HC595_HAS_DOUTS
#endif
#endif</v>
      </c>
      <c r="F51" s="4" t="str">
        <f t="shared" si="5"/>
        <v>#if ASSERT_PIN_IO(DOUT2)
#define io49_config_output mcu_config_output(DOUT2)
#define io49_set_output mcu_set_output(DOUT2)
#define io49_clear_output mcu_clear_output(DOUT2)
#define io49_toggle_output mcu_toggle_output(DOUT2)
#define io49_get_output mcu_get_output(DOUT2)
#define io49_config_input mcu_config_input(DOUT2)
#define io49_config_pullup mcu_config_pullup(DOUT2)
#define io49_get_input mcu_get_input(DOUT2)
#elif ASSERT_PIN_EXTENDED(DOUT2)
#define io49_config_output
#define io49_set_output ic74hc595_set_pin(DOUT2);shift_register_io_pins()
#define io49_clear_output ic74hc595_clear_pin(DOUT2);shift_register_io_pins()
#define io49_toggle_output ic74hc595_toggle_pin(DOUT2);shift_register_io_pins()
#define io49_get_output ic74hc595_get_pin(DOUT2)
#endif</v>
      </c>
    </row>
    <row r="52" spans="1:6" x14ac:dyDescent="0.25">
      <c r="A52" s="4">
        <v>50</v>
      </c>
      <c r="B52" s="4" t="str">
        <f t="shared" si="0"/>
        <v>DIO50</v>
      </c>
      <c r="C52" s="4" t="s">
        <v>46</v>
      </c>
      <c r="D52" s="4" t="s">
        <v>466</v>
      </c>
      <c r="E52" s="4" t="str">
        <f t="shared" si="1"/>
        <v>#ifndef DOUT3_IO_OFFSET
#define DOUT3_IO_OFFSET -1
#define DIO50_IO_OFFSET -1
#else
#define DIO50_IO_OFFSET DOUT3_IO_OFFSET
#ifdef DOUT3
#undef DOUT3
#endif
#ifdef DIO50
#undef DIO50
#endif
#define DOUT3 50
#define DIO50 -50
#define DOUT3_IO_BYTEOFFSET (DOUT3_IO_OFFSET &gt;&gt; 3)
#define DOUT3_IO_BITMASK (1 &lt;&lt; (DOUT3_IO_OFFSET &amp; 0x7))
#define DIO50_IO_BYTEOFFSET DOUT3_IO_BYTEOFFSET
#define DIO50_IO_BITMASK DOUT3_IO_BITMASK
#ifndef IC74HC595_HAS_DOUTS
#define IC74HC595_HAS_DOUTS
#endif
#endif</v>
      </c>
      <c r="F52" s="4" t="str">
        <f t="shared" si="5"/>
        <v>#if ASSERT_PIN_IO(DOUT3)
#define io50_config_output mcu_config_output(DOUT3)
#define io50_set_output mcu_set_output(DOUT3)
#define io50_clear_output mcu_clear_output(DOUT3)
#define io50_toggle_output mcu_toggle_output(DOUT3)
#define io50_get_output mcu_get_output(DOUT3)
#define io50_config_input mcu_config_input(DOUT3)
#define io50_config_pullup mcu_config_pullup(DOUT3)
#define io50_get_input mcu_get_input(DOUT3)
#elif ASSERT_PIN_EXTENDED(DOUT3)
#define io50_config_output
#define io50_set_output ic74hc595_set_pin(DOUT3);shift_register_io_pins()
#define io50_clear_output ic74hc595_clear_pin(DOUT3);shift_register_io_pins()
#define io50_toggle_output ic74hc595_toggle_pin(DOUT3);shift_register_io_pins()
#define io50_get_output ic74hc595_get_pin(DOUT3)
#endif</v>
      </c>
    </row>
    <row r="53" spans="1:6" x14ac:dyDescent="0.25">
      <c r="A53" s="4">
        <v>51</v>
      </c>
      <c r="B53" s="4" t="str">
        <f t="shared" si="0"/>
        <v>DIO51</v>
      </c>
      <c r="C53" s="4" t="s">
        <v>47</v>
      </c>
      <c r="D53" s="4" t="s">
        <v>466</v>
      </c>
      <c r="E53" s="4" t="str">
        <f t="shared" si="1"/>
        <v>#ifndef DOUT4_IO_OFFSET
#define DOUT4_IO_OFFSET -1
#define DIO51_IO_OFFSET -1
#else
#define DIO51_IO_OFFSET DOUT4_IO_OFFSET
#ifdef DOUT4
#undef DOUT4
#endif
#ifdef DIO51
#undef DIO51
#endif
#define DOUT4 51
#define DIO51 -51
#define DOUT4_IO_BYTEOFFSET (DOUT4_IO_OFFSET &gt;&gt; 3)
#define DOUT4_IO_BITMASK (1 &lt;&lt; (DOUT4_IO_OFFSET &amp; 0x7))
#define DIO51_IO_BYTEOFFSET DOUT4_IO_BYTEOFFSET
#define DIO51_IO_BITMASK DOUT4_IO_BITMASK
#ifndef IC74HC595_HAS_DOUTS
#define IC74HC595_HAS_DOUTS
#endif
#endif</v>
      </c>
      <c r="F53" s="4" t="str">
        <f t="shared" si="5"/>
        <v>#if ASSERT_PIN_IO(DOUT4)
#define io51_config_output mcu_config_output(DOUT4)
#define io51_set_output mcu_set_output(DOUT4)
#define io51_clear_output mcu_clear_output(DOUT4)
#define io51_toggle_output mcu_toggle_output(DOUT4)
#define io51_get_output mcu_get_output(DOUT4)
#define io51_config_input mcu_config_input(DOUT4)
#define io51_config_pullup mcu_config_pullup(DOUT4)
#define io51_get_input mcu_get_input(DOUT4)
#elif ASSERT_PIN_EXTENDED(DOUT4)
#define io51_config_output
#define io51_set_output ic74hc595_set_pin(DOUT4);shift_register_io_pins()
#define io51_clear_output ic74hc595_clear_pin(DOUT4);shift_register_io_pins()
#define io51_toggle_output ic74hc595_toggle_pin(DOUT4);shift_register_io_pins()
#define io51_get_output ic74hc595_get_pin(DOUT4)
#endif</v>
      </c>
    </row>
    <row r="54" spans="1:6" x14ac:dyDescent="0.25">
      <c r="A54" s="4">
        <v>52</v>
      </c>
      <c r="B54" s="4" t="str">
        <f t="shared" si="0"/>
        <v>DIO52</v>
      </c>
      <c r="C54" s="4" t="s">
        <v>48</v>
      </c>
      <c r="D54" s="4" t="s">
        <v>466</v>
      </c>
      <c r="E54" s="4" t="str">
        <f t="shared" si="1"/>
        <v>#ifndef DOUT5_IO_OFFSET
#define DOUT5_IO_OFFSET -1
#define DIO52_IO_OFFSET -1
#else
#define DIO52_IO_OFFSET DOUT5_IO_OFFSET
#ifdef DOUT5
#undef DOUT5
#endif
#ifdef DIO52
#undef DIO52
#endif
#define DOUT5 52
#define DIO52 -52
#define DOUT5_IO_BYTEOFFSET (DOUT5_IO_OFFSET &gt;&gt; 3)
#define DOUT5_IO_BITMASK (1 &lt;&lt; (DOUT5_IO_OFFSET &amp; 0x7))
#define DIO52_IO_BYTEOFFSET DOUT5_IO_BYTEOFFSET
#define DIO52_IO_BITMASK DOUT5_IO_BITMASK
#ifndef IC74HC595_HAS_DOUTS
#define IC74HC595_HAS_DOUTS
#endif
#endif</v>
      </c>
      <c r="F54" s="4" t="str">
        <f t="shared" si="5"/>
        <v>#if ASSERT_PIN_IO(DOUT5)
#define io52_config_output mcu_config_output(DOUT5)
#define io52_set_output mcu_set_output(DOUT5)
#define io52_clear_output mcu_clear_output(DOUT5)
#define io52_toggle_output mcu_toggle_output(DOUT5)
#define io52_get_output mcu_get_output(DOUT5)
#define io52_config_input mcu_config_input(DOUT5)
#define io52_config_pullup mcu_config_pullup(DOUT5)
#define io52_get_input mcu_get_input(DOUT5)
#elif ASSERT_PIN_EXTENDED(DOUT5)
#define io52_config_output
#define io52_set_output ic74hc595_set_pin(DOUT5);shift_register_io_pins()
#define io52_clear_output ic74hc595_clear_pin(DOUT5);shift_register_io_pins()
#define io52_toggle_output ic74hc595_toggle_pin(DOUT5);shift_register_io_pins()
#define io52_get_output ic74hc595_get_pin(DOUT5)
#endif</v>
      </c>
    </row>
    <row r="55" spans="1:6" x14ac:dyDescent="0.25">
      <c r="A55" s="4">
        <v>53</v>
      </c>
      <c r="B55" s="4" t="str">
        <f t="shared" si="0"/>
        <v>DIO53</v>
      </c>
      <c r="C55" s="4" t="s">
        <v>49</v>
      </c>
      <c r="D55" s="4" t="s">
        <v>466</v>
      </c>
      <c r="E55" s="4" t="str">
        <f t="shared" si="1"/>
        <v>#ifndef DOUT6_IO_OFFSET
#define DOUT6_IO_OFFSET -1
#define DIO53_IO_OFFSET -1
#else
#define DIO53_IO_OFFSET DOUT6_IO_OFFSET
#ifdef DOUT6
#undef DOUT6
#endif
#ifdef DIO53
#undef DIO53
#endif
#define DOUT6 53
#define DIO53 -53
#define DOUT6_IO_BYTEOFFSET (DOUT6_IO_OFFSET &gt;&gt; 3)
#define DOUT6_IO_BITMASK (1 &lt;&lt; (DOUT6_IO_OFFSET &amp; 0x7))
#define DIO53_IO_BYTEOFFSET DOUT6_IO_BYTEOFFSET
#define DIO53_IO_BITMASK DOUT6_IO_BITMASK
#ifndef IC74HC595_HAS_DOUTS
#define IC74HC595_HAS_DOUTS
#endif
#endif</v>
      </c>
      <c r="F55" s="4" t="str">
        <f t="shared" si="5"/>
        <v>#if ASSERT_PIN_IO(DOUT6)
#define io53_config_output mcu_config_output(DOUT6)
#define io53_set_output mcu_set_output(DOUT6)
#define io53_clear_output mcu_clear_output(DOUT6)
#define io53_toggle_output mcu_toggle_output(DOUT6)
#define io53_get_output mcu_get_output(DOUT6)
#define io53_config_input mcu_config_input(DOUT6)
#define io53_config_pullup mcu_config_pullup(DOUT6)
#define io53_get_input mcu_get_input(DOUT6)
#elif ASSERT_PIN_EXTENDED(DOUT6)
#define io53_config_output
#define io53_set_output ic74hc595_set_pin(DOUT6);shift_register_io_pins()
#define io53_clear_output ic74hc595_clear_pin(DOUT6);shift_register_io_pins()
#define io53_toggle_output ic74hc595_toggle_pin(DOUT6);shift_register_io_pins()
#define io53_get_output ic74hc595_get_pin(DOUT6)
#endif</v>
      </c>
    </row>
    <row r="56" spans="1:6" x14ac:dyDescent="0.25">
      <c r="A56" s="4">
        <v>54</v>
      </c>
      <c r="B56" s="4" t="str">
        <f t="shared" si="0"/>
        <v>DIO54</v>
      </c>
      <c r="C56" s="4" t="s">
        <v>50</v>
      </c>
      <c r="D56" s="4" t="s">
        <v>466</v>
      </c>
      <c r="E56" s="4" t="str">
        <f t="shared" si="1"/>
        <v>#ifndef DOUT7_IO_OFFSET
#define DOUT7_IO_OFFSET -1
#define DIO54_IO_OFFSET -1
#else
#define DIO54_IO_OFFSET DOUT7_IO_OFFSET
#ifdef DOUT7
#undef DOUT7
#endif
#ifdef DIO54
#undef DIO54
#endif
#define DOUT7 54
#define DIO54 -54
#define DOUT7_IO_BYTEOFFSET (DOUT7_IO_OFFSET &gt;&gt; 3)
#define DOUT7_IO_BITMASK (1 &lt;&lt; (DOUT7_IO_OFFSET &amp; 0x7))
#define DIO54_IO_BYTEOFFSET DOUT7_IO_BYTEOFFSET
#define DIO54_IO_BITMASK DOUT7_IO_BITMASK
#ifndef IC74HC595_HAS_DOUTS
#define IC74HC595_HAS_DOUTS
#endif
#endif</v>
      </c>
      <c r="F56" s="4" t="str">
        <f t="shared" si="5"/>
        <v>#if ASSERT_PIN_IO(DOUT7)
#define io54_config_output mcu_config_output(DOUT7)
#define io54_set_output mcu_set_output(DOUT7)
#define io54_clear_output mcu_clear_output(DOUT7)
#define io54_toggle_output mcu_toggle_output(DOUT7)
#define io54_get_output mcu_get_output(DOUT7)
#define io54_config_input mcu_config_input(DOUT7)
#define io54_config_pullup mcu_config_pullup(DOUT7)
#define io54_get_input mcu_get_input(DOUT7)
#elif ASSERT_PIN_EXTENDED(DOUT7)
#define io54_config_output
#define io54_set_output ic74hc595_set_pin(DOUT7);shift_register_io_pins()
#define io54_clear_output ic74hc595_clear_pin(DOUT7);shift_register_io_pins()
#define io54_toggle_output ic74hc595_toggle_pin(DOUT7);shift_register_io_pins()
#define io54_get_output ic74hc595_get_pin(DOUT7)
#endif</v>
      </c>
    </row>
    <row r="57" spans="1:6" x14ac:dyDescent="0.25">
      <c r="A57" s="4">
        <v>55</v>
      </c>
      <c r="B57" s="4" t="str">
        <f t="shared" si="0"/>
        <v>DIO55</v>
      </c>
      <c r="C57" s="4" t="s">
        <v>51</v>
      </c>
      <c r="D57" s="4" t="s">
        <v>466</v>
      </c>
      <c r="E57" s="4" t="str">
        <f t="shared" si="1"/>
        <v>#ifndef DOUT8_IO_OFFSET
#define DOUT8_IO_OFFSET -1
#define DIO55_IO_OFFSET -1
#else
#define DIO55_IO_OFFSET DOUT8_IO_OFFSET
#ifdef DOUT8
#undef DOUT8
#endif
#ifdef DIO55
#undef DIO55
#endif
#define DOUT8 55
#define DIO55 -55
#define DOUT8_IO_BYTEOFFSET (DOUT8_IO_OFFSET &gt;&gt; 3)
#define DOUT8_IO_BITMASK (1 &lt;&lt; (DOUT8_IO_OFFSET &amp; 0x7))
#define DIO55_IO_BYTEOFFSET DOUT8_IO_BYTEOFFSET
#define DIO55_IO_BITMASK DOUT8_IO_BITMASK
#ifndef IC74HC595_HAS_DOUTS
#define IC74HC595_HAS_DOUTS
#endif
#endif</v>
      </c>
      <c r="F57" s="4" t="str">
        <f t="shared" si="5"/>
        <v>#if ASSERT_PIN_IO(DOUT8)
#define io55_config_output mcu_config_output(DOUT8)
#define io55_set_output mcu_set_output(DOUT8)
#define io55_clear_output mcu_clear_output(DOUT8)
#define io55_toggle_output mcu_toggle_output(DOUT8)
#define io55_get_output mcu_get_output(DOUT8)
#define io55_config_input mcu_config_input(DOUT8)
#define io55_config_pullup mcu_config_pullup(DOUT8)
#define io55_get_input mcu_get_input(DOUT8)
#elif ASSERT_PIN_EXTENDED(DOUT8)
#define io55_config_output
#define io55_set_output ic74hc595_set_pin(DOUT8);shift_register_io_pins()
#define io55_clear_output ic74hc595_clear_pin(DOUT8);shift_register_io_pins()
#define io55_toggle_output ic74hc595_toggle_pin(DOUT8);shift_register_io_pins()
#define io55_get_output ic74hc595_get_pin(DOUT8)
#endif</v>
      </c>
    </row>
    <row r="58" spans="1:6" x14ac:dyDescent="0.25">
      <c r="A58" s="4">
        <v>56</v>
      </c>
      <c r="B58" s="4" t="str">
        <f t="shared" si="0"/>
        <v>DIO56</v>
      </c>
      <c r="C58" s="4" t="s">
        <v>52</v>
      </c>
      <c r="D58" s="4" t="s">
        <v>466</v>
      </c>
      <c r="E58" s="4" t="str">
        <f t="shared" si="1"/>
        <v>#ifndef DOUT9_IO_OFFSET
#define DOUT9_IO_OFFSET -1
#define DIO56_IO_OFFSET -1
#else
#define DIO56_IO_OFFSET DOUT9_IO_OFFSET
#ifdef DOUT9
#undef DOUT9
#endif
#ifdef DIO56
#undef DIO56
#endif
#define DOUT9 56
#define DIO56 -56
#define DOUT9_IO_BYTEOFFSET (DOUT9_IO_OFFSET &gt;&gt; 3)
#define DOUT9_IO_BITMASK (1 &lt;&lt; (DOUT9_IO_OFFSET &amp; 0x7))
#define DIO56_IO_BYTEOFFSET DOUT9_IO_BYTEOFFSET
#define DIO56_IO_BITMASK DOUT9_IO_BITMASK
#ifndef IC74HC595_HAS_DOUTS
#define IC74HC595_HAS_DOUTS
#endif
#endif</v>
      </c>
      <c r="F58" s="4" t="str">
        <f t="shared" si="5"/>
        <v>#if ASSERT_PIN_IO(DOUT9)
#define io56_config_output mcu_config_output(DOUT9)
#define io56_set_output mcu_set_output(DOUT9)
#define io56_clear_output mcu_clear_output(DOUT9)
#define io56_toggle_output mcu_toggle_output(DOUT9)
#define io56_get_output mcu_get_output(DOUT9)
#define io56_config_input mcu_config_input(DOUT9)
#define io56_config_pullup mcu_config_pullup(DOUT9)
#define io56_get_input mcu_get_input(DOUT9)
#elif ASSERT_PIN_EXTENDED(DOUT9)
#define io56_config_output
#define io56_set_output ic74hc595_set_pin(DOUT9);shift_register_io_pins()
#define io56_clear_output ic74hc595_clear_pin(DOUT9);shift_register_io_pins()
#define io56_toggle_output ic74hc595_toggle_pin(DOUT9);shift_register_io_pins()
#define io56_get_output ic74hc595_get_pin(DOUT9)
#endif</v>
      </c>
    </row>
    <row r="59" spans="1:6" x14ac:dyDescent="0.25">
      <c r="A59" s="4">
        <v>57</v>
      </c>
      <c r="B59" s="4" t="str">
        <f t="shared" si="0"/>
        <v>DIO57</v>
      </c>
      <c r="C59" s="4" t="s">
        <v>53</v>
      </c>
      <c r="D59" s="4" t="s">
        <v>466</v>
      </c>
      <c r="E59" s="4" t="str">
        <f t="shared" si="1"/>
        <v>#ifndef DOUT10_IO_OFFSET
#define DOUT10_IO_OFFSET -1
#define DIO57_IO_OFFSET -1
#else
#define DIO57_IO_OFFSET DOUT10_IO_OFFSET
#ifdef DOUT10
#undef DOUT10
#endif
#ifdef DIO57
#undef DIO57
#endif
#define DOUT10 57
#define DIO57 -57
#define DOUT10_IO_BYTEOFFSET (DOUT10_IO_OFFSET &gt;&gt; 3)
#define DOUT10_IO_BITMASK (1 &lt;&lt; (DOUT10_IO_OFFSET &amp; 0x7))
#define DIO57_IO_BYTEOFFSET DOUT10_IO_BYTEOFFSET
#define DIO57_IO_BITMASK DOUT10_IO_BITMASK
#ifndef IC74HC595_HAS_DOUTS
#define IC74HC595_HAS_DOUTS
#endif
#endif</v>
      </c>
      <c r="F59" s="4" t="str">
        <f t="shared" si="5"/>
        <v>#if ASSERT_PIN_IO(DOUT10)
#define io57_config_output mcu_config_output(DOUT10)
#define io57_set_output mcu_set_output(DOUT10)
#define io57_clear_output mcu_clear_output(DOUT10)
#define io57_toggle_output mcu_toggle_output(DOUT10)
#define io57_get_output mcu_get_output(DOUT10)
#define io57_config_input mcu_config_input(DOUT10)
#define io57_config_pullup mcu_config_pullup(DOUT10)
#define io57_get_input mcu_get_input(DOUT10)
#elif ASSERT_PIN_EXTENDED(DOUT10)
#define io57_config_output
#define io57_set_output ic74hc595_set_pin(DOUT10);shift_register_io_pins()
#define io57_clear_output ic74hc595_clear_pin(DOUT10);shift_register_io_pins()
#define io57_toggle_output ic74hc595_toggle_pin(DOUT10);shift_register_io_pins()
#define io57_get_output ic74hc595_get_pin(DOUT10)
#endif</v>
      </c>
    </row>
    <row r="60" spans="1:6" x14ac:dyDescent="0.25">
      <c r="A60" s="4">
        <v>58</v>
      </c>
      <c r="B60" s="4" t="str">
        <f t="shared" si="0"/>
        <v>DIO58</v>
      </c>
      <c r="C60" s="4" t="s">
        <v>54</v>
      </c>
      <c r="D60" s="4" t="s">
        <v>466</v>
      </c>
      <c r="E60" s="4" t="str">
        <f t="shared" si="1"/>
        <v>#ifndef DOUT11_IO_OFFSET
#define DOUT11_IO_OFFSET -1
#define DIO58_IO_OFFSET -1
#else
#define DIO58_IO_OFFSET DOUT11_IO_OFFSET
#ifdef DOUT11
#undef DOUT11
#endif
#ifdef DIO58
#undef DIO58
#endif
#define DOUT11 58
#define DIO58 -58
#define DOUT11_IO_BYTEOFFSET (DOUT11_IO_OFFSET &gt;&gt; 3)
#define DOUT11_IO_BITMASK (1 &lt;&lt; (DOUT11_IO_OFFSET &amp; 0x7))
#define DIO58_IO_BYTEOFFSET DOUT11_IO_BYTEOFFSET
#define DIO58_IO_BITMASK DOUT11_IO_BITMASK
#ifndef IC74HC595_HAS_DOUTS
#define IC74HC595_HAS_DOUTS
#endif
#endif</v>
      </c>
      <c r="F60" s="4" t="str">
        <f t="shared" si="5"/>
        <v>#if ASSERT_PIN_IO(DOUT11)
#define io58_config_output mcu_config_output(DOUT11)
#define io58_set_output mcu_set_output(DOUT11)
#define io58_clear_output mcu_clear_output(DOUT11)
#define io58_toggle_output mcu_toggle_output(DOUT11)
#define io58_get_output mcu_get_output(DOUT11)
#define io58_config_input mcu_config_input(DOUT11)
#define io58_config_pullup mcu_config_pullup(DOUT11)
#define io58_get_input mcu_get_input(DOUT11)
#elif ASSERT_PIN_EXTENDED(DOUT11)
#define io58_config_output
#define io58_set_output ic74hc595_set_pin(DOUT11);shift_register_io_pins()
#define io58_clear_output ic74hc595_clear_pin(DOUT11);shift_register_io_pins()
#define io58_toggle_output ic74hc595_toggle_pin(DOUT11);shift_register_io_pins()
#define io58_get_output ic74hc595_get_pin(DOUT11)
#endif</v>
      </c>
    </row>
    <row r="61" spans="1:6" x14ac:dyDescent="0.25">
      <c r="A61" s="4">
        <v>59</v>
      </c>
      <c r="B61" s="4" t="str">
        <f t="shared" si="0"/>
        <v>DIO59</v>
      </c>
      <c r="C61" s="4" t="s">
        <v>55</v>
      </c>
      <c r="D61" s="4" t="s">
        <v>466</v>
      </c>
      <c r="E61" s="4" t="str">
        <f t="shared" si="1"/>
        <v>#ifndef DOUT12_IO_OFFSET
#define DOUT12_IO_OFFSET -1
#define DIO59_IO_OFFSET -1
#else
#define DIO59_IO_OFFSET DOUT12_IO_OFFSET
#ifdef DOUT12
#undef DOUT12
#endif
#ifdef DIO59
#undef DIO59
#endif
#define DOUT12 59
#define DIO59 -59
#define DOUT12_IO_BYTEOFFSET (DOUT12_IO_OFFSET &gt;&gt; 3)
#define DOUT12_IO_BITMASK (1 &lt;&lt; (DOUT12_IO_OFFSET &amp; 0x7))
#define DIO59_IO_BYTEOFFSET DOUT12_IO_BYTEOFFSET
#define DIO59_IO_BITMASK DOUT12_IO_BITMASK
#ifndef IC74HC595_HAS_DOUTS
#define IC74HC595_HAS_DOUTS
#endif
#endif</v>
      </c>
      <c r="F61" s="4" t="str">
        <f t="shared" si="5"/>
        <v>#if ASSERT_PIN_IO(DOUT12)
#define io59_config_output mcu_config_output(DOUT12)
#define io59_set_output mcu_set_output(DOUT12)
#define io59_clear_output mcu_clear_output(DOUT12)
#define io59_toggle_output mcu_toggle_output(DOUT12)
#define io59_get_output mcu_get_output(DOUT12)
#define io59_config_input mcu_config_input(DOUT12)
#define io59_config_pullup mcu_config_pullup(DOUT12)
#define io59_get_input mcu_get_input(DOUT12)
#elif ASSERT_PIN_EXTENDED(DOUT12)
#define io59_config_output
#define io59_set_output ic74hc595_set_pin(DOUT12);shift_register_io_pins()
#define io59_clear_output ic74hc595_clear_pin(DOUT12);shift_register_io_pins()
#define io59_toggle_output ic74hc595_toggle_pin(DOUT12);shift_register_io_pins()
#define io59_get_output ic74hc595_get_pin(DOUT12)
#endif</v>
      </c>
    </row>
    <row r="62" spans="1:6" x14ac:dyDescent="0.25">
      <c r="A62" s="4">
        <v>60</v>
      </c>
      <c r="B62" s="4" t="str">
        <f t="shared" si="0"/>
        <v>DIO60</v>
      </c>
      <c r="C62" s="4" t="s">
        <v>56</v>
      </c>
      <c r="D62" s="4" t="s">
        <v>466</v>
      </c>
      <c r="E62" s="4" t="str">
        <f t="shared" si="1"/>
        <v>#ifndef DOUT13_IO_OFFSET
#define DOUT13_IO_OFFSET -1
#define DIO60_IO_OFFSET -1
#else
#define DIO60_IO_OFFSET DOUT13_IO_OFFSET
#ifdef DOUT13
#undef DOUT13
#endif
#ifdef DIO60
#undef DIO60
#endif
#define DOUT13 60
#define DIO60 -60
#define DOUT13_IO_BYTEOFFSET (DOUT13_IO_OFFSET &gt;&gt; 3)
#define DOUT13_IO_BITMASK (1 &lt;&lt; (DOUT13_IO_OFFSET &amp; 0x7))
#define DIO60_IO_BYTEOFFSET DOUT13_IO_BYTEOFFSET
#define DIO60_IO_BITMASK DOUT13_IO_BITMASK
#ifndef IC74HC595_HAS_DOUTS
#define IC74HC595_HAS_DOUTS
#endif
#endif</v>
      </c>
      <c r="F62" s="4" t="str">
        <f t="shared" si="5"/>
        <v>#if ASSERT_PIN_IO(DOUT13)
#define io60_config_output mcu_config_output(DOUT13)
#define io60_set_output mcu_set_output(DOUT13)
#define io60_clear_output mcu_clear_output(DOUT13)
#define io60_toggle_output mcu_toggle_output(DOUT13)
#define io60_get_output mcu_get_output(DOUT13)
#define io60_config_input mcu_config_input(DOUT13)
#define io60_config_pullup mcu_config_pullup(DOUT13)
#define io60_get_input mcu_get_input(DOUT13)
#elif ASSERT_PIN_EXTENDED(DOUT13)
#define io60_config_output
#define io60_set_output ic74hc595_set_pin(DOUT13);shift_register_io_pins()
#define io60_clear_output ic74hc595_clear_pin(DOUT13);shift_register_io_pins()
#define io60_toggle_output ic74hc595_toggle_pin(DOUT13);shift_register_io_pins()
#define io60_get_output ic74hc595_get_pin(DOUT13)
#endif</v>
      </c>
    </row>
    <row r="63" spans="1:6" x14ac:dyDescent="0.25">
      <c r="A63" s="4">
        <v>61</v>
      </c>
      <c r="B63" s="4" t="str">
        <f t="shared" si="0"/>
        <v>DIO61</v>
      </c>
      <c r="C63" s="4" t="s">
        <v>57</v>
      </c>
      <c r="D63" s="4" t="s">
        <v>466</v>
      </c>
      <c r="E63" s="4" t="str">
        <f t="shared" si="1"/>
        <v>#ifndef DOUT14_IO_OFFSET
#define DOUT14_IO_OFFSET -1
#define DIO61_IO_OFFSET -1
#else
#define DIO61_IO_OFFSET DOUT14_IO_OFFSET
#ifdef DOUT14
#undef DOUT14
#endif
#ifdef DIO61
#undef DIO61
#endif
#define DOUT14 61
#define DIO61 -61
#define DOUT14_IO_BYTEOFFSET (DOUT14_IO_OFFSET &gt;&gt; 3)
#define DOUT14_IO_BITMASK (1 &lt;&lt; (DOUT14_IO_OFFSET &amp; 0x7))
#define DIO61_IO_BYTEOFFSET DOUT14_IO_BYTEOFFSET
#define DIO61_IO_BITMASK DOUT14_IO_BITMASK
#ifndef IC74HC595_HAS_DOUTS
#define IC74HC595_HAS_DOUTS
#endif
#endif</v>
      </c>
      <c r="F63" s="4" t="str">
        <f t="shared" si="5"/>
        <v>#if ASSERT_PIN_IO(DOUT14)
#define io61_config_output mcu_config_output(DOUT14)
#define io61_set_output mcu_set_output(DOUT14)
#define io61_clear_output mcu_clear_output(DOUT14)
#define io61_toggle_output mcu_toggle_output(DOUT14)
#define io61_get_output mcu_get_output(DOUT14)
#define io61_config_input mcu_config_input(DOUT14)
#define io61_config_pullup mcu_config_pullup(DOUT14)
#define io61_get_input mcu_get_input(DOUT14)
#elif ASSERT_PIN_EXTENDED(DOUT14)
#define io61_config_output
#define io61_set_output ic74hc595_set_pin(DOUT14);shift_register_io_pins()
#define io61_clear_output ic74hc595_clear_pin(DOUT14);shift_register_io_pins()
#define io61_toggle_output ic74hc595_toggle_pin(DOUT14);shift_register_io_pins()
#define io61_get_output ic74hc595_get_pin(DOUT14)
#endif</v>
      </c>
    </row>
    <row r="64" spans="1:6" x14ac:dyDescent="0.25">
      <c r="A64" s="4">
        <v>62</v>
      </c>
      <c r="B64" s="4" t="str">
        <f t="shared" si="0"/>
        <v>DIO62</v>
      </c>
      <c r="C64" s="4" t="s">
        <v>58</v>
      </c>
      <c r="D64" s="4" t="s">
        <v>466</v>
      </c>
      <c r="E64" s="4" t="str">
        <f t="shared" si="1"/>
        <v>#ifndef DOUT15_IO_OFFSET
#define DOUT15_IO_OFFSET -1
#define DIO62_IO_OFFSET -1
#else
#define DIO62_IO_OFFSET DOUT15_IO_OFFSET
#ifdef DOUT15
#undef DOUT15
#endif
#ifdef DIO62
#undef DIO62
#endif
#define DOUT15 62
#define DIO62 -62
#define DOUT15_IO_BYTEOFFSET (DOUT15_IO_OFFSET &gt;&gt; 3)
#define DOUT15_IO_BITMASK (1 &lt;&lt; (DOUT15_IO_OFFSET &amp; 0x7))
#define DIO62_IO_BYTEOFFSET DOUT15_IO_BYTEOFFSET
#define DIO62_IO_BITMASK DOUT15_IO_BITMASK
#ifndef IC74HC595_HAS_DOUTS
#define IC74HC595_HAS_DOUTS
#endif
#endif</v>
      </c>
      <c r="F64" s="4" t="str">
        <f t="shared" si="5"/>
        <v>#if ASSERT_PIN_IO(DOUT15)
#define io62_config_output mcu_config_output(DOUT15)
#define io62_set_output mcu_set_output(DOUT15)
#define io62_clear_output mcu_clear_output(DOUT15)
#define io62_toggle_output mcu_toggle_output(DOUT15)
#define io62_get_output mcu_get_output(DOUT15)
#define io62_config_input mcu_config_input(DOUT15)
#define io62_config_pullup mcu_config_pullup(DOUT15)
#define io62_get_input mcu_get_input(DOUT15)
#elif ASSERT_PIN_EXTENDED(DOUT15)
#define io62_config_output
#define io62_set_output ic74hc595_set_pin(DOUT15);shift_register_io_pins()
#define io62_clear_output ic74hc595_clear_pin(DOUT15);shift_register_io_pins()
#define io62_toggle_output ic74hc595_toggle_pin(DOUT15);shift_register_io_pins()
#define io62_get_output ic74hc595_get_pin(DOUT15)
#endif</v>
      </c>
    </row>
    <row r="65" spans="1:6" x14ac:dyDescent="0.25">
      <c r="A65" s="4">
        <v>63</v>
      </c>
      <c r="B65" s="4" t="str">
        <f t="shared" si="0"/>
        <v>DIO63</v>
      </c>
      <c r="C65" s="4" t="s">
        <v>191</v>
      </c>
      <c r="D65" s="4" t="s">
        <v>466</v>
      </c>
      <c r="E65" s="4" t="str">
        <f t="shared" si="1"/>
        <v>#ifndef DOUT16_IO_OFFSET
#define DOUT16_IO_OFFSET -1
#define DIO63_IO_OFFSET -1
#else
#define DIO63_IO_OFFSET DOUT16_IO_OFFSET
#ifdef DOUT16
#undef DOUT16
#endif
#ifdef DIO63
#undef DIO63
#endif
#define DOUT16 63
#define DIO63 -63
#define DOUT16_IO_BYTEOFFSET (DOUT16_IO_OFFSET &gt;&gt; 3)
#define DOUT16_IO_BITMASK (1 &lt;&lt; (DOUT16_IO_OFFSET &amp; 0x7))
#define DIO63_IO_BYTEOFFSET DOUT16_IO_BYTEOFFSET
#define DIO63_IO_BITMASK DOUT16_IO_BITMASK
#ifndef IC74HC595_HAS_DOUTS
#define IC74HC595_HAS_DOUTS
#endif
#endif</v>
      </c>
      <c r="F65" s="4" t="str">
        <f t="shared" si="5"/>
        <v>#if ASSERT_PIN_IO(DOUT16)
#define io63_config_output mcu_config_output(DOUT16)
#define io63_set_output mcu_set_output(DOUT16)
#define io63_clear_output mcu_clear_output(DOUT16)
#define io63_toggle_output mcu_toggle_output(DOUT16)
#define io63_get_output mcu_get_output(DOUT16)
#define io63_config_input mcu_config_input(DOUT16)
#define io63_config_pullup mcu_config_pullup(DOUT16)
#define io63_get_input mcu_get_input(DOUT16)
#elif ASSERT_PIN_EXTENDED(DOUT16)
#define io63_config_output
#define io63_set_output ic74hc595_set_pin(DOUT16);shift_register_io_pins()
#define io63_clear_output ic74hc595_clear_pin(DOUT16);shift_register_io_pins()
#define io63_toggle_output ic74hc595_toggle_pin(DOUT16);shift_register_io_pins()
#define io63_get_output ic74hc595_get_pin(DOUT16)
#endif</v>
      </c>
    </row>
    <row r="66" spans="1:6" x14ac:dyDescent="0.25">
      <c r="A66" s="4">
        <v>64</v>
      </c>
      <c r="B66" s="4" t="str">
        <f t="shared" si="0"/>
        <v>DIO64</v>
      </c>
      <c r="C66" s="4" t="s">
        <v>192</v>
      </c>
      <c r="D66" s="4" t="s">
        <v>466</v>
      </c>
      <c r="E66" s="4" t="str">
        <f t="shared" si="1"/>
        <v>#ifndef DOUT17_IO_OFFSET
#define DOUT17_IO_OFFSET -1
#define DIO64_IO_OFFSET -1
#else
#define DIO64_IO_OFFSET DOUT17_IO_OFFSET
#ifdef DOUT17
#undef DOUT17
#endif
#ifdef DIO64
#undef DIO64
#endif
#define DOUT17 64
#define DIO64 -64
#define DOUT17_IO_BYTEOFFSET (DOUT17_IO_OFFSET &gt;&gt; 3)
#define DOUT17_IO_BITMASK (1 &lt;&lt; (DOUT17_IO_OFFSET &amp; 0x7))
#define DIO64_IO_BYTEOFFSET DOUT17_IO_BYTEOFFSET
#define DIO64_IO_BITMASK DOUT17_IO_BITMASK
#ifndef IC74HC595_HAS_DOUTS
#define IC74HC595_HAS_DOUTS
#endif
#endif</v>
      </c>
      <c r="F66" s="4" t="str">
        <f t="shared" si="5"/>
        <v>#if ASSERT_PIN_IO(DOUT17)
#define io64_config_output mcu_config_output(DOUT17)
#define io64_set_output mcu_set_output(DOUT17)
#define io64_clear_output mcu_clear_output(DOUT17)
#define io64_toggle_output mcu_toggle_output(DOUT17)
#define io64_get_output mcu_get_output(DOUT17)
#define io64_config_input mcu_config_input(DOUT17)
#define io64_config_pullup mcu_config_pullup(DOUT17)
#define io64_get_input mcu_get_input(DOUT17)
#elif ASSERT_PIN_EXTENDED(DOUT17)
#define io64_config_output
#define io64_set_output ic74hc595_set_pin(DOUT17);shift_register_io_pins()
#define io64_clear_output ic74hc595_clear_pin(DOUT17);shift_register_io_pins()
#define io64_toggle_output ic74hc595_toggle_pin(DOUT17);shift_register_io_pins()
#define io64_get_output ic74hc595_get_pin(DOUT17)
#endif</v>
      </c>
    </row>
    <row r="67" spans="1:6" x14ac:dyDescent="0.25">
      <c r="A67" s="4">
        <v>65</v>
      </c>
      <c r="B67" s="4" t="str">
        <f t="shared" si="0"/>
        <v>DIO65</v>
      </c>
      <c r="C67" s="4" t="s">
        <v>193</v>
      </c>
      <c r="D67" s="4" t="s">
        <v>466</v>
      </c>
      <c r="E67" s="4" t="str">
        <f t="shared" si="1"/>
        <v>#ifndef DOUT18_IO_OFFSET
#define DOUT18_IO_OFFSET -1
#define DIO65_IO_OFFSET -1
#else
#define DIO65_IO_OFFSET DOUT18_IO_OFFSET
#ifdef DOUT18
#undef DOUT18
#endif
#ifdef DIO65
#undef DIO65
#endif
#define DOUT18 65
#define DIO65 -65
#define DOUT18_IO_BYTEOFFSET (DOUT18_IO_OFFSET &gt;&gt; 3)
#define DOUT18_IO_BITMASK (1 &lt;&lt; (DOUT18_IO_OFFSET &amp; 0x7))
#define DIO65_IO_BYTEOFFSET DOUT18_IO_BYTEOFFSET
#define DIO65_IO_BITMASK DOUT18_IO_BITMASK
#ifndef IC74HC595_HAS_DOUTS
#define IC74HC595_HAS_DOUTS
#endif
#endif</v>
      </c>
      <c r="F67" s="4" t="str">
        <f t="shared" si="5"/>
        <v>#if ASSERT_PIN_IO(DOUT18)
#define io65_config_output mcu_config_output(DOUT18)
#define io65_set_output mcu_set_output(DOUT18)
#define io65_clear_output mcu_clear_output(DOUT18)
#define io65_toggle_output mcu_toggle_output(DOUT18)
#define io65_get_output mcu_get_output(DOUT18)
#define io65_config_input mcu_config_input(DOUT18)
#define io65_config_pullup mcu_config_pullup(DOUT18)
#define io65_get_input mcu_get_input(DOUT18)
#elif ASSERT_PIN_EXTENDED(DOUT18)
#define io65_config_output
#define io65_set_output ic74hc595_set_pin(DOUT18);shift_register_io_pins()
#define io65_clear_output ic74hc595_clear_pin(DOUT18);shift_register_io_pins()
#define io65_toggle_output ic74hc595_toggle_pin(DOUT18);shift_register_io_pins()
#define io65_get_output ic74hc595_get_pin(DOUT18)
#endif</v>
      </c>
    </row>
    <row r="68" spans="1:6" x14ac:dyDescent="0.25">
      <c r="A68" s="4">
        <v>66</v>
      </c>
      <c r="B68" s="4" t="str">
        <f t="shared" si="0"/>
        <v>DIO66</v>
      </c>
      <c r="C68" s="4" t="s">
        <v>194</v>
      </c>
      <c r="D68" s="4" t="s">
        <v>466</v>
      </c>
      <c r="E68" s="4" t="str">
        <f t="shared" ref="E68:E98" si="6">"#ifndef "&amp;C68&amp;"_IO_OFFSET
#define "&amp;C68&amp;"_IO_OFFSET -1
#define "&amp;B68&amp;"_IO_OFFSET -1
#else
#define "&amp;B68&amp;"_IO_OFFSET "&amp;C68&amp;"_IO_OFFSET
#ifdef "&amp;C68&amp;"
#undef "&amp;C68&amp;"
#endif
#ifdef "&amp;B68&amp;"
#undef "&amp;B68&amp;"
#endif
#define "&amp;C68&amp;" "&amp;A68&amp;"
#define "&amp;B68&amp;" -"&amp;A68&amp;"
#define "&amp;C68&amp;"_IO_BYTEOFFSET ("&amp;C68&amp;"_IO_OFFSET &gt;&gt; 3)
#define "&amp;C68&amp;"_IO_BITMASK (1 &lt;&lt; ("&amp;C68&amp;"_IO_OFFSET &amp; 0x7))
#define "&amp;B68&amp;"_IO_BYTEOFFSET "&amp;C68&amp;"_IO_BYTEOFFSET
#define "&amp;B68&amp;"_IO_BITMASK "&amp;C68&amp;"_IO_BITMASK
#ifndef IC74HC595_HAS_"&amp;D68&amp;"
#define IC74HC595_HAS_"&amp;D68&amp;"
#endif
#endif"</f>
        <v>#ifndef DOUT19_IO_OFFSET
#define DOUT19_IO_OFFSET -1
#define DIO66_IO_OFFSET -1
#else
#define DIO66_IO_OFFSET DOUT19_IO_OFFSET
#ifdef DOUT19
#undef DOUT19
#endif
#ifdef DIO66
#undef DIO66
#endif
#define DOUT19 66
#define DIO66 -66
#define DOUT19_IO_BYTEOFFSET (DOUT19_IO_OFFSET &gt;&gt; 3)
#define DOUT19_IO_BITMASK (1 &lt;&lt; (DOUT19_IO_OFFSET &amp; 0x7))
#define DIO66_IO_BYTEOFFSET DOUT19_IO_BYTEOFFSET
#define DIO66_IO_BITMASK DOUT19_IO_BITMASK
#ifndef IC74HC595_HAS_DOUTS
#define IC74HC595_HAS_DOUTS
#endif
#endif</v>
      </c>
      <c r="F68" s="4" t="str">
        <f t="shared" si="5"/>
        <v>#if ASSERT_PIN_IO(DOUT19)
#define io66_config_output mcu_config_output(DOUT19)
#define io66_set_output mcu_set_output(DOUT19)
#define io66_clear_output mcu_clear_output(DOUT19)
#define io66_toggle_output mcu_toggle_output(DOUT19)
#define io66_get_output mcu_get_output(DOUT19)
#define io66_config_input mcu_config_input(DOUT19)
#define io66_config_pullup mcu_config_pullup(DOUT19)
#define io66_get_input mcu_get_input(DOUT19)
#elif ASSERT_PIN_EXTENDED(DOUT19)
#define io66_config_output
#define io66_set_output ic74hc595_set_pin(DOUT19);shift_register_io_pins()
#define io66_clear_output ic74hc595_clear_pin(DOUT19);shift_register_io_pins()
#define io66_toggle_output ic74hc595_toggle_pin(DOUT19);shift_register_io_pins()
#define io66_get_output ic74hc595_get_pin(DOUT19)
#endif</v>
      </c>
    </row>
    <row r="69" spans="1:6" x14ac:dyDescent="0.25">
      <c r="A69" s="4">
        <v>67</v>
      </c>
      <c r="B69" s="4" t="str">
        <f t="shared" si="0"/>
        <v>DIO67</v>
      </c>
      <c r="C69" s="4" t="s">
        <v>195</v>
      </c>
      <c r="D69" s="4" t="s">
        <v>466</v>
      </c>
      <c r="E69" s="4" t="str">
        <f t="shared" si="6"/>
        <v>#ifndef DOUT20_IO_OFFSET
#define DOUT20_IO_OFFSET -1
#define DIO67_IO_OFFSET -1
#else
#define DIO67_IO_OFFSET DOUT20_IO_OFFSET
#ifdef DOUT20
#undef DOUT20
#endif
#ifdef DIO67
#undef DIO67
#endif
#define DOUT20 67
#define DIO67 -67
#define DOUT20_IO_BYTEOFFSET (DOUT20_IO_OFFSET &gt;&gt; 3)
#define DOUT20_IO_BITMASK (1 &lt;&lt; (DOUT20_IO_OFFSET &amp; 0x7))
#define DIO67_IO_BYTEOFFSET DOUT20_IO_BYTEOFFSET
#define DIO67_IO_BITMASK DOUT20_IO_BITMASK
#ifndef IC74HC595_HAS_DOUTS
#define IC74HC595_HAS_DOUTS
#endif
#endif</v>
      </c>
      <c r="F69" s="4" t="str">
        <f t="shared" si="5"/>
        <v>#if ASSERT_PIN_IO(DOUT20)
#define io67_config_output mcu_config_output(DOUT20)
#define io67_set_output mcu_set_output(DOUT20)
#define io67_clear_output mcu_clear_output(DOUT20)
#define io67_toggle_output mcu_toggle_output(DOUT20)
#define io67_get_output mcu_get_output(DOUT20)
#define io67_config_input mcu_config_input(DOUT20)
#define io67_config_pullup mcu_config_pullup(DOUT20)
#define io67_get_input mcu_get_input(DOUT20)
#elif ASSERT_PIN_EXTENDED(DOUT20)
#define io67_config_output
#define io67_set_output ic74hc595_set_pin(DOUT20);shift_register_io_pins()
#define io67_clear_output ic74hc595_clear_pin(DOUT20);shift_register_io_pins()
#define io67_toggle_output ic74hc595_toggle_pin(DOUT20);shift_register_io_pins()
#define io67_get_output ic74hc595_get_pin(DOUT20)
#endif</v>
      </c>
    </row>
    <row r="70" spans="1:6" x14ac:dyDescent="0.25">
      <c r="A70" s="4">
        <v>68</v>
      </c>
      <c r="B70" s="4" t="str">
        <f t="shared" si="0"/>
        <v>DIO68</v>
      </c>
      <c r="C70" s="4" t="s">
        <v>196</v>
      </c>
      <c r="D70" s="4" t="s">
        <v>466</v>
      </c>
      <c r="E70" s="4" t="str">
        <f t="shared" si="6"/>
        <v>#ifndef DOUT21_IO_OFFSET
#define DOUT21_IO_OFFSET -1
#define DIO68_IO_OFFSET -1
#else
#define DIO68_IO_OFFSET DOUT21_IO_OFFSET
#ifdef DOUT21
#undef DOUT21
#endif
#ifdef DIO68
#undef DIO68
#endif
#define DOUT21 68
#define DIO68 -68
#define DOUT21_IO_BYTEOFFSET (DOUT21_IO_OFFSET &gt;&gt; 3)
#define DOUT21_IO_BITMASK (1 &lt;&lt; (DOUT21_IO_OFFSET &amp; 0x7))
#define DIO68_IO_BYTEOFFSET DOUT21_IO_BYTEOFFSET
#define DIO68_IO_BITMASK DOUT21_IO_BITMASK
#ifndef IC74HC595_HAS_DOUTS
#define IC74HC595_HAS_DOUTS
#endif
#endif</v>
      </c>
      <c r="F70" s="4" t="str">
        <f t="shared" si="5"/>
        <v>#if ASSERT_PIN_IO(DOUT21)
#define io68_config_output mcu_config_output(DOUT21)
#define io68_set_output mcu_set_output(DOUT21)
#define io68_clear_output mcu_clear_output(DOUT21)
#define io68_toggle_output mcu_toggle_output(DOUT21)
#define io68_get_output mcu_get_output(DOUT21)
#define io68_config_input mcu_config_input(DOUT21)
#define io68_config_pullup mcu_config_pullup(DOUT21)
#define io68_get_input mcu_get_input(DOUT21)
#elif ASSERT_PIN_EXTENDED(DOUT21)
#define io68_config_output
#define io68_set_output ic74hc595_set_pin(DOUT21);shift_register_io_pins()
#define io68_clear_output ic74hc595_clear_pin(DOUT21);shift_register_io_pins()
#define io68_toggle_output ic74hc595_toggle_pin(DOUT21);shift_register_io_pins()
#define io68_get_output ic74hc595_get_pin(DOUT21)
#endif</v>
      </c>
    </row>
    <row r="71" spans="1:6" x14ac:dyDescent="0.25">
      <c r="A71" s="4">
        <v>69</v>
      </c>
      <c r="B71" s="4" t="str">
        <f t="shared" si="0"/>
        <v>DIO69</v>
      </c>
      <c r="C71" s="4" t="s">
        <v>197</v>
      </c>
      <c r="D71" s="4" t="s">
        <v>466</v>
      </c>
      <c r="E71" s="4" t="str">
        <f t="shared" si="6"/>
        <v>#ifndef DOUT22_IO_OFFSET
#define DOUT22_IO_OFFSET -1
#define DIO69_IO_OFFSET -1
#else
#define DIO69_IO_OFFSET DOUT22_IO_OFFSET
#ifdef DOUT22
#undef DOUT22
#endif
#ifdef DIO69
#undef DIO69
#endif
#define DOUT22 69
#define DIO69 -69
#define DOUT22_IO_BYTEOFFSET (DOUT22_IO_OFFSET &gt;&gt; 3)
#define DOUT22_IO_BITMASK (1 &lt;&lt; (DOUT22_IO_OFFSET &amp; 0x7))
#define DIO69_IO_BYTEOFFSET DOUT22_IO_BYTEOFFSET
#define DIO69_IO_BITMASK DOUT22_IO_BITMASK
#ifndef IC74HC595_HAS_DOUTS
#define IC74HC595_HAS_DOUTS
#endif
#endif</v>
      </c>
      <c r="F71" s="4" t="str">
        <f t="shared" si="5"/>
        <v>#if ASSERT_PIN_IO(DOUT22)
#define io69_config_output mcu_config_output(DOUT22)
#define io69_set_output mcu_set_output(DOUT22)
#define io69_clear_output mcu_clear_output(DOUT22)
#define io69_toggle_output mcu_toggle_output(DOUT22)
#define io69_get_output mcu_get_output(DOUT22)
#define io69_config_input mcu_config_input(DOUT22)
#define io69_config_pullup mcu_config_pullup(DOUT22)
#define io69_get_input mcu_get_input(DOUT22)
#elif ASSERT_PIN_EXTENDED(DOUT22)
#define io69_config_output
#define io69_set_output ic74hc595_set_pin(DOUT22);shift_register_io_pins()
#define io69_clear_output ic74hc595_clear_pin(DOUT22);shift_register_io_pins()
#define io69_toggle_output ic74hc595_toggle_pin(DOUT22);shift_register_io_pins()
#define io69_get_output ic74hc595_get_pin(DOUT22)
#endif</v>
      </c>
    </row>
    <row r="72" spans="1:6" x14ac:dyDescent="0.25">
      <c r="A72" s="4">
        <v>70</v>
      </c>
      <c r="B72" s="4" t="str">
        <f t="shared" si="0"/>
        <v>DIO70</v>
      </c>
      <c r="C72" s="4" t="s">
        <v>198</v>
      </c>
      <c r="D72" s="4" t="s">
        <v>466</v>
      </c>
      <c r="E72" s="4" t="str">
        <f t="shared" si="6"/>
        <v>#ifndef DOUT23_IO_OFFSET
#define DOUT23_IO_OFFSET -1
#define DIO70_IO_OFFSET -1
#else
#define DIO70_IO_OFFSET DOUT23_IO_OFFSET
#ifdef DOUT23
#undef DOUT23
#endif
#ifdef DIO70
#undef DIO70
#endif
#define DOUT23 70
#define DIO70 -70
#define DOUT23_IO_BYTEOFFSET (DOUT23_IO_OFFSET &gt;&gt; 3)
#define DOUT23_IO_BITMASK (1 &lt;&lt; (DOUT23_IO_OFFSET &amp; 0x7))
#define DIO70_IO_BYTEOFFSET DOUT23_IO_BYTEOFFSET
#define DIO70_IO_BITMASK DOUT23_IO_BITMASK
#ifndef IC74HC595_HAS_DOUTS
#define IC74HC595_HAS_DOUTS
#endif
#endif</v>
      </c>
      <c r="F72" s="4" t="str">
        <f t="shared" si="5"/>
        <v>#if ASSERT_PIN_IO(DOUT23)
#define io70_config_output mcu_config_output(DOUT23)
#define io70_set_output mcu_set_output(DOUT23)
#define io70_clear_output mcu_clear_output(DOUT23)
#define io70_toggle_output mcu_toggle_output(DOUT23)
#define io70_get_output mcu_get_output(DOUT23)
#define io70_config_input mcu_config_input(DOUT23)
#define io70_config_pullup mcu_config_pullup(DOUT23)
#define io70_get_input mcu_get_input(DOUT23)
#elif ASSERT_PIN_EXTENDED(DOUT23)
#define io70_config_output
#define io70_set_output ic74hc595_set_pin(DOUT23);shift_register_io_pins()
#define io70_clear_output ic74hc595_clear_pin(DOUT23);shift_register_io_pins()
#define io70_toggle_output ic74hc595_toggle_pin(DOUT23);shift_register_io_pins()
#define io70_get_output ic74hc595_get_pin(DOUT23)
#endif</v>
      </c>
    </row>
    <row r="73" spans="1:6" x14ac:dyDescent="0.25">
      <c r="A73" s="4">
        <v>71</v>
      </c>
      <c r="B73" s="4" t="str">
        <f t="shared" si="0"/>
        <v>DIO71</v>
      </c>
      <c r="C73" s="4" t="s">
        <v>199</v>
      </c>
      <c r="D73" s="4" t="s">
        <v>466</v>
      </c>
      <c r="E73" s="4" t="str">
        <f t="shared" si="6"/>
        <v>#ifndef DOUT24_IO_OFFSET
#define DOUT24_IO_OFFSET -1
#define DIO71_IO_OFFSET -1
#else
#define DIO71_IO_OFFSET DOUT24_IO_OFFSET
#ifdef DOUT24
#undef DOUT24
#endif
#ifdef DIO71
#undef DIO71
#endif
#define DOUT24 71
#define DIO71 -71
#define DOUT24_IO_BYTEOFFSET (DOUT24_IO_OFFSET &gt;&gt; 3)
#define DOUT24_IO_BITMASK (1 &lt;&lt; (DOUT24_IO_OFFSET &amp; 0x7))
#define DIO71_IO_BYTEOFFSET DOUT24_IO_BYTEOFFSET
#define DIO71_IO_BITMASK DOUT24_IO_BITMASK
#ifndef IC74HC595_HAS_DOUTS
#define IC74HC595_HAS_DOUTS
#endif
#endif</v>
      </c>
      <c r="F73" s="4" t="str">
        <f t="shared" si="5"/>
        <v>#if ASSERT_PIN_IO(DOUT24)
#define io71_config_output mcu_config_output(DOUT24)
#define io71_set_output mcu_set_output(DOUT24)
#define io71_clear_output mcu_clear_output(DOUT24)
#define io71_toggle_output mcu_toggle_output(DOUT24)
#define io71_get_output mcu_get_output(DOUT24)
#define io71_config_input mcu_config_input(DOUT24)
#define io71_config_pullup mcu_config_pullup(DOUT24)
#define io71_get_input mcu_get_input(DOUT24)
#elif ASSERT_PIN_EXTENDED(DOUT24)
#define io71_config_output
#define io71_set_output ic74hc595_set_pin(DOUT24);shift_register_io_pins()
#define io71_clear_output ic74hc595_clear_pin(DOUT24);shift_register_io_pins()
#define io71_toggle_output ic74hc595_toggle_pin(DOUT24);shift_register_io_pins()
#define io71_get_output ic74hc595_get_pin(DOUT24)
#endif</v>
      </c>
    </row>
    <row r="74" spans="1:6" x14ac:dyDescent="0.25">
      <c r="A74" s="4">
        <v>72</v>
      </c>
      <c r="B74" s="4" t="str">
        <f t="shared" si="0"/>
        <v>DIO72</v>
      </c>
      <c r="C74" s="4" t="s">
        <v>200</v>
      </c>
      <c r="D74" s="4" t="s">
        <v>466</v>
      </c>
      <c r="E74" s="4" t="str">
        <f t="shared" si="6"/>
        <v>#ifndef DOUT25_IO_OFFSET
#define DOUT25_IO_OFFSET -1
#define DIO72_IO_OFFSET -1
#else
#define DIO72_IO_OFFSET DOUT25_IO_OFFSET
#ifdef DOUT25
#undef DOUT25
#endif
#ifdef DIO72
#undef DIO72
#endif
#define DOUT25 72
#define DIO72 -72
#define DOUT25_IO_BYTEOFFSET (DOUT25_IO_OFFSET &gt;&gt; 3)
#define DOUT25_IO_BITMASK (1 &lt;&lt; (DOUT25_IO_OFFSET &amp; 0x7))
#define DIO72_IO_BYTEOFFSET DOUT25_IO_BYTEOFFSET
#define DIO72_IO_BITMASK DOUT25_IO_BITMASK
#ifndef IC74HC595_HAS_DOUTS
#define IC74HC595_HAS_DOUTS
#endif
#endif</v>
      </c>
      <c r="F74" s="4" t="str">
        <f t="shared" si="5"/>
        <v>#if ASSERT_PIN_IO(DOUT25)
#define io72_config_output mcu_config_output(DOUT25)
#define io72_set_output mcu_set_output(DOUT25)
#define io72_clear_output mcu_clear_output(DOUT25)
#define io72_toggle_output mcu_toggle_output(DOUT25)
#define io72_get_output mcu_get_output(DOUT25)
#define io72_config_input mcu_config_input(DOUT25)
#define io72_config_pullup mcu_config_pullup(DOUT25)
#define io72_get_input mcu_get_input(DOUT25)
#elif ASSERT_PIN_EXTENDED(DOUT25)
#define io72_config_output
#define io72_set_output ic74hc595_set_pin(DOUT25);shift_register_io_pins()
#define io72_clear_output ic74hc595_clear_pin(DOUT25);shift_register_io_pins()
#define io72_toggle_output ic74hc595_toggle_pin(DOUT25);shift_register_io_pins()
#define io72_get_output ic74hc595_get_pin(DOUT25)
#endif</v>
      </c>
    </row>
    <row r="75" spans="1:6" x14ac:dyDescent="0.25">
      <c r="A75" s="4">
        <v>73</v>
      </c>
      <c r="B75" s="4" t="str">
        <f t="shared" si="0"/>
        <v>DIO73</v>
      </c>
      <c r="C75" s="4" t="s">
        <v>201</v>
      </c>
      <c r="D75" s="4" t="s">
        <v>466</v>
      </c>
      <c r="E75" s="4" t="str">
        <f t="shared" si="6"/>
        <v>#ifndef DOUT26_IO_OFFSET
#define DOUT26_IO_OFFSET -1
#define DIO73_IO_OFFSET -1
#else
#define DIO73_IO_OFFSET DOUT26_IO_OFFSET
#ifdef DOUT26
#undef DOUT26
#endif
#ifdef DIO73
#undef DIO73
#endif
#define DOUT26 73
#define DIO73 -73
#define DOUT26_IO_BYTEOFFSET (DOUT26_IO_OFFSET &gt;&gt; 3)
#define DOUT26_IO_BITMASK (1 &lt;&lt; (DOUT26_IO_OFFSET &amp; 0x7))
#define DIO73_IO_BYTEOFFSET DOUT26_IO_BYTEOFFSET
#define DIO73_IO_BITMASK DOUT26_IO_BITMASK
#ifndef IC74HC595_HAS_DOUTS
#define IC74HC595_HAS_DOUTS
#endif
#endif</v>
      </c>
      <c r="F75" s="4" t="str">
        <f t="shared" si="5"/>
        <v>#if ASSERT_PIN_IO(DOUT26)
#define io73_config_output mcu_config_output(DOUT26)
#define io73_set_output mcu_set_output(DOUT26)
#define io73_clear_output mcu_clear_output(DOUT26)
#define io73_toggle_output mcu_toggle_output(DOUT26)
#define io73_get_output mcu_get_output(DOUT26)
#define io73_config_input mcu_config_input(DOUT26)
#define io73_config_pullup mcu_config_pullup(DOUT26)
#define io73_get_input mcu_get_input(DOUT26)
#elif ASSERT_PIN_EXTENDED(DOUT26)
#define io73_config_output
#define io73_set_output ic74hc595_set_pin(DOUT26);shift_register_io_pins()
#define io73_clear_output ic74hc595_clear_pin(DOUT26);shift_register_io_pins()
#define io73_toggle_output ic74hc595_toggle_pin(DOUT26);shift_register_io_pins()
#define io73_get_output ic74hc595_get_pin(DOUT26)
#endif</v>
      </c>
    </row>
    <row r="76" spans="1:6" x14ac:dyDescent="0.25">
      <c r="A76" s="4">
        <v>74</v>
      </c>
      <c r="B76" s="4" t="str">
        <f t="shared" si="0"/>
        <v>DIO74</v>
      </c>
      <c r="C76" s="4" t="s">
        <v>202</v>
      </c>
      <c r="D76" s="4" t="s">
        <v>466</v>
      </c>
      <c r="E76" s="4" t="str">
        <f t="shared" si="6"/>
        <v>#ifndef DOUT27_IO_OFFSET
#define DOUT27_IO_OFFSET -1
#define DIO74_IO_OFFSET -1
#else
#define DIO74_IO_OFFSET DOUT27_IO_OFFSET
#ifdef DOUT27
#undef DOUT27
#endif
#ifdef DIO74
#undef DIO74
#endif
#define DOUT27 74
#define DIO74 -74
#define DOUT27_IO_BYTEOFFSET (DOUT27_IO_OFFSET &gt;&gt; 3)
#define DOUT27_IO_BITMASK (1 &lt;&lt; (DOUT27_IO_OFFSET &amp; 0x7))
#define DIO74_IO_BYTEOFFSET DOUT27_IO_BYTEOFFSET
#define DIO74_IO_BITMASK DOUT27_IO_BITMASK
#ifndef IC74HC595_HAS_DOUTS
#define IC74HC595_HAS_DOUTS
#endif
#endif</v>
      </c>
      <c r="F76" s="4" t="str">
        <f t="shared" si="5"/>
        <v>#if ASSERT_PIN_IO(DOUT27)
#define io74_config_output mcu_config_output(DOUT27)
#define io74_set_output mcu_set_output(DOUT27)
#define io74_clear_output mcu_clear_output(DOUT27)
#define io74_toggle_output mcu_toggle_output(DOUT27)
#define io74_get_output mcu_get_output(DOUT27)
#define io74_config_input mcu_config_input(DOUT27)
#define io74_config_pullup mcu_config_pullup(DOUT27)
#define io74_get_input mcu_get_input(DOUT27)
#elif ASSERT_PIN_EXTENDED(DOUT27)
#define io74_config_output
#define io74_set_output ic74hc595_set_pin(DOUT27);shift_register_io_pins()
#define io74_clear_output ic74hc595_clear_pin(DOUT27);shift_register_io_pins()
#define io74_toggle_output ic74hc595_toggle_pin(DOUT27);shift_register_io_pins()
#define io74_get_output ic74hc595_get_pin(DOUT27)
#endif</v>
      </c>
    </row>
    <row r="77" spans="1:6" x14ac:dyDescent="0.25">
      <c r="A77" s="4">
        <v>75</v>
      </c>
      <c r="B77" s="4" t="str">
        <f t="shared" si="0"/>
        <v>DIO75</v>
      </c>
      <c r="C77" s="4" t="s">
        <v>203</v>
      </c>
      <c r="D77" s="4" t="s">
        <v>466</v>
      </c>
      <c r="E77" s="4" t="str">
        <f t="shared" si="6"/>
        <v>#ifndef DOUT28_IO_OFFSET
#define DOUT28_IO_OFFSET -1
#define DIO75_IO_OFFSET -1
#else
#define DIO75_IO_OFFSET DOUT28_IO_OFFSET
#ifdef DOUT28
#undef DOUT28
#endif
#ifdef DIO75
#undef DIO75
#endif
#define DOUT28 75
#define DIO75 -75
#define DOUT28_IO_BYTEOFFSET (DOUT28_IO_OFFSET &gt;&gt; 3)
#define DOUT28_IO_BITMASK (1 &lt;&lt; (DOUT28_IO_OFFSET &amp; 0x7))
#define DIO75_IO_BYTEOFFSET DOUT28_IO_BYTEOFFSET
#define DIO75_IO_BITMASK DOUT28_IO_BITMASK
#ifndef IC74HC595_HAS_DOUTS
#define IC74HC595_HAS_DOUTS
#endif
#endif</v>
      </c>
      <c r="F77" s="4" t="str">
        <f t="shared" si="5"/>
        <v>#if ASSERT_PIN_IO(DOUT28)
#define io75_config_output mcu_config_output(DOUT28)
#define io75_set_output mcu_set_output(DOUT28)
#define io75_clear_output mcu_clear_output(DOUT28)
#define io75_toggle_output mcu_toggle_output(DOUT28)
#define io75_get_output mcu_get_output(DOUT28)
#define io75_config_input mcu_config_input(DOUT28)
#define io75_config_pullup mcu_config_pullup(DOUT28)
#define io75_get_input mcu_get_input(DOUT28)
#elif ASSERT_PIN_EXTENDED(DOUT28)
#define io75_config_output
#define io75_set_output ic74hc595_set_pin(DOUT28);shift_register_io_pins()
#define io75_clear_output ic74hc595_clear_pin(DOUT28);shift_register_io_pins()
#define io75_toggle_output ic74hc595_toggle_pin(DOUT28);shift_register_io_pins()
#define io75_get_output ic74hc595_get_pin(DOUT28)
#endif</v>
      </c>
    </row>
    <row r="78" spans="1:6" x14ac:dyDescent="0.25">
      <c r="A78" s="4">
        <v>76</v>
      </c>
      <c r="B78" s="4" t="str">
        <f t="shared" si="0"/>
        <v>DIO76</v>
      </c>
      <c r="C78" s="4" t="s">
        <v>204</v>
      </c>
      <c r="D78" s="4" t="s">
        <v>466</v>
      </c>
      <c r="E78" s="4" t="str">
        <f t="shared" si="6"/>
        <v>#ifndef DOUT29_IO_OFFSET
#define DOUT29_IO_OFFSET -1
#define DIO76_IO_OFFSET -1
#else
#define DIO76_IO_OFFSET DOUT29_IO_OFFSET
#ifdef DOUT29
#undef DOUT29
#endif
#ifdef DIO76
#undef DIO76
#endif
#define DOUT29 76
#define DIO76 -76
#define DOUT29_IO_BYTEOFFSET (DOUT29_IO_OFFSET &gt;&gt; 3)
#define DOUT29_IO_BITMASK (1 &lt;&lt; (DOUT29_IO_OFFSET &amp; 0x7))
#define DIO76_IO_BYTEOFFSET DOUT29_IO_BYTEOFFSET
#define DIO76_IO_BITMASK DOUT29_IO_BITMASK
#ifndef IC74HC595_HAS_DOUTS
#define IC74HC595_HAS_DOUTS
#endif
#endif</v>
      </c>
      <c r="F78" s="4" t="str">
        <f t="shared" si="5"/>
        <v>#if ASSERT_PIN_IO(DOUT29)
#define io76_config_output mcu_config_output(DOUT29)
#define io76_set_output mcu_set_output(DOUT29)
#define io76_clear_output mcu_clear_output(DOUT29)
#define io76_toggle_output mcu_toggle_output(DOUT29)
#define io76_get_output mcu_get_output(DOUT29)
#define io76_config_input mcu_config_input(DOUT29)
#define io76_config_pullup mcu_config_pullup(DOUT29)
#define io76_get_input mcu_get_input(DOUT29)
#elif ASSERT_PIN_EXTENDED(DOUT29)
#define io76_config_output
#define io76_set_output ic74hc595_set_pin(DOUT29);shift_register_io_pins()
#define io76_clear_output ic74hc595_clear_pin(DOUT29);shift_register_io_pins()
#define io76_toggle_output ic74hc595_toggle_pin(DOUT29);shift_register_io_pins()
#define io76_get_output ic74hc595_get_pin(DOUT29)
#endif</v>
      </c>
    </row>
    <row r="79" spans="1:6" x14ac:dyDescent="0.25">
      <c r="A79" s="4">
        <v>77</v>
      </c>
      <c r="B79" s="4" t="str">
        <f t="shared" si="0"/>
        <v>DIO77</v>
      </c>
      <c r="C79" s="4" t="s">
        <v>205</v>
      </c>
      <c r="D79" s="4" t="s">
        <v>466</v>
      </c>
      <c r="E79" s="4" t="str">
        <f t="shared" si="6"/>
        <v>#ifndef DOUT30_IO_OFFSET
#define DOUT30_IO_OFFSET -1
#define DIO77_IO_OFFSET -1
#else
#define DIO77_IO_OFFSET DOUT30_IO_OFFSET
#ifdef DOUT30
#undef DOUT30
#endif
#ifdef DIO77
#undef DIO77
#endif
#define DOUT30 77
#define DIO77 -77
#define DOUT30_IO_BYTEOFFSET (DOUT30_IO_OFFSET &gt;&gt; 3)
#define DOUT30_IO_BITMASK (1 &lt;&lt; (DOUT30_IO_OFFSET &amp; 0x7))
#define DIO77_IO_BYTEOFFSET DOUT30_IO_BYTEOFFSET
#define DIO77_IO_BITMASK DOUT30_IO_BITMASK
#ifndef IC74HC595_HAS_DOUTS
#define IC74HC595_HAS_DOUTS
#endif
#endif</v>
      </c>
      <c r="F79" s="4" t="str">
        <f t="shared" si="5"/>
        <v>#if ASSERT_PIN_IO(DOUT30)
#define io77_config_output mcu_config_output(DOUT30)
#define io77_set_output mcu_set_output(DOUT30)
#define io77_clear_output mcu_clear_output(DOUT30)
#define io77_toggle_output mcu_toggle_output(DOUT30)
#define io77_get_output mcu_get_output(DOUT30)
#define io77_config_input mcu_config_input(DOUT30)
#define io77_config_pullup mcu_config_pullup(DOUT30)
#define io77_get_input mcu_get_input(DOUT30)
#elif ASSERT_PIN_EXTENDED(DOUT30)
#define io77_config_output
#define io77_set_output ic74hc595_set_pin(DOUT30);shift_register_io_pins()
#define io77_clear_output ic74hc595_clear_pin(DOUT30);shift_register_io_pins()
#define io77_toggle_output ic74hc595_toggle_pin(DOUT30);shift_register_io_pins()
#define io77_get_output ic74hc595_get_pin(DOUT30)
#endif</v>
      </c>
    </row>
    <row r="80" spans="1:6" x14ac:dyDescent="0.25">
      <c r="A80" s="4">
        <v>78</v>
      </c>
      <c r="B80" s="4" t="str">
        <f t="shared" si="0"/>
        <v>DIO78</v>
      </c>
      <c r="C80" s="4" t="s">
        <v>206</v>
      </c>
      <c r="D80" s="4" t="s">
        <v>466</v>
      </c>
      <c r="E80" s="4" t="str">
        <f t="shared" si="6"/>
        <v>#ifndef DOUT31_IO_OFFSET
#define DOUT31_IO_OFFSET -1
#define DIO78_IO_OFFSET -1
#else
#define DIO78_IO_OFFSET DOUT31_IO_OFFSET
#ifdef DOUT31
#undef DOUT31
#endif
#ifdef DIO78
#undef DIO78
#endif
#define DOUT31 78
#define DIO78 -78
#define DOUT31_IO_BYTEOFFSET (DOUT31_IO_OFFSET &gt;&gt; 3)
#define DOUT31_IO_BITMASK (1 &lt;&lt; (DOUT31_IO_OFFSET &amp; 0x7))
#define DIO78_IO_BYTEOFFSET DOUT31_IO_BYTEOFFSET
#define DIO78_IO_BITMASK DOUT31_IO_BITMASK
#ifndef IC74HC595_HAS_DOUTS
#define IC74HC595_HAS_DOUTS
#endif
#endif</v>
      </c>
      <c r="F80" s="4" t="str">
        <f t="shared" si="5"/>
        <v>#if ASSERT_PIN_IO(DOUT31)
#define io78_config_output mcu_config_output(DOUT31)
#define io78_set_output mcu_set_output(DOUT31)
#define io78_clear_output mcu_clear_output(DOUT31)
#define io78_toggle_output mcu_toggle_output(DOUT31)
#define io78_get_output mcu_get_output(DOUT31)
#define io78_config_input mcu_config_input(DOUT31)
#define io78_config_pullup mcu_config_pullup(DOUT31)
#define io78_get_input mcu_get_input(DOUT31)
#elif ASSERT_PIN_EXTENDED(DOUT31)
#define io78_config_output
#define io78_set_output ic74hc595_set_pin(DOUT31);shift_register_io_pins()
#define io78_clear_output ic74hc595_clear_pin(DOUT31);shift_register_io_pins()
#define io78_toggle_output ic74hc595_toggle_pin(DOUT31);shift_register_io_pins()
#define io78_get_output ic74hc595_get_pin(DOUT31)
#endif</v>
      </c>
    </row>
    <row r="81" spans="1:6" x14ac:dyDescent="0.25">
      <c r="A81" s="4">
        <v>79</v>
      </c>
      <c r="B81" s="4" t="str">
        <f t="shared" ref="B81:B144" si="7">"DIO"&amp;A81</f>
        <v>DIO79</v>
      </c>
      <c r="C81" s="4" t="s">
        <v>527</v>
      </c>
      <c r="D81" s="4" t="s">
        <v>466</v>
      </c>
      <c r="E81" s="4" t="str">
        <f t="shared" si="6"/>
        <v>#ifndef DOUT32_IO_OFFSET
#define DOUT32_IO_OFFSET -1
#define DIO79_IO_OFFSET -1
#else
#define DIO79_IO_OFFSET DOUT32_IO_OFFSET
#ifdef DOUT32
#undef DOUT32
#endif
#ifdef DIO79
#undef DIO79
#endif
#define DOUT32 79
#define DIO79 -79
#define DOUT32_IO_BYTEOFFSET (DOUT32_IO_OFFSET &gt;&gt; 3)
#define DOUT32_IO_BITMASK (1 &lt;&lt; (DOUT32_IO_OFFSET &amp; 0x7))
#define DIO79_IO_BYTEOFFSET DOUT32_IO_BYTEOFFSET
#define DIO79_IO_BITMASK DOUT32_IO_BITMASK
#ifndef IC74HC595_HAS_DOUTS
#define IC74HC595_HAS_DOUTS
#endif
#endif</v>
      </c>
      <c r="F81" s="4" t="str">
        <f t="shared" si="5"/>
        <v>#if ASSERT_PIN_IO(DOUT32)
#define io79_config_output mcu_config_output(DOUT32)
#define io79_set_output mcu_set_output(DOUT32)
#define io79_clear_output mcu_clear_output(DOUT32)
#define io79_toggle_output mcu_toggle_output(DOUT32)
#define io79_get_output mcu_get_output(DOUT32)
#define io79_config_input mcu_config_input(DOUT32)
#define io79_config_pullup mcu_config_pullup(DOUT32)
#define io79_get_input mcu_get_input(DOUT32)
#elif ASSERT_PIN_EXTENDED(DOUT32)
#define io79_config_output
#define io79_set_output ic74hc595_set_pin(DOUT32);shift_register_io_pins()
#define io79_clear_output ic74hc595_clear_pin(DOUT32);shift_register_io_pins()
#define io79_toggle_output ic74hc595_toggle_pin(DOUT32);shift_register_io_pins()
#define io79_get_output ic74hc595_get_pin(DOUT32)
#endif</v>
      </c>
    </row>
    <row r="82" spans="1:6" x14ac:dyDescent="0.25">
      <c r="A82" s="4">
        <v>80</v>
      </c>
      <c r="B82" s="4" t="str">
        <f t="shared" si="7"/>
        <v>DIO80</v>
      </c>
      <c r="C82" s="4" t="s">
        <v>528</v>
      </c>
      <c r="D82" s="4" t="s">
        <v>466</v>
      </c>
      <c r="E82" s="4" t="str">
        <f t="shared" si="6"/>
        <v>#ifndef DOUT33_IO_OFFSET
#define DOUT33_IO_OFFSET -1
#define DIO80_IO_OFFSET -1
#else
#define DIO80_IO_OFFSET DOUT33_IO_OFFSET
#ifdef DOUT33
#undef DOUT33
#endif
#ifdef DIO80
#undef DIO80
#endif
#define DOUT33 80
#define DIO80 -80
#define DOUT33_IO_BYTEOFFSET (DOUT33_IO_OFFSET &gt;&gt; 3)
#define DOUT33_IO_BITMASK (1 &lt;&lt; (DOUT33_IO_OFFSET &amp; 0x7))
#define DIO80_IO_BYTEOFFSET DOUT33_IO_BYTEOFFSET
#define DIO80_IO_BITMASK DOUT33_IO_BITMASK
#ifndef IC74HC595_HAS_DOUTS
#define IC74HC595_HAS_DOUTS
#endif
#endif</v>
      </c>
      <c r="F82" s="4" t="str">
        <f t="shared" si="5"/>
        <v>#if ASSERT_PIN_IO(DOUT33)
#define io80_config_output mcu_config_output(DOUT33)
#define io80_set_output mcu_set_output(DOUT33)
#define io80_clear_output mcu_clear_output(DOUT33)
#define io80_toggle_output mcu_toggle_output(DOUT33)
#define io80_get_output mcu_get_output(DOUT33)
#define io80_config_input mcu_config_input(DOUT33)
#define io80_config_pullup mcu_config_pullup(DOUT33)
#define io80_get_input mcu_get_input(DOUT33)
#elif ASSERT_PIN_EXTENDED(DOUT33)
#define io80_config_output
#define io80_set_output ic74hc595_set_pin(DOUT33);shift_register_io_pins()
#define io80_clear_output ic74hc595_clear_pin(DOUT33);shift_register_io_pins()
#define io80_toggle_output ic74hc595_toggle_pin(DOUT33);shift_register_io_pins()
#define io80_get_output ic74hc595_get_pin(DOUT33)
#endif</v>
      </c>
    </row>
    <row r="83" spans="1:6" x14ac:dyDescent="0.25">
      <c r="A83" s="4">
        <v>81</v>
      </c>
      <c r="B83" s="4" t="str">
        <f t="shared" si="7"/>
        <v>DIO81</v>
      </c>
      <c r="C83" s="4" t="s">
        <v>529</v>
      </c>
      <c r="D83" s="4" t="s">
        <v>466</v>
      </c>
      <c r="E83" s="4" t="str">
        <f t="shared" si="6"/>
        <v>#ifndef DOUT34_IO_OFFSET
#define DOUT34_IO_OFFSET -1
#define DIO81_IO_OFFSET -1
#else
#define DIO81_IO_OFFSET DOUT34_IO_OFFSET
#ifdef DOUT34
#undef DOUT34
#endif
#ifdef DIO81
#undef DIO81
#endif
#define DOUT34 81
#define DIO81 -81
#define DOUT34_IO_BYTEOFFSET (DOUT34_IO_OFFSET &gt;&gt; 3)
#define DOUT34_IO_BITMASK (1 &lt;&lt; (DOUT34_IO_OFFSET &amp; 0x7))
#define DIO81_IO_BYTEOFFSET DOUT34_IO_BYTEOFFSET
#define DIO81_IO_BITMASK DOUT34_IO_BITMASK
#ifndef IC74HC595_HAS_DOUTS
#define IC74HC595_HAS_DOUTS
#endif
#endif</v>
      </c>
      <c r="F83" s="4" t="str">
        <f t="shared" si="5"/>
        <v>#if ASSERT_PIN_IO(DOUT34)
#define io81_config_output mcu_config_output(DOUT34)
#define io81_set_output mcu_set_output(DOUT34)
#define io81_clear_output mcu_clear_output(DOUT34)
#define io81_toggle_output mcu_toggle_output(DOUT34)
#define io81_get_output mcu_get_output(DOUT34)
#define io81_config_input mcu_config_input(DOUT34)
#define io81_config_pullup mcu_config_pullup(DOUT34)
#define io81_get_input mcu_get_input(DOUT34)
#elif ASSERT_PIN_EXTENDED(DOUT34)
#define io81_config_output
#define io81_set_output ic74hc595_set_pin(DOUT34);shift_register_io_pins()
#define io81_clear_output ic74hc595_clear_pin(DOUT34);shift_register_io_pins()
#define io81_toggle_output ic74hc595_toggle_pin(DOUT34);shift_register_io_pins()
#define io81_get_output ic74hc595_get_pin(DOUT34)
#endif</v>
      </c>
    </row>
    <row r="84" spans="1:6" x14ac:dyDescent="0.25">
      <c r="A84" s="4">
        <v>82</v>
      </c>
      <c r="B84" s="4" t="str">
        <f t="shared" si="7"/>
        <v>DIO82</v>
      </c>
      <c r="C84" s="4" t="s">
        <v>530</v>
      </c>
      <c r="D84" s="4" t="s">
        <v>466</v>
      </c>
      <c r="E84" s="4" t="str">
        <f t="shared" si="6"/>
        <v>#ifndef DOUT35_IO_OFFSET
#define DOUT35_IO_OFFSET -1
#define DIO82_IO_OFFSET -1
#else
#define DIO82_IO_OFFSET DOUT35_IO_OFFSET
#ifdef DOUT35
#undef DOUT35
#endif
#ifdef DIO82
#undef DIO82
#endif
#define DOUT35 82
#define DIO82 -82
#define DOUT35_IO_BYTEOFFSET (DOUT35_IO_OFFSET &gt;&gt; 3)
#define DOUT35_IO_BITMASK (1 &lt;&lt; (DOUT35_IO_OFFSET &amp; 0x7))
#define DIO82_IO_BYTEOFFSET DOUT35_IO_BYTEOFFSET
#define DIO82_IO_BITMASK DOUT35_IO_BITMASK
#ifndef IC74HC595_HAS_DOUTS
#define IC74HC595_HAS_DOUTS
#endif
#endif</v>
      </c>
      <c r="F84" s="4" t="str">
        <f t="shared" si="5"/>
        <v>#if ASSERT_PIN_IO(DOUT35)
#define io82_config_output mcu_config_output(DOUT35)
#define io82_set_output mcu_set_output(DOUT35)
#define io82_clear_output mcu_clear_output(DOUT35)
#define io82_toggle_output mcu_toggle_output(DOUT35)
#define io82_get_output mcu_get_output(DOUT35)
#define io82_config_input mcu_config_input(DOUT35)
#define io82_config_pullup mcu_config_pullup(DOUT35)
#define io82_get_input mcu_get_input(DOUT35)
#elif ASSERT_PIN_EXTENDED(DOUT35)
#define io82_config_output
#define io82_set_output ic74hc595_set_pin(DOUT35);shift_register_io_pins()
#define io82_clear_output ic74hc595_clear_pin(DOUT35);shift_register_io_pins()
#define io82_toggle_output ic74hc595_toggle_pin(DOUT35);shift_register_io_pins()
#define io82_get_output ic74hc595_get_pin(DOUT35)
#endif</v>
      </c>
    </row>
    <row r="85" spans="1:6" x14ac:dyDescent="0.25">
      <c r="A85" s="4">
        <v>83</v>
      </c>
      <c r="B85" s="4" t="str">
        <f t="shared" si="7"/>
        <v>DIO83</v>
      </c>
      <c r="C85" s="4" t="s">
        <v>531</v>
      </c>
      <c r="D85" s="4" t="s">
        <v>466</v>
      </c>
      <c r="E85" s="4" t="str">
        <f t="shared" si="6"/>
        <v>#ifndef DOUT36_IO_OFFSET
#define DOUT36_IO_OFFSET -1
#define DIO83_IO_OFFSET -1
#else
#define DIO83_IO_OFFSET DOUT36_IO_OFFSET
#ifdef DOUT36
#undef DOUT36
#endif
#ifdef DIO83
#undef DIO83
#endif
#define DOUT36 83
#define DIO83 -83
#define DOUT36_IO_BYTEOFFSET (DOUT36_IO_OFFSET &gt;&gt; 3)
#define DOUT36_IO_BITMASK (1 &lt;&lt; (DOUT36_IO_OFFSET &amp; 0x7))
#define DIO83_IO_BYTEOFFSET DOUT36_IO_BYTEOFFSET
#define DIO83_IO_BITMASK DOUT36_IO_BITMASK
#ifndef IC74HC595_HAS_DOUTS
#define IC74HC595_HAS_DOUTS
#endif
#endif</v>
      </c>
      <c r="F85" s="4" t="str">
        <f t="shared" si="5"/>
        <v>#if ASSERT_PIN_IO(DOUT36)
#define io83_config_output mcu_config_output(DOUT36)
#define io83_set_output mcu_set_output(DOUT36)
#define io83_clear_output mcu_clear_output(DOUT36)
#define io83_toggle_output mcu_toggle_output(DOUT36)
#define io83_get_output mcu_get_output(DOUT36)
#define io83_config_input mcu_config_input(DOUT36)
#define io83_config_pullup mcu_config_pullup(DOUT36)
#define io83_get_input mcu_get_input(DOUT36)
#elif ASSERT_PIN_EXTENDED(DOUT36)
#define io83_config_output
#define io83_set_output ic74hc595_set_pin(DOUT36);shift_register_io_pins()
#define io83_clear_output ic74hc595_clear_pin(DOUT36);shift_register_io_pins()
#define io83_toggle_output ic74hc595_toggle_pin(DOUT36);shift_register_io_pins()
#define io83_get_output ic74hc595_get_pin(DOUT36)
#endif</v>
      </c>
    </row>
    <row r="86" spans="1:6" x14ac:dyDescent="0.25">
      <c r="A86" s="4">
        <v>84</v>
      </c>
      <c r="B86" s="4" t="str">
        <f t="shared" si="7"/>
        <v>DIO84</v>
      </c>
      <c r="C86" s="4" t="s">
        <v>532</v>
      </c>
      <c r="D86" s="4" t="s">
        <v>466</v>
      </c>
      <c r="E86" s="4" t="str">
        <f t="shared" si="6"/>
        <v>#ifndef DOUT37_IO_OFFSET
#define DOUT37_IO_OFFSET -1
#define DIO84_IO_OFFSET -1
#else
#define DIO84_IO_OFFSET DOUT37_IO_OFFSET
#ifdef DOUT37
#undef DOUT37
#endif
#ifdef DIO84
#undef DIO84
#endif
#define DOUT37 84
#define DIO84 -84
#define DOUT37_IO_BYTEOFFSET (DOUT37_IO_OFFSET &gt;&gt; 3)
#define DOUT37_IO_BITMASK (1 &lt;&lt; (DOUT37_IO_OFFSET &amp; 0x7))
#define DIO84_IO_BYTEOFFSET DOUT37_IO_BYTEOFFSET
#define DIO84_IO_BITMASK DOUT37_IO_BITMASK
#ifndef IC74HC595_HAS_DOUTS
#define IC74HC595_HAS_DOUTS
#endif
#endif</v>
      </c>
      <c r="F86" s="4" t="str">
        <f t="shared" si="5"/>
        <v>#if ASSERT_PIN_IO(DOUT37)
#define io84_config_output mcu_config_output(DOUT37)
#define io84_set_output mcu_set_output(DOUT37)
#define io84_clear_output mcu_clear_output(DOUT37)
#define io84_toggle_output mcu_toggle_output(DOUT37)
#define io84_get_output mcu_get_output(DOUT37)
#define io84_config_input mcu_config_input(DOUT37)
#define io84_config_pullup mcu_config_pullup(DOUT37)
#define io84_get_input mcu_get_input(DOUT37)
#elif ASSERT_PIN_EXTENDED(DOUT37)
#define io84_config_output
#define io84_set_output ic74hc595_set_pin(DOUT37);shift_register_io_pins()
#define io84_clear_output ic74hc595_clear_pin(DOUT37);shift_register_io_pins()
#define io84_toggle_output ic74hc595_toggle_pin(DOUT37);shift_register_io_pins()
#define io84_get_output ic74hc595_get_pin(DOUT37)
#endif</v>
      </c>
    </row>
    <row r="87" spans="1:6" x14ac:dyDescent="0.25">
      <c r="A87" s="4">
        <v>85</v>
      </c>
      <c r="B87" s="4" t="str">
        <f t="shared" si="7"/>
        <v>DIO85</v>
      </c>
      <c r="C87" s="4" t="s">
        <v>533</v>
      </c>
      <c r="D87" s="4" t="s">
        <v>466</v>
      </c>
      <c r="E87" s="4" t="str">
        <f t="shared" si="6"/>
        <v>#ifndef DOUT38_IO_OFFSET
#define DOUT38_IO_OFFSET -1
#define DIO85_IO_OFFSET -1
#else
#define DIO85_IO_OFFSET DOUT38_IO_OFFSET
#ifdef DOUT38
#undef DOUT38
#endif
#ifdef DIO85
#undef DIO85
#endif
#define DOUT38 85
#define DIO85 -85
#define DOUT38_IO_BYTEOFFSET (DOUT38_IO_OFFSET &gt;&gt; 3)
#define DOUT38_IO_BITMASK (1 &lt;&lt; (DOUT38_IO_OFFSET &amp; 0x7))
#define DIO85_IO_BYTEOFFSET DOUT38_IO_BYTEOFFSET
#define DIO85_IO_BITMASK DOUT38_IO_BITMASK
#ifndef IC74HC595_HAS_DOUTS
#define IC74HC595_HAS_DOUTS
#endif
#endif</v>
      </c>
      <c r="F87" s="4" t="str">
        <f t="shared" si="5"/>
        <v>#if ASSERT_PIN_IO(DOUT38)
#define io85_config_output mcu_config_output(DOUT38)
#define io85_set_output mcu_set_output(DOUT38)
#define io85_clear_output mcu_clear_output(DOUT38)
#define io85_toggle_output mcu_toggle_output(DOUT38)
#define io85_get_output mcu_get_output(DOUT38)
#define io85_config_input mcu_config_input(DOUT38)
#define io85_config_pullup mcu_config_pullup(DOUT38)
#define io85_get_input mcu_get_input(DOUT38)
#elif ASSERT_PIN_EXTENDED(DOUT38)
#define io85_config_output
#define io85_set_output ic74hc595_set_pin(DOUT38);shift_register_io_pins()
#define io85_clear_output ic74hc595_clear_pin(DOUT38);shift_register_io_pins()
#define io85_toggle_output ic74hc595_toggle_pin(DOUT38);shift_register_io_pins()
#define io85_get_output ic74hc595_get_pin(DOUT38)
#endif</v>
      </c>
    </row>
    <row r="88" spans="1:6" x14ac:dyDescent="0.25">
      <c r="A88" s="4">
        <v>86</v>
      </c>
      <c r="B88" s="4" t="str">
        <f t="shared" si="7"/>
        <v>DIO86</v>
      </c>
      <c r="C88" s="4" t="s">
        <v>534</v>
      </c>
      <c r="D88" s="4" t="s">
        <v>466</v>
      </c>
      <c r="E88" s="4" t="str">
        <f t="shared" si="6"/>
        <v>#ifndef DOUT39_IO_OFFSET
#define DOUT39_IO_OFFSET -1
#define DIO86_IO_OFFSET -1
#else
#define DIO86_IO_OFFSET DOUT39_IO_OFFSET
#ifdef DOUT39
#undef DOUT39
#endif
#ifdef DIO86
#undef DIO86
#endif
#define DOUT39 86
#define DIO86 -86
#define DOUT39_IO_BYTEOFFSET (DOUT39_IO_OFFSET &gt;&gt; 3)
#define DOUT39_IO_BITMASK (1 &lt;&lt; (DOUT39_IO_OFFSET &amp; 0x7))
#define DIO86_IO_BYTEOFFSET DOUT39_IO_BYTEOFFSET
#define DIO86_IO_BITMASK DOUT39_IO_BITMASK
#ifndef IC74HC595_HAS_DOUTS
#define IC74HC595_HAS_DOUTS
#endif
#endif</v>
      </c>
      <c r="F88" s="4" t="str">
        <f t="shared" si="5"/>
        <v>#if ASSERT_PIN_IO(DOUT39)
#define io86_config_output mcu_config_output(DOUT39)
#define io86_set_output mcu_set_output(DOUT39)
#define io86_clear_output mcu_clear_output(DOUT39)
#define io86_toggle_output mcu_toggle_output(DOUT39)
#define io86_get_output mcu_get_output(DOUT39)
#define io86_config_input mcu_config_input(DOUT39)
#define io86_config_pullup mcu_config_pullup(DOUT39)
#define io86_get_input mcu_get_input(DOUT39)
#elif ASSERT_PIN_EXTENDED(DOUT39)
#define io86_config_output
#define io86_set_output ic74hc595_set_pin(DOUT39);shift_register_io_pins()
#define io86_clear_output ic74hc595_clear_pin(DOUT39);shift_register_io_pins()
#define io86_toggle_output ic74hc595_toggle_pin(DOUT39);shift_register_io_pins()
#define io86_get_output ic74hc595_get_pin(DOUT39)
#endif</v>
      </c>
    </row>
    <row r="89" spans="1:6" x14ac:dyDescent="0.25">
      <c r="A89" s="4">
        <v>87</v>
      </c>
      <c r="B89" s="4" t="str">
        <f t="shared" si="7"/>
        <v>DIO87</v>
      </c>
      <c r="C89" s="4" t="s">
        <v>535</v>
      </c>
      <c r="D89" s="4" t="s">
        <v>466</v>
      </c>
      <c r="E89" s="4" t="str">
        <f t="shared" si="6"/>
        <v>#ifndef DOUT40_IO_OFFSET
#define DOUT40_IO_OFFSET -1
#define DIO87_IO_OFFSET -1
#else
#define DIO87_IO_OFFSET DOUT40_IO_OFFSET
#ifdef DOUT40
#undef DOUT40
#endif
#ifdef DIO87
#undef DIO87
#endif
#define DOUT40 87
#define DIO87 -87
#define DOUT40_IO_BYTEOFFSET (DOUT40_IO_OFFSET &gt;&gt; 3)
#define DOUT40_IO_BITMASK (1 &lt;&lt; (DOUT40_IO_OFFSET &amp; 0x7))
#define DIO87_IO_BYTEOFFSET DOUT40_IO_BYTEOFFSET
#define DIO87_IO_BITMASK DOUT40_IO_BITMASK
#ifndef IC74HC595_HAS_DOUTS
#define IC74HC595_HAS_DOUTS
#endif
#endif</v>
      </c>
      <c r="F89" s="4" t="str">
        <f t="shared" si="5"/>
        <v>#if ASSERT_PIN_IO(DOUT40)
#define io87_config_output mcu_config_output(DOUT40)
#define io87_set_output mcu_set_output(DOUT40)
#define io87_clear_output mcu_clear_output(DOUT40)
#define io87_toggle_output mcu_toggle_output(DOUT40)
#define io87_get_output mcu_get_output(DOUT40)
#define io87_config_input mcu_config_input(DOUT40)
#define io87_config_pullup mcu_config_pullup(DOUT40)
#define io87_get_input mcu_get_input(DOUT40)
#elif ASSERT_PIN_EXTENDED(DOUT40)
#define io87_config_output
#define io87_set_output ic74hc595_set_pin(DOUT40);shift_register_io_pins()
#define io87_clear_output ic74hc595_clear_pin(DOUT40);shift_register_io_pins()
#define io87_toggle_output ic74hc595_toggle_pin(DOUT40);shift_register_io_pins()
#define io87_get_output ic74hc595_get_pin(DOUT40)
#endif</v>
      </c>
    </row>
    <row r="90" spans="1:6" x14ac:dyDescent="0.25">
      <c r="A90" s="4">
        <v>88</v>
      </c>
      <c r="B90" s="4" t="str">
        <f t="shared" si="7"/>
        <v>DIO88</v>
      </c>
      <c r="C90" s="4" t="s">
        <v>536</v>
      </c>
      <c r="D90" s="4" t="s">
        <v>466</v>
      </c>
      <c r="E90" s="4" t="str">
        <f t="shared" si="6"/>
        <v>#ifndef DOUT41_IO_OFFSET
#define DOUT41_IO_OFFSET -1
#define DIO88_IO_OFFSET -1
#else
#define DIO88_IO_OFFSET DOUT41_IO_OFFSET
#ifdef DOUT41
#undef DOUT41
#endif
#ifdef DIO88
#undef DIO88
#endif
#define DOUT41 88
#define DIO88 -88
#define DOUT41_IO_BYTEOFFSET (DOUT41_IO_OFFSET &gt;&gt; 3)
#define DOUT41_IO_BITMASK (1 &lt;&lt; (DOUT41_IO_OFFSET &amp; 0x7))
#define DIO88_IO_BYTEOFFSET DOUT41_IO_BYTEOFFSET
#define DIO88_IO_BITMASK DOUT41_IO_BITMASK
#ifndef IC74HC595_HAS_DOUTS
#define IC74HC595_HAS_DOUTS
#endif
#endif</v>
      </c>
      <c r="F90" s="4" t="str">
        <f t="shared" si="5"/>
        <v>#if ASSERT_PIN_IO(DOUT41)
#define io88_config_output mcu_config_output(DOUT41)
#define io88_set_output mcu_set_output(DOUT41)
#define io88_clear_output mcu_clear_output(DOUT41)
#define io88_toggle_output mcu_toggle_output(DOUT41)
#define io88_get_output mcu_get_output(DOUT41)
#define io88_config_input mcu_config_input(DOUT41)
#define io88_config_pullup mcu_config_pullup(DOUT41)
#define io88_get_input mcu_get_input(DOUT41)
#elif ASSERT_PIN_EXTENDED(DOUT41)
#define io88_config_output
#define io88_set_output ic74hc595_set_pin(DOUT41);shift_register_io_pins()
#define io88_clear_output ic74hc595_clear_pin(DOUT41);shift_register_io_pins()
#define io88_toggle_output ic74hc595_toggle_pin(DOUT41);shift_register_io_pins()
#define io88_get_output ic74hc595_get_pin(DOUT41)
#endif</v>
      </c>
    </row>
    <row r="91" spans="1:6" x14ac:dyDescent="0.25">
      <c r="A91" s="4">
        <v>89</v>
      </c>
      <c r="B91" s="4" t="str">
        <f t="shared" si="7"/>
        <v>DIO89</v>
      </c>
      <c r="C91" s="4" t="s">
        <v>537</v>
      </c>
      <c r="D91" s="4" t="s">
        <v>466</v>
      </c>
      <c r="E91" s="4" t="str">
        <f t="shared" si="6"/>
        <v>#ifndef DOUT42_IO_OFFSET
#define DOUT42_IO_OFFSET -1
#define DIO89_IO_OFFSET -1
#else
#define DIO89_IO_OFFSET DOUT42_IO_OFFSET
#ifdef DOUT42
#undef DOUT42
#endif
#ifdef DIO89
#undef DIO89
#endif
#define DOUT42 89
#define DIO89 -89
#define DOUT42_IO_BYTEOFFSET (DOUT42_IO_OFFSET &gt;&gt; 3)
#define DOUT42_IO_BITMASK (1 &lt;&lt; (DOUT42_IO_OFFSET &amp; 0x7))
#define DIO89_IO_BYTEOFFSET DOUT42_IO_BYTEOFFSET
#define DIO89_IO_BITMASK DOUT42_IO_BITMASK
#ifndef IC74HC595_HAS_DOUTS
#define IC74HC595_HAS_DOUTS
#endif
#endif</v>
      </c>
      <c r="F91" s="4" t="str">
        <f t="shared" si="5"/>
        <v>#if ASSERT_PIN_IO(DOUT42)
#define io89_config_output mcu_config_output(DOUT42)
#define io89_set_output mcu_set_output(DOUT42)
#define io89_clear_output mcu_clear_output(DOUT42)
#define io89_toggle_output mcu_toggle_output(DOUT42)
#define io89_get_output mcu_get_output(DOUT42)
#define io89_config_input mcu_config_input(DOUT42)
#define io89_config_pullup mcu_config_pullup(DOUT42)
#define io89_get_input mcu_get_input(DOUT42)
#elif ASSERT_PIN_EXTENDED(DOUT42)
#define io89_config_output
#define io89_set_output ic74hc595_set_pin(DOUT42);shift_register_io_pins()
#define io89_clear_output ic74hc595_clear_pin(DOUT42);shift_register_io_pins()
#define io89_toggle_output ic74hc595_toggle_pin(DOUT42);shift_register_io_pins()
#define io89_get_output ic74hc595_get_pin(DOUT42)
#endif</v>
      </c>
    </row>
    <row r="92" spans="1:6" x14ac:dyDescent="0.25">
      <c r="A92" s="4">
        <v>90</v>
      </c>
      <c r="B92" s="4" t="str">
        <f t="shared" si="7"/>
        <v>DIO90</v>
      </c>
      <c r="C92" s="4" t="s">
        <v>538</v>
      </c>
      <c r="D92" s="4" t="s">
        <v>466</v>
      </c>
      <c r="E92" s="4" t="str">
        <f t="shared" si="6"/>
        <v>#ifndef DOUT43_IO_OFFSET
#define DOUT43_IO_OFFSET -1
#define DIO90_IO_OFFSET -1
#else
#define DIO90_IO_OFFSET DOUT43_IO_OFFSET
#ifdef DOUT43
#undef DOUT43
#endif
#ifdef DIO90
#undef DIO90
#endif
#define DOUT43 90
#define DIO90 -90
#define DOUT43_IO_BYTEOFFSET (DOUT43_IO_OFFSET &gt;&gt; 3)
#define DOUT43_IO_BITMASK (1 &lt;&lt; (DOUT43_IO_OFFSET &amp; 0x7))
#define DIO90_IO_BYTEOFFSET DOUT43_IO_BYTEOFFSET
#define DIO90_IO_BITMASK DOUT43_IO_BITMASK
#ifndef IC74HC595_HAS_DOUTS
#define IC74HC595_HAS_DOUTS
#endif
#endif</v>
      </c>
      <c r="F92" s="4" t="str">
        <f t="shared" si="5"/>
        <v>#if ASSERT_PIN_IO(DOUT43)
#define io90_config_output mcu_config_output(DOUT43)
#define io90_set_output mcu_set_output(DOUT43)
#define io90_clear_output mcu_clear_output(DOUT43)
#define io90_toggle_output mcu_toggle_output(DOUT43)
#define io90_get_output mcu_get_output(DOUT43)
#define io90_config_input mcu_config_input(DOUT43)
#define io90_config_pullup mcu_config_pullup(DOUT43)
#define io90_get_input mcu_get_input(DOUT43)
#elif ASSERT_PIN_EXTENDED(DOUT43)
#define io90_config_output
#define io90_set_output ic74hc595_set_pin(DOUT43);shift_register_io_pins()
#define io90_clear_output ic74hc595_clear_pin(DOUT43);shift_register_io_pins()
#define io90_toggle_output ic74hc595_toggle_pin(DOUT43);shift_register_io_pins()
#define io90_get_output ic74hc595_get_pin(DOUT43)
#endif</v>
      </c>
    </row>
    <row r="93" spans="1:6" x14ac:dyDescent="0.25">
      <c r="A93" s="4">
        <v>91</v>
      </c>
      <c r="B93" s="4" t="str">
        <f t="shared" si="7"/>
        <v>DIO91</v>
      </c>
      <c r="C93" s="4" t="s">
        <v>539</v>
      </c>
      <c r="D93" s="4" t="s">
        <v>466</v>
      </c>
      <c r="E93" s="4" t="str">
        <f t="shared" si="6"/>
        <v>#ifndef DOUT44_IO_OFFSET
#define DOUT44_IO_OFFSET -1
#define DIO91_IO_OFFSET -1
#else
#define DIO91_IO_OFFSET DOUT44_IO_OFFSET
#ifdef DOUT44
#undef DOUT44
#endif
#ifdef DIO91
#undef DIO91
#endif
#define DOUT44 91
#define DIO91 -91
#define DOUT44_IO_BYTEOFFSET (DOUT44_IO_OFFSET &gt;&gt; 3)
#define DOUT44_IO_BITMASK (1 &lt;&lt; (DOUT44_IO_OFFSET &amp; 0x7))
#define DIO91_IO_BYTEOFFSET DOUT44_IO_BYTEOFFSET
#define DIO91_IO_BITMASK DOUT44_IO_BITMASK
#ifndef IC74HC595_HAS_DOUTS
#define IC74HC595_HAS_DOUTS
#endif
#endif</v>
      </c>
      <c r="F93" s="4" t="str">
        <f t="shared" si="5"/>
        <v>#if ASSERT_PIN_IO(DOUT44)
#define io91_config_output mcu_config_output(DOUT44)
#define io91_set_output mcu_set_output(DOUT44)
#define io91_clear_output mcu_clear_output(DOUT44)
#define io91_toggle_output mcu_toggle_output(DOUT44)
#define io91_get_output mcu_get_output(DOUT44)
#define io91_config_input mcu_config_input(DOUT44)
#define io91_config_pullup mcu_config_pullup(DOUT44)
#define io91_get_input mcu_get_input(DOUT44)
#elif ASSERT_PIN_EXTENDED(DOUT44)
#define io91_config_output
#define io91_set_output ic74hc595_set_pin(DOUT44);shift_register_io_pins()
#define io91_clear_output ic74hc595_clear_pin(DOUT44);shift_register_io_pins()
#define io91_toggle_output ic74hc595_toggle_pin(DOUT44);shift_register_io_pins()
#define io91_get_output ic74hc595_get_pin(DOUT44)
#endif</v>
      </c>
    </row>
    <row r="94" spans="1:6" x14ac:dyDescent="0.25">
      <c r="A94" s="4">
        <v>92</v>
      </c>
      <c r="B94" s="4" t="str">
        <f t="shared" si="7"/>
        <v>DIO92</v>
      </c>
      <c r="C94" s="4" t="s">
        <v>540</v>
      </c>
      <c r="D94" s="4" t="s">
        <v>466</v>
      </c>
      <c r="E94" s="4" t="str">
        <f t="shared" si="6"/>
        <v>#ifndef DOUT45_IO_OFFSET
#define DOUT45_IO_OFFSET -1
#define DIO92_IO_OFFSET -1
#else
#define DIO92_IO_OFFSET DOUT45_IO_OFFSET
#ifdef DOUT45
#undef DOUT45
#endif
#ifdef DIO92
#undef DIO92
#endif
#define DOUT45 92
#define DIO92 -92
#define DOUT45_IO_BYTEOFFSET (DOUT45_IO_OFFSET &gt;&gt; 3)
#define DOUT45_IO_BITMASK (1 &lt;&lt; (DOUT45_IO_OFFSET &amp; 0x7))
#define DIO92_IO_BYTEOFFSET DOUT45_IO_BYTEOFFSET
#define DIO92_IO_BITMASK DOUT45_IO_BITMASK
#ifndef IC74HC595_HAS_DOUTS
#define IC74HC595_HAS_DOUTS
#endif
#endif</v>
      </c>
      <c r="F94" s="4" t="str">
        <f t="shared" si="5"/>
        <v>#if ASSERT_PIN_IO(DOUT45)
#define io92_config_output mcu_config_output(DOUT45)
#define io92_set_output mcu_set_output(DOUT45)
#define io92_clear_output mcu_clear_output(DOUT45)
#define io92_toggle_output mcu_toggle_output(DOUT45)
#define io92_get_output mcu_get_output(DOUT45)
#define io92_config_input mcu_config_input(DOUT45)
#define io92_config_pullup mcu_config_pullup(DOUT45)
#define io92_get_input mcu_get_input(DOUT45)
#elif ASSERT_PIN_EXTENDED(DOUT45)
#define io92_config_output
#define io92_set_output ic74hc595_set_pin(DOUT45);shift_register_io_pins()
#define io92_clear_output ic74hc595_clear_pin(DOUT45);shift_register_io_pins()
#define io92_toggle_output ic74hc595_toggle_pin(DOUT45);shift_register_io_pins()
#define io92_get_output ic74hc595_get_pin(DOUT45)
#endif</v>
      </c>
    </row>
    <row r="95" spans="1:6" x14ac:dyDescent="0.25">
      <c r="A95" s="4">
        <v>93</v>
      </c>
      <c r="B95" s="4" t="str">
        <f t="shared" si="7"/>
        <v>DIO93</v>
      </c>
      <c r="C95" s="4" t="s">
        <v>541</v>
      </c>
      <c r="D95" s="4" t="s">
        <v>466</v>
      </c>
      <c r="E95" s="4" t="str">
        <f t="shared" si="6"/>
        <v>#ifndef DOUT46_IO_OFFSET
#define DOUT46_IO_OFFSET -1
#define DIO93_IO_OFFSET -1
#else
#define DIO93_IO_OFFSET DOUT46_IO_OFFSET
#ifdef DOUT46
#undef DOUT46
#endif
#ifdef DIO93
#undef DIO93
#endif
#define DOUT46 93
#define DIO93 -93
#define DOUT46_IO_BYTEOFFSET (DOUT46_IO_OFFSET &gt;&gt; 3)
#define DOUT46_IO_BITMASK (1 &lt;&lt; (DOUT46_IO_OFFSET &amp; 0x7))
#define DIO93_IO_BYTEOFFSET DOUT46_IO_BYTEOFFSET
#define DIO93_IO_BITMASK DOUT46_IO_BITMASK
#ifndef IC74HC595_HAS_DOUTS
#define IC74HC595_HAS_DOUTS
#endif
#endif</v>
      </c>
      <c r="F95" s="4" t="str">
        <f t="shared" si="5"/>
        <v>#if ASSERT_PIN_IO(DOUT46)
#define io93_config_output mcu_config_output(DOUT46)
#define io93_set_output mcu_set_output(DOUT46)
#define io93_clear_output mcu_clear_output(DOUT46)
#define io93_toggle_output mcu_toggle_output(DOUT46)
#define io93_get_output mcu_get_output(DOUT46)
#define io93_config_input mcu_config_input(DOUT46)
#define io93_config_pullup mcu_config_pullup(DOUT46)
#define io93_get_input mcu_get_input(DOUT46)
#elif ASSERT_PIN_EXTENDED(DOUT46)
#define io93_config_output
#define io93_set_output ic74hc595_set_pin(DOUT46);shift_register_io_pins()
#define io93_clear_output ic74hc595_clear_pin(DOUT46);shift_register_io_pins()
#define io93_toggle_output ic74hc595_toggle_pin(DOUT46);shift_register_io_pins()
#define io93_get_output ic74hc595_get_pin(DOUT46)
#endif</v>
      </c>
    </row>
    <row r="96" spans="1:6" x14ac:dyDescent="0.25">
      <c r="A96" s="4">
        <v>94</v>
      </c>
      <c r="B96" s="4" t="str">
        <f t="shared" si="7"/>
        <v>DIO94</v>
      </c>
      <c r="C96" s="4" t="s">
        <v>542</v>
      </c>
      <c r="D96" s="4" t="s">
        <v>466</v>
      </c>
      <c r="E96" s="4" t="str">
        <f t="shared" si="6"/>
        <v>#ifndef DOUT47_IO_OFFSET
#define DOUT47_IO_OFFSET -1
#define DIO94_IO_OFFSET -1
#else
#define DIO94_IO_OFFSET DOUT47_IO_OFFSET
#ifdef DOUT47
#undef DOUT47
#endif
#ifdef DIO94
#undef DIO94
#endif
#define DOUT47 94
#define DIO94 -94
#define DOUT47_IO_BYTEOFFSET (DOUT47_IO_OFFSET &gt;&gt; 3)
#define DOUT47_IO_BITMASK (1 &lt;&lt; (DOUT47_IO_OFFSET &amp; 0x7))
#define DIO94_IO_BYTEOFFSET DOUT47_IO_BYTEOFFSET
#define DIO94_IO_BITMASK DOUT47_IO_BITMASK
#ifndef IC74HC595_HAS_DOUTS
#define IC74HC595_HAS_DOUTS
#endif
#endif</v>
      </c>
      <c r="F96" s="4" t="str">
        <f t="shared" si="5"/>
        <v>#if ASSERT_PIN_IO(DOUT47)
#define io94_config_output mcu_config_output(DOUT47)
#define io94_set_output mcu_set_output(DOUT47)
#define io94_clear_output mcu_clear_output(DOUT47)
#define io94_toggle_output mcu_toggle_output(DOUT47)
#define io94_get_output mcu_get_output(DOUT47)
#define io94_config_input mcu_config_input(DOUT47)
#define io94_config_pullup mcu_config_pullup(DOUT47)
#define io94_get_input mcu_get_input(DOUT47)
#elif ASSERT_PIN_EXTENDED(DOUT47)
#define io94_config_output
#define io94_set_output ic74hc595_set_pin(DOUT47);shift_register_io_pins()
#define io94_clear_output ic74hc595_clear_pin(DOUT47);shift_register_io_pins()
#define io94_toggle_output ic74hc595_toggle_pin(DOUT47);shift_register_io_pins()
#define io94_get_output ic74hc595_get_pin(DOUT47)
#endif</v>
      </c>
    </row>
    <row r="97" spans="1:6" x14ac:dyDescent="0.25">
      <c r="A97" s="4">
        <v>95</v>
      </c>
      <c r="B97" s="4" t="str">
        <f t="shared" si="7"/>
        <v>DIO95</v>
      </c>
      <c r="C97" s="4" t="s">
        <v>543</v>
      </c>
      <c r="D97" s="4" t="s">
        <v>466</v>
      </c>
      <c r="E97" s="4" t="str">
        <f t="shared" si="6"/>
        <v>#ifndef DOUT48_IO_OFFSET
#define DOUT48_IO_OFFSET -1
#define DIO95_IO_OFFSET -1
#else
#define DIO95_IO_OFFSET DOUT48_IO_OFFSET
#ifdef DOUT48
#undef DOUT48
#endif
#ifdef DIO95
#undef DIO95
#endif
#define DOUT48 95
#define DIO95 -95
#define DOUT48_IO_BYTEOFFSET (DOUT48_IO_OFFSET &gt;&gt; 3)
#define DOUT48_IO_BITMASK (1 &lt;&lt; (DOUT48_IO_OFFSET &amp; 0x7))
#define DIO95_IO_BYTEOFFSET DOUT48_IO_BYTEOFFSET
#define DIO95_IO_BITMASK DOUT48_IO_BITMASK
#ifndef IC74HC595_HAS_DOUTS
#define IC74HC595_HAS_DOUTS
#endif
#endif</v>
      </c>
      <c r="F97" s="4" t="str">
        <f t="shared" si="5"/>
        <v>#if ASSERT_PIN_IO(DOUT48)
#define io95_config_output mcu_config_output(DOUT48)
#define io95_set_output mcu_set_output(DOUT48)
#define io95_clear_output mcu_clear_output(DOUT48)
#define io95_toggle_output mcu_toggle_output(DOUT48)
#define io95_get_output mcu_get_output(DOUT48)
#define io95_config_input mcu_config_input(DOUT48)
#define io95_config_pullup mcu_config_pullup(DOUT48)
#define io95_get_input mcu_get_input(DOUT48)
#elif ASSERT_PIN_EXTENDED(DOUT48)
#define io95_config_output
#define io95_set_output ic74hc595_set_pin(DOUT48);shift_register_io_pins()
#define io95_clear_output ic74hc595_clear_pin(DOUT48);shift_register_io_pins()
#define io95_toggle_output ic74hc595_toggle_pin(DOUT48);shift_register_io_pins()
#define io95_get_output ic74hc595_get_pin(DOUT48)
#endif</v>
      </c>
    </row>
    <row r="98" spans="1:6" x14ac:dyDescent="0.25">
      <c r="A98" s="4">
        <v>96</v>
      </c>
      <c r="B98" s="4" t="str">
        <f t="shared" si="7"/>
        <v>DIO96</v>
      </c>
      <c r="C98" s="4" t="s">
        <v>544</v>
      </c>
      <c r="D98" s="4" t="s">
        <v>466</v>
      </c>
      <c r="E98" s="4" t="str">
        <f t="shared" si="6"/>
        <v>#ifndef DOUT49_IO_OFFSET
#define DOUT49_IO_OFFSET -1
#define DIO96_IO_OFFSET -1
#else
#define DIO96_IO_OFFSET DOUT49_IO_OFFSET
#ifdef DOUT49
#undef DOUT49
#endif
#ifdef DIO96
#undef DIO96
#endif
#define DOUT49 96
#define DIO96 -96
#define DOUT49_IO_BYTEOFFSET (DOUT49_IO_OFFSET &gt;&gt; 3)
#define DOUT49_IO_BITMASK (1 &lt;&lt; (DOUT49_IO_OFFSET &amp; 0x7))
#define DIO96_IO_BYTEOFFSET DOUT49_IO_BYTEOFFSET
#define DIO96_IO_BITMASK DOUT49_IO_BITMASK
#ifndef IC74HC595_HAS_DOUTS
#define IC74HC595_HAS_DOUTS
#endif
#endif</v>
      </c>
      <c r="F98" s="4" t="str">
        <f t="shared" si="5"/>
        <v>#if ASSERT_PIN_IO(DOUT49)
#define io96_config_output mcu_config_output(DOUT49)
#define io96_set_output mcu_set_output(DOUT49)
#define io96_clear_output mcu_clear_output(DOUT49)
#define io96_toggle_output mcu_toggle_output(DOUT49)
#define io96_get_output mcu_get_output(DOUT49)
#define io96_config_input mcu_config_input(DOUT49)
#define io96_config_pullup mcu_config_pullup(DOUT49)
#define io96_get_input mcu_get_input(DOUT49)
#elif ASSERT_PIN_EXTENDED(DOUT49)
#define io96_config_output
#define io96_set_output ic74hc595_set_pin(DOUT49);shift_register_io_pins()
#define io96_clear_output ic74hc595_clear_pin(DOUT49);shift_register_io_pins()
#define io96_toggle_output ic74hc595_toggle_pin(DOUT49);shift_register_io_pins()
#define io96_get_output ic74hc595_get_pin(DOUT49)
#endif</v>
      </c>
    </row>
    <row r="99" spans="1:6" x14ac:dyDescent="0.25">
      <c r="A99" s="4">
        <v>100</v>
      </c>
      <c r="B99" s="4" t="str">
        <f t="shared" si="7"/>
        <v>DIO100</v>
      </c>
      <c r="C99" s="4" t="s">
        <v>59</v>
      </c>
      <c r="D99" s="4" t="s">
        <v>563</v>
      </c>
      <c r="E99" s="4" t="str">
        <f>"#ifndef "&amp;C99&amp;"_IO_OFFSET
#define "&amp;C99&amp;"_IO_OFFSET -1
#define "&amp;B99&amp;"_IO_OFFSET -1
#else
#define "&amp;B99&amp;"_IO_OFFSET "&amp;C99&amp;"_IO_OFFSET
#ifdef "&amp;C99&amp;"
#undef "&amp;C99&amp;"
#endif
#ifdef "&amp;B99&amp;"
#undef "&amp;B99&amp;"
#endif
#define "&amp;C99&amp;" "&amp;A99&amp;"
#define "&amp;B99&amp;" -"&amp;A99&amp;"
#define "&amp;C99&amp;"_IO_BYTEOFFSET ("&amp;C99&amp;"_IO_OFFSET &gt;&gt; 3)
#define "&amp;C99&amp;"_IO_BITMASK (1 &lt;&lt; ("&amp;C99&amp;"_IO_OFFSET &amp; 0x7))
#define "&amp;B99&amp;"_IO_BYTEOFFSET "&amp;C99&amp;"_IO_BYTEOFFSET
#define "&amp;B99&amp;"_IO_BITMASK "&amp;C99&amp;"_IO_BITMASK
#ifndef IC74HC165_HAS_"&amp;D99&amp;"
#define IC74HC165_HAS_"&amp;D99&amp;"
#endif
#endif"</f>
        <v>#ifndef LIMIT_X_IO_OFFSET
#define LIMIT_X_IO_OFFSET -1
#define DIO100_IO_OFFSET -1
#else
#define DIO100_IO_OFFSET LIMIT_X_IO_OFFSET
#ifdef LIMIT_X
#undef LIMIT_X
#endif
#ifdef DIO100
#undef DIO100
#endif
#define LIMIT_X 100
#define DIO100 -100
#define LIMIT_X_IO_BYTEOFFSET (LIMIT_X_IO_OFFSET &gt;&gt; 3)
#define LIMIT_X_IO_BITMASK (1 &lt;&lt; (LIMIT_X_IO_OFFSET &amp; 0x7))
#define DIO100_IO_BYTEOFFSET LIMIT_X_IO_BYTEOFFSET
#define DIO100_IO_BITMASK LIMIT_X_IO_BITMASK
#ifndef IC74HC165_HAS_LIMITS
#define IC74HC165_HAS_LIMITS
#endif
#endif</v>
      </c>
      <c r="F99" s="4" t="str">
        <f>"#if ASSERT_PIN_IO("&amp;C99&amp;")
#ifdef DISABLE_HAL_CONFIG_PROTECTION
#define io"&amp;A99&amp;"_config_output mcu_config_output("&amp;C99&amp;")
#define io"&amp;A99&amp;"_set_output mcu_set_output("&amp;C99&amp;")
#define io"&amp;A99&amp;"_clear_output mcu_clear_output("&amp;C99&amp;")
#define io"&amp;A99&amp;"_toggle_output mcu_toggle_output("&amp;C99&amp;")
#define io"&amp;A99&amp;"_get_output mcu_get_output("&amp;C99&amp;")
#endif
#if !defined("&amp;C99&amp;"_PULLUP) &amp;&amp; !defined(FORCE_HAL_IO_DIRECTION_ONREQUEST)
#define io"&amp;A99&amp;"_config_input mcu_config_input("&amp;C99&amp;")
#else
#define io"&amp;A99&amp;"_config_input mcu_config_input("&amp;C99&amp;");mcu_config_pullup("&amp;C99&amp;")
#endif
#define io"&amp;A99&amp;"_config_pullup mcu_config_pullup("&amp;C99&amp;")
#define io"&amp;A99&amp;"_get_input mcu_get_input("&amp;C99&amp;")
#elif ASSERT_PIN_EXTENDED("&amp;C99&amp;")
#define io"&amp;A99&amp;"_config_input 
#define io"&amp;A99&amp;"_config_pullup
#define io"&amp;A99&amp;"_get_input ic74hc165_get_pin("&amp;C99&amp;")
#endif"</f>
        <v>#if ASSERT_PIN_IO(LIMIT_X)
#ifdef DISABLE_HAL_CONFIG_PROTECTION
#define io100_config_output mcu_config_output(LIMIT_X)
#define io100_set_output mcu_set_output(LIMIT_X)
#define io100_clear_output mcu_clear_output(LIMIT_X)
#define io100_toggle_output mcu_toggle_output(LIMIT_X)
#define io100_get_output mcu_get_output(LIMIT_X)
#endif
#if !defined(LIMIT_X_PULLUP) &amp;&amp; !defined(FORCE_HAL_IO_DIRECTION_ONREQUEST)
#define io100_config_input mcu_config_input(LIMIT_X)
#else
#define io100_config_input mcu_config_input(LIMIT_X);mcu_config_pullup(LIMIT_X)
#endif
#define io100_config_pullup mcu_config_pullup(LIMIT_X)
#define io100_get_input mcu_get_input(LIMIT_X)
#elif ASSERT_PIN_EXTENDED(LIMIT_X)
#define io100_config_input 
#define io100_config_pullup
#define io100_get_input ic74hc165_get_pin(LIMIT_X)
#endif</v>
      </c>
    </row>
    <row r="100" spans="1:6" x14ac:dyDescent="0.25">
      <c r="A100" s="4">
        <v>101</v>
      </c>
      <c r="B100" s="4" t="str">
        <f t="shared" si="7"/>
        <v>DIO101</v>
      </c>
      <c r="C100" s="4" t="s">
        <v>60</v>
      </c>
      <c r="D100" s="4" t="s">
        <v>563</v>
      </c>
      <c r="E100" s="4" t="str">
        <f t="shared" ref="E100:E112" si="8">"#ifndef "&amp;C100&amp;"_IO_OFFSET
#define "&amp;C100&amp;"_IO_OFFSET -1
#define "&amp;B100&amp;"_IO_OFFSET -1
#else
#define "&amp;B100&amp;"_IO_OFFSET "&amp;C100&amp;"_IO_OFFSET
#ifdef "&amp;C100&amp;"
#undef "&amp;C100&amp;"
#endif
#ifdef "&amp;B100&amp;"
#undef "&amp;B100&amp;"
#endif
#define "&amp;C100&amp;" "&amp;A100&amp;"
#define "&amp;B100&amp;" -"&amp;A100&amp;"
#define "&amp;C100&amp;"_IO_BYTEOFFSET ("&amp;C100&amp;"_IO_OFFSET &gt;&gt; 3)
#define "&amp;C100&amp;"_IO_BITMASK (1 &lt;&lt; ("&amp;C100&amp;"_IO_OFFSET &amp; 0x7))
#define "&amp;B100&amp;"_IO_BYTEOFFSET "&amp;C100&amp;"_IO_BYTEOFFSET
#define "&amp;B100&amp;"_IO_BITMASK "&amp;C100&amp;"_IO_BITMASK
#ifndef IC74HC165_HAS_"&amp;D100&amp;"
#define IC74HC165_HAS_"&amp;D100&amp;"
#endif
#endif"</f>
        <v>#ifndef LIMIT_Y_IO_OFFSET
#define LIMIT_Y_IO_OFFSET -1
#define DIO101_IO_OFFSET -1
#else
#define DIO101_IO_OFFSET LIMIT_Y_IO_OFFSET
#ifdef LIMIT_Y
#undef LIMIT_Y
#endif
#ifdef DIO101
#undef DIO101
#endif
#define LIMIT_Y 101
#define DIO101 -101
#define LIMIT_Y_IO_BYTEOFFSET (LIMIT_Y_IO_OFFSET &gt;&gt; 3)
#define LIMIT_Y_IO_BITMASK (1 &lt;&lt; (LIMIT_Y_IO_OFFSET &amp; 0x7))
#define DIO101_IO_BYTEOFFSET LIMIT_Y_IO_BYTEOFFSET
#define DIO101_IO_BITMASK LIMIT_Y_IO_BITMASK
#ifndef IC74HC165_HAS_LIMITS
#define IC74HC165_HAS_LIMITS
#endif
#endif</v>
      </c>
      <c r="F100" s="4" t="str">
        <f t="shared" ref="F100:F112" si="9">"#if ASSERT_PIN_IO("&amp;C100&amp;")
#ifdef DISABLE_HAL_CONFIG_PROTECTION
#define io"&amp;A100&amp;"_config_output mcu_config_output("&amp;C100&amp;")
#define io"&amp;A100&amp;"_set_output mcu_set_output("&amp;C100&amp;")
#define io"&amp;A100&amp;"_clear_output mcu_clear_output("&amp;C100&amp;")
#define io"&amp;A100&amp;"_toggle_output mcu_toggle_output("&amp;C100&amp;")
#define io"&amp;A100&amp;"_get_output mcu_get_output("&amp;C100&amp;")
#endif
#if !defined("&amp;C100&amp;"_PULLUP) &amp;&amp; !defined(FORCE_HAL_IO_DIRECTION_ONREQUEST)
#define io"&amp;A100&amp;"_config_input mcu_config_input("&amp;C100&amp;")
#else
#define io"&amp;A100&amp;"_config_input mcu_config_input("&amp;C100&amp;");mcu_config_pullup("&amp;C100&amp;")
#endif
#define io"&amp;A100&amp;"_config_pullup mcu_config_pullup("&amp;C100&amp;")
#define io"&amp;A100&amp;"_get_input mcu_get_input("&amp;C100&amp;")
#elif ASSERT_PIN_EXTENDED("&amp;C100&amp;")
#define io"&amp;A100&amp;"_config_input 
#define io"&amp;A100&amp;"_config_pullup
#define io"&amp;A100&amp;"_get_input ic74hc165_get_pin("&amp;C100&amp;")
#endif"</f>
        <v>#if ASSERT_PIN_IO(LIMIT_Y)
#ifdef DISABLE_HAL_CONFIG_PROTECTION
#define io101_config_output mcu_config_output(LIMIT_Y)
#define io101_set_output mcu_set_output(LIMIT_Y)
#define io101_clear_output mcu_clear_output(LIMIT_Y)
#define io101_toggle_output mcu_toggle_output(LIMIT_Y)
#define io101_get_output mcu_get_output(LIMIT_Y)
#endif
#if !defined(LIMIT_Y_PULLUP) &amp;&amp; !defined(FORCE_HAL_IO_DIRECTION_ONREQUEST)
#define io101_config_input mcu_config_input(LIMIT_Y)
#else
#define io101_config_input mcu_config_input(LIMIT_Y);mcu_config_pullup(LIMIT_Y)
#endif
#define io101_config_pullup mcu_config_pullup(LIMIT_Y)
#define io101_get_input mcu_get_input(LIMIT_Y)
#elif ASSERT_PIN_EXTENDED(LIMIT_Y)
#define io101_config_input 
#define io101_config_pullup
#define io101_get_input ic74hc165_get_pin(LIMIT_Y)
#endif</v>
      </c>
    </row>
    <row r="101" spans="1:6" x14ac:dyDescent="0.25">
      <c r="A101" s="4">
        <v>102</v>
      </c>
      <c r="B101" s="4" t="str">
        <f t="shared" si="7"/>
        <v>DIO102</v>
      </c>
      <c r="C101" s="4" t="s">
        <v>61</v>
      </c>
      <c r="D101" s="4" t="s">
        <v>563</v>
      </c>
      <c r="E101" s="4" t="str">
        <f t="shared" si="8"/>
        <v>#ifndef LIMIT_Z_IO_OFFSET
#define LIMIT_Z_IO_OFFSET -1
#define DIO102_IO_OFFSET -1
#else
#define DIO102_IO_OFFSET LIMIT_Z_IO_OFFSET
#ifdef LIMIT_Z
#undef LIMIT_Z
#endif
#ifdef DIO102
#undef DIO102
#endif
#define LIMIT_Z 102
#define DIO102 -102
#define LIMIT_Z_IO_BYTEOFFSET (LIMIT_Z_IO_OFFSET &gt;&gt; 3)
#define LIMIT_Z_IO_BITMASK (1 &lt;&lt; (LIMIT_Z_IO_OFFSET &amp; 0x7))
#define DIO102_IO_BYTEOFFSET LIMIT_Z_IO_BYTEOFFSET
#define DIO102_IO_BITMASK LIMIT_Z_IO_BITMASK
#ifndef IC74HC165_HAS_LIMITS
#define IC74HC165_HAS_LIMITS
#endif
#endif</v>
      </c>
      <c r="F101" s="4" t="str">
        <f t="shared" si="9"/>
        <v>#if ASSERT_PIN_IO(LIMIT_Z)
#ifdef DISABLE_HAL_CONFIG_PROTECTION
#define io102_config_output mcu_config_output(LIMIT_Z)
#define io102_set_output mcu_set_output(LIMIT_Z)
#define io102_clear_output mcu_clear_output(LIMIT_Z)
#define io102_toggle_output mcu_toggle_output(LIMIT_Z)
#define io102_get_output mcu_get_output(LIMIT_Z)
#endif
#if !defined(LIMIT_Z_PULLUP) &amp;&amp; !defined(FORCE_HAL_IO_DIRECTION_ONREQUEST)
#define io102_config_input mcu_config_input(LIMIT_Z)
#else
#define io102_config_input mcu_config_input(LIMIT_Z);mcu_config_pullup(LIMIT_Z)
#endif
#define io102_config_pullup mcu_config_pullup(LIMIT_Z)
#define io102_get_input mcu_get_input(LIMIT_Z)
#elif ASSERT_PIN_EXTENDED(LIMIT_Z)
#define io102_config_input 
#define io102_config_pullup
#define io102_get_input ic74hc165_get_pin(LIMIT_Z)
#endif</v>
      </c>
    </row>
    <row r="102" spans="1:6" x14ac:dyDescent="0.25">
      <c r="A102" s="4">
        <v>103</v>
      </c>
      <c r="B102" s="4" t="str">
        <f t="shared" si="7"/>
        <v>DIO103</v>
      </c>
      <c r="C102" s="4" t="s">
        <v>62</v>
      </c>
      <c r="D102" s="4" t="s">
        <v>563</v>
      </c>
      <c r="E102" s="4" t="str">
        <f t="shared" si="8"/>
        <v>#ifndef LIMIT_X2_IO_OFFSET
#define LIMIT_X2_IO_OFFSET -1
#define DIO103_IO_OFFSET -1
#else
#define DIO103_IO_OFFSET LIMIT_X2_IO_OFFSET
#ifdef LIMIT_X2
#undef LIMIT_X2
#endif
#ifdef DIO103
#undef DIO103
#endif
#define LIMIT_X2 103
#define DIO103 -103
#define LIMIT_X2_IO_BYTEOFFSET (LIMIT_X2_IO_OFFSET &gt;&gt; 3)
#define LIMIT_X2_IO_BITMASK (1 &lt;&lt; (LIMIT_X2_IO_OFFSET &amp; 0x7))
#define DIO103_IO_BYTEOFFSET LIMIT_X2_IO_BYTEOFFSET
#define DIO103_IO_BITMASK LIMIT_X2_IO_BITMASK
#ifndef IC74HC165_HAS_LIMITS
#define IC74HC165_HAS_LIMITS
#endif
#endif</v>
      </c>
      <c r="F102" s="4" t="str">
        <f t="shared" si="9"/>
        <v>#if ASSERT_PIN_IO(LIMIT_X2)
#ifdef DISABLE_HAL_CONFIG_PROTECTION
#define io103_config_output mcu_config_output(LIMIT_X2)
#define io103_set_output mcu_set_output(LIMIT_X2)
#define io103_clear_output mcu_clear_output(LIMIT_X2)
#define io103_toggle_output mcu_toggle_output(LIMIT_X2)
#define io103_get_output mcu_get_output(LIMIT_X2)
#endif
#if !defined(LIMIT_X2_PULLUP) &amp;&amp; !defined(FORCE_HAL_IO_DIRECTION_ONREQUEST)
#define io103_config_input mcu_config_input(LIMIT_X2)
#else
#define io103_config_input mcu_config_input(LIMIT_X2);mcu_config_pullup(LIMIT_X2)
#endif
#define io103_config_pullup mcu_config_pullup(LIMIT_X2)
#define io103_get_input mcu_get_input(LIMIT_X2)
#elif ASSERT_PIN_EXTENDED(LIMIT_X2)
#define io103_config_input 
#define io103_config_pullup
#define io103_get_input ic74hc165_get_pin(LIMIT_X2)
#endif</v>
      </c>
    </row>
    <row r="103" spans="1:6" x14ac:dyDescent="0.25">
      <c r="A103" s="4">
        <v>104</v>
      </c>
      <c r="B103" s="4" t="str">
        <f t="shared" si="7"/>
        <v>DIO104</v>
      </c>
      <c r="C103" s="4" t="s">
        <v>63</v>
      </c>
      <c r="D103" s="4" t="s">
        <v>563</v>
      </c>
      <c r="E103" s="4" t="str">
        <f t="shared" si="8"/>
        <v>#ifndef LIMIT_Y2_IO_OFFSET
#define LIMIT_Y2_IO_OFFSET -1
#define DIO104_IO_OFFSET -1
#else
#define DIO104_IO_OFFSET LIMIT_Y2_IO_OFFSET
#ifdef LIMIT_Y2
#undef LIMIT_Y2
#endif
#ifdef DIO104
#undef DIO104
#endif
#define LIMIT_Y2 104
#define DIO104 -104
#define LIMIT_Y2_IO_BYTEOFFSET (LIMIT_Y2_IO_OFFSET &gt;&gt; 3)
#define LIMIT_Y2_IO_BITMASK (1 &lt;&lt; (LIMIT_Y2_IO_OFFSET &amp; 0x7))
#define DIO104_IO_BYTEOFFSET LIMIT_Y2_IO_BYTEOFFSET
#define DIO104_IO_BITMASK LIMIT_Y2_IO_BITMASK
#ifndef IC74HC165_HAS_LIMITS
#define IC74HC165_HAS_LIMITS
#endif
#endif</v>
      </c>
      <c r="F103" s="4" t="str">
        <f t="shared" si="9"/>
        <v>#if ASSERT_PIN_IO(LIMIT_Y2)
#ifdef DISABLE_HAL_CONFIG_PROTECTION
#define io104_config_output mcu_config_output(LIMIT_Y2)
#define io104_set_output mcu_set_output(LIMIT_Y2)
#define io104_clear_output mcu_clear_output(LIMIT_Y2)
#define io104_toggle_output mcu_toggle_output(LIMIT_Y2)
#define io104_get_output mcu_get_output(LIMIT_Y2)
#endif
#if !defined(LIMIT_Y2_PULLUP) &amp;&amp; !defined(FORCE_HAL_IO_DIRECTION_ONREQUEST)
#define io104_config_input mcu_config_input(LIMIT_Y2)
#else
#define io104_config_input mcu_config_input(LIMIT_Y2);mcu_config_pullup(LIMIT_Y2)
#endif
#define io104_config_pullup mcu_config_pullup(LIMIT_Y2)
#define io104_get_input mcu_get_input(LIMIT_Y2)
#elif ASSERT_PIN_EXTENDED(LIMIT_Y2)
#define io104_config_input 
#define io104_config_pullup
#define io104_get_input ic74hc165_get_pin(LIMIT_Y2)
#endif</v>
      </c>
    </row>
    <row r="104" spans="1:6" x14ac:dyDescent="0.25">
      <c r="A104" s="4">
        <v>105</v>
      </c>
      <c r="B104" s="4" t="str">
        <f t="shared" si="7"/>
        <v>DIO105</v>
      </c>
      <c r="C104" s="4" t="s">
        <v>64</v>
      </c>
      <c r="D104" s="4" t="s">
        <v>563</v>
      </c>
      <c r="E104" s="4" t="str">
        <f t="shared" si="8"/>
        <v>#ifndef LIMIT_Z2_IO_OFFSET
#define LIMIT_Z2_IO_OFFSET -1
#define DIO105_IO_OFFSET -1
#else
#define DIO105_IO_OFFSET LIMIT_Z2_IO_OFFSET
#ifdef LIMIT_Z2
#undef LIMIT_Z2
#endif
#ifdef DIO105
#undef DIO105
#endif
#define LIMIT_Z2 105
#define DIO105 -105
#define LIMIT_Z2_IO_BYTEOFFSET (LIMIT_Z2_IO_OFFSET &gt;&gt; 3)
#define LIMIT_Z2_IO_BITMASK (1 &lt;&lt; (LIMIT_Z2_IO_OFFSET &amp; 0x7))
#define DIO105_IO_BYTEOFFSET LIMIT_Z2_IO_BYTEOFFSET
#define DIO105_IO_BITMASK LIMIT_Z2_IO_BITMASK
#ifndef IC74HC165_HAS_LIMITS
#define IC74HC165_HAS_LIMITS
#endif
#endif</v>
      </c>
      <c r="F104" s="4" t="str">
        <f t="shared" si="9"/>
        <v>#if ASSERT_PIN_IO(LIMIT_Z2)
#ifdef DISABLE_HAL_CONFIG_PROTECTION
#define io105_config_output mcu_config_output(LIMIT_Z2)
#define io105_set_output mcu_set_output(LIMIT_Z2)
#define io105_clear_output mcu_clear_output(LIMIT_Z2)
#define io105_toggle_output mcu_toggle_output(LIMIT_Z2)
#define io105_get_output mcu_get_output(LIMIT_Z2)
#endif
#if !defined(LIMIT_Z2_PULLUP) &amp;&amp; !defined(FORCE_HAL_IO_DIRECTION_ONREQUEST)
#define io105_config_input mcu_config_input(LIMIT_Z2)
#else
#define io105_config_input mcu_config_input(LIMIT_Z2);mcu_config_pullup(LIMIT_Z2)
#endif
#define io105_config_pullup mcu_config_pullup(LIMIT_Z2)
#define io105_get_input mcu_get_input(LIMIT_Z2)
#elif ASSERT_PIN_EXTENDED(LIMIT_Z2)
#define io105_config_input 
#define io105_config_pullup
#define io105_get_input ic74hc165_get_pin(LIMIT_Z2)
#endif</v>
      </c>
    </row>
    <row r="105" spans="1:6" x14ac:dyDescent="0.25">
      <c r="A105" s="4">
        <v>106</v>
      </c>
      <c r="B105" s="4" t="str">
        <f t="shared" si="7"/>
        <v>DIO106</v>
      </c>
      <c r="C105" s="4" t="s">
        <v>65</v>
      </c>
      <c r="D105" s="4" t="s">
        <v>563</v>
      </c>
      <c r="E105" s="4" t="str">
        <f t="shared" si="8"/>
        <v>#ifndef LIMIT_A_IO_OFFSET
#define LIMIT_A_IO_OFFSET -1
#define DIO106_IO_OFFSET -1
#else
#define DIO106_IO_OFFSET LIMIT_A_IO_OFFSET
#ifdef LIMIT_A
#undef LIMIT_A
#endif
#ifdef DIO106
#undef DIO106
#endif
#define LIMIT_A 106
#define DIO106 -106
#define LIMIT_A_IO_BYTEOFFSET (LIMIT_A_IO_OFFSET &gt;&gt; 3)
#define LIMIT_A_IO_BITMASK (1 &lt;&lt; (LIMIT_A_IO_OFFSET &amp; 0x7))
#define DIO106_IO_BYTEOFFSET LIMIT_A_IO_BYTEOFFSET
#define DIO106_IO_BITMASK LIMIT_A_IO_BITMASK
#ifndef IC74HC165_HAS_LIMITS
#define IC74HC165_HAS_LIMITS
#endif
#endif</v>
      </c>
      <c r="F105" s="4" t="str">
        <f t="shared" si="9"/>
        <v>#if ASSERT_PIN_IO(LIMIT_A)
#ifdef DISABLE_HAL_CONFIG_PROTECTION
#define io106_config_output mcu_config_output(LIMIT_A)
#define io106_set_output mcu_set_output(LIMIT_A)
#define io106_clear_output mcu_clear_output(LIMIT_A)
#define io106_toggle_output mcu_toggle_output(LIMIT_A)
#define io106_get_output mcu_get_output(LIMIT_A)
#endif
#if !defined(LIMIT_A_PULLUP) &amp;&amp; !defined(FORCE_HAL_IO_DIRECTION_ONREQUEST)
#define io106_config_input mcu_config_input(LIMIT_A)
#else
#define io106_config_input mcu_config_input(LIMIT_A);mcu_config_pullup(LIMIT_A)
#endif
#define io106_config_pullup mcu_config_pullup(LIMIT_A)
#define io106_get_input mcu_get_input(LIMIT_A)
#elif ASSERT_PIN_EXTENDED(LIMIT_A)
#define io106_config_input 
#define io106_config_pullup
#define io106_get_input ic74hc165_get_pin(LIMIT_A)
#endif</v>
      </c>
    </row>
    <row r="106" spans="1:6" x14ac:dyDescent="0.25">
      <c r="A106" s="4">
        <v>107</v>
      </c>
      <c r="B106" s="4" t="str">
        <f t="shared" si="7"/>
        <v>DIO107</v>
      </c>
      <c r="C106" s="4" t="s">
        <v>66</v>
      </c>
      <c r="D106" s="4" t="s">
        <v>563</v>
      </c>
      <c r="E106" s="4" t="str">
        <f t="shared" si="8"/>
        <v>#ifndef LIMIT_B_IO_OFFSET
#define LIMIT_B_IO_OFFSET -1
#define DIO107_IO_OFFSET -1
#else
#define DIO107_IO_OFFSET LIMIT_B_IO_OFFSET
#ifdef LIMIT_B
#undef LIMIT_B
#endif
#ifdef DIO107
#undef DIO107
#endif
#define LIMIT_B 107
#define DIO107 -107
#define LIMIT_B_IO_BYTEOFFSET (LIMIT_B_IO_OFFSET &gt;&gt; 3)
#define LIMIT_B_IO_BITMASK (1 &lt;&lt; (LIMIT_B_IO_OFFSET &amp; 0x7))
#define DIO107_IO_BYTEOFFSET LIMIT_B_IO_BYTEOFFSET
#define DIO107_IO_BITMASK LIMIT_B_IO_BITMASK
#ifndef IC74HC165_HAS_LIMITS
#define IC74HC165_HAS_LIMITS
#endif
#endif</v>
      </c>
      <c r="F106" s="4" t="str">
        <f t="shared" si="9"/>
        <v>#if ASSERT_PIN_IO(LIMIT_B)
#ifdef DISABLE_HAL_CONFIG_PROTECTION
#define io107_config_output mcu_config_output(LIMIT_B)
#define io107_set_output mcu_set_output(LIMIT_B)
#define io107_clear_output mcu_clear_output(LIMIT_B)
#define io107_toggle_output mcu_toggle_output(LIMIT_B)
#define io107_get_output mcu_get_output(LIMIT_B)
#endif
#if !defined(LIMIT_B_PULLUP) &amp;&amp; !defined(FORCE_HAL_IO_DIRECTION_ONREQUEST)
#define io107_config_input mcu_config_input(LIMIT_B)
#else
#define io107_config_input mcu_config_input(LIMIT_B);mcu_config_pullup(LIMIT_B)
#endif
#define io107_config_pullup mcu_config_pullup(LIMIT_B)
#define io107_get_input mcu_get_input(LIMIT_B)
#elif ASSERT_PIN_EXTENDED(LIMIT_B)
#define io107_config_input 
#define io107_config_pullup
#define io107_get_input ic74hc165_get_pin(LIMIT_B)
#endif</v>
      </c>
    </row>
    <row r="107" spans="1:6" x14ac:dyDescent="0.25">
      <c r="A107" s="4">
        <v>108</v>
      </c>
      <c r="B107" s="4" t="str">
        <f t="shared" si="7"/>
        <v>DIO108</v>
      </c>
      <c r="C107" s="4" t="s">
        <v>67</v>
      </c>
      <c r="D107" s="4" t="s">
        <v>563</v>
      </c>
      <c r="E107" s="4" t="str">
        <f t="shared" si="8"/>
        <v>#ifndef LIMIT_C_IO_OFFSET
#define LIMIT_C_IO_OFFSET -1
#define DIO108_IO_OFFSET -1
#else
#define DIO108_IO_OFFSET LIMIT_C_IO_OFFSET
#ifdef LIMIT_C
#undef LIMIT_C
#endif
#ifdef DIO108
#undef DIO108
#endif
#define LIMIT_C 108
#define DIO108 -108
#define LIMIT_C_IO_BYTEOFFSET (LIMIT_C_IO_OFFSET &gt;&gt; 3)
#define LIMIT_C_IO_BITMASK (1 &lt;&lt; (LIMIT_C_IO_OFFSET &amp; 0x7))
#define DIO108_IO_BYTEOFFSET LIMIT_C_IO_BYTEOFFSET
#define DIO108_IO_BITMASK LIMIT_C_IO_BITMASK
#ifndef IC74HC165_HAS_LIMITS
#define IC74HC165_HAS_LIMITS
#endif
#endif</v>
      </c>
      <c r="F107" s="4" t="str">
        <f t="shared" si="9"/>
        <v>#if ASSERT_PIN_IO(LIMIT_C)
#ifdef DISABLE_HAL_CONFIG_PROTECTION
#define io108_config_output mcu_config_output(LIMIT_C)
#define io108_set_output mcu_set_output(LIMIT_C)
#define io108_clear_output mcu_clear_output(LIMIT_C)
#define io108_toggle_output mcu_toggle_output(LIMIT_C)
#define io108_get_output mcu_get_output(LIMIT_C)
#endif
#if !defined(LIMIT_C_PULLUP) &amp;&amp; !defined(FORCE_HAL_IO_DIRECTION_ONREQUEST)
#define io108_config_input mcu_config_input(LIMIT_C)
#else
#define io108_config_input mcu_config_input(LIMIT_C);mcu_config_pullup(LIMIT_C)
#endif
#define io108_config_pullup mcu_config_pullup(LIMIT_C)
#define io108_get_input mcu_get_input(LIMIT_C)
#elif ASSERT_PIN_EXTENDED(LIMIT_C)
#define io108_config_input 
#define io108_config_pullup
#define io108_get_input ic74hc165_get_pin(LIMIT_C)
#endif</v>
      </c>
    </row>
    <row r="108" spans="1:6" x14ac:dyDescent="0.25">
      <c r="A108" s="4">
        <v>109</v>
      </c>
      <c r="B108" s="4" t="str">
        <f t="shared" si="7"/>
        <v>DIO109</v>
      </c>
      <c r="C108" s="5" t="s">
        <v>68</v>
      </c>
      <c r="D108" s="4" t="s">
        <v>68</v>
      </c>
      <c r="E108" s="4" t="str">
        <f t="shared" si="8"/>
        <v>#ifndef PROBE_IO_OFFSET
#define PROBE_IO_OFFSET -1
#define DIO109_IO_OFFSET -1
#else
#define DIO109_IO_OFFSET PROBE_IO_OFFSET
#ifdef PROBE
#undef PROBE
#endif
#ifdef DIO109
#undef DIO109
#endif
#define PROBE 109
#define DIO109 -109
#define PROBE_IO_BYTEOFFSET (PROBE_IO_OFFSET &gt;&gt; 3)
#define PROBE_IO_BITMASK (1 &lt;&lt; (PROBE_IO_OFFSET &amp; 0x7))
#define DIO109_IO_BYTEOFFSET PROBE_IO_BYTEOFFSET
#define DIO109_IO_BITMASK PROBE_IO_BITMASK
#ifndef IC74HC165_HAS_PROBE
#define IC74HC165_HAS_PROBE
#endif
#endif</v>
      </c>
      <c r="F108" s="4" t="str">
        <f t="shared" si="9"/>
        <v>#if ASSERT_PIN_IO(PROBE)
#ifdef DISABLE_HAL_CONFIG_PROTECTION
#define io109_config_output mcu_config_output(PROBE)
#define io109_set_output mcu_set_output(PROBE)
#define io109_clear_output mcu_clear_output(PROBE)
#define io109_toggle_output mcu_toggle_output(PROBE)
#define io109_get_output mcu_get_output(PROBE)
#endif
#if !defined(PROBE_PULLUP) &amp;&amp; !defined(FORCE_HAL_IO_DIRECTION_ONREQUEST)
#define io109_config_input mcu_config_input(PROBE)
#else
#define io109_config_input mcu_config_input(PROBE);mcu_config_pullup(PROBE)
#endif
#define io109_config_pullup mcu_config_pullup(PROBE)
#define io109_get_input mcu_get_input(PROBE)
#elif ASSERT_PIN_EXTENDED(PROBE)
#define io109_config_input 
#define io109_config_pullup
#define io109_get_input ic74hc165_get_pin(PROBE)
#endif</v>
      </c>
    </row>
    <row r="109" spans="1:6" x14ac:dyDescent="0.25">
      <c r="A109" s="4">
        <v>110</v>
      </c>
      <c r="B109" s="4" t="str">
        <f t="shared" si="7"/>
        <v>DIO110</v>
      </c>
      <c r="C109" s="4" t="s">
        <v>69</v>
      </c>
      <c r="D109" s="4" t="s">
        <v>564</v>
      </c>
      <c r="E109" s="4" t="str">
        <f t="shared" si="8"/>
        <v>#ifndef ESTOP_IO_OFFSET
#define ESTOP_IO_OFFSET -1
#define DIO110_IO_OFFSET -1
#else
#define DIO110_IO_OFFSET ESTOP_IO_OFFSET
#ifdef ESTOP
#undef ESTOP
#endif
#ifdef DIO110
#undef DIO110
#endif
#define ESTOP 110
#define DIO110 -110
#define ESTOP_IO_BYTEOFFSET (ESTOP_IO_OFFSET &gt;&gt; 3)
#define ESTOP_IO_BITMASK (1 &lt;&lt; (ESTOP_IO_OFFSET &amp; 0x7))
#define DIO110_IO_BYTEOFFSET ESTOP_IO_BYTEOFFSET
#define DIO110_IO_BITMASK ESTOP_IO_BITMASK
#ifndef IC74HC165_HAS_CONTROLS
#define IC74HC165_HAS_CONTROLS
#endif
#endif</v>
      </c>
      <c r="F109" s="4" t="str">
        <f t="shared" si="9"/>
        <v>#if ASSERT_PIN_IO(ESTOP)
#ifdef DISABLE_HAL_CONFIG_PROTECTION
#define io110_config_output mcu_config_output(ESTOP)
#define io110_set_output mcu_set_output(ESTOP)
#define io110_clear_output mcu_clear_output(ESTOP)
#define io110_toggle_output mcu_toggle_output(ESTOP)
#define io110_get_output mcu_get_output(ESTOP)
#endif
#if !defined(ESTOP_PULLUP) &amp;&amp; !defined(FORCE_HAL_IO_DIRECTION_ONREQUEST)
#define io110_config_input mcu_config_input(ESTOP)
#else
#define io110_config_input mcu_config_input(ESTOP);mcu_config_pullup(ESTOP)
#endif
#define io110_config_pullup mcu_config_pullup(ESTOP)
#define io110_get_input mcu_get_input(ESTOP)
#elif ASSERT_PIN_EXTENDED(ESTOP)
#define io110_config_input 
#define io110_config_pullup
#define io110_get_input ic74hc165_get_pin(ESTOP)
#endif</v>
      </c>
    </row>
    <row r="110" spans="1:6" x14ac:dyDescent="0.25">
      <c r="A110" s="4">
        <v>111</v>
      </c>
      <c r="B110" s="4" t="str">
        <f t="shared" si="7"/>
        <v>DIO111</v>
      </c>
      <c r="C110" s="4" t="s">
        <v>70</v>
      </c>
      <c r="D110" s="4" t="s">
        <v>564</v>
      </c>
      <c r="E110" s="4" t="str">
        <f t="shared" si="8"/>
        <v>#ifndef SAFETY_DOOR_IO_OFFSET
#define SAFETY_DOOR_IO_OFFSET -1
#define DIO111_IO_OFFSET -1
#else
#define DIO111_IO_OFFSET SAFETY_DOOR_IO_OFFSET
#ifdef SAFETY_DOOR
#undef SAFETY_DOOR
#endif
#ifdef DIO111
#undef DIO111
#endif
#define SAFETY_DOOR 111
#define DIO111 -111
#define SAFETY_DOOR_IO_BYTEOFFSET (SAFETY_DOOR_IO_OFFSET &gt;&gt; 3)
#define SAFETY_DOOR_IO_BITMASK (1 &lt;&lt; (SAFETY_DOOR_IO_OFFSET &amp; 0x7))
#define DIO111_IO_BYTEOFFSET SAFETY_DOOR_IO_BYTEOFFSET
#define DIO111_IO_BITMASK SAFETY_DOOR_IO_BITMASK
#ifndef IC74HC165_HAS_CONTROLS
#define IC74HC165_HAS_CONTROLS
#endif
#endif</v>
      </c>
      <c r="F110" s="4" t="str">
        <f t="shared" si="9"/>
        <v>#if ASSERT_PIN_IO(SAFETY_DOOR)
#ifdef DISABLE_HAL_CONFIG_PROTECTION
#define io111_config_output mcu_config_output(SAFETY_DOOR)
#define io111_set_output mcu_set_output(SAFETY_DOOR)
#define io111_clear_output mcu_clear_output(SAFETY_DOOR)
#define io111_toggle_output mcu_toggle_output(SAFETY_DOOR)
#define io111_get_output mcu_get_output(SAFETY_DOOR)
#endif
#if !defined(SAFETY_DOOR_PULLUP) &amp;&amp; !defined(FORCE_HAL_IO_DIRECTION_ONREQUEST)
#define io111_config_input mcu_config_input(SAFETY_DOOR)
#else
#define io111_config_input mcu_config_input(SAFETY_DOOR);mcu_config_pullup(SAFETY_DOOR)
#endif
#define io111_config_pullup mcu_config_pullup(SAFETY_DOOR)
#define io111_get_input mcu_get_input(SAFETY_DOOR)
#elif ASSERT_PIN_EXTENDED(SAFETY_DOOR)
#define io111_config_input 
#define io111_config_pullup
#define io111_get_input ic74hc165_get_pin(SAFETY_DOOR)
#endif</v>
      </c>
    </row>
    <row r="111" spans="1:6" x14ac:dyDescent="0.25">
      <c r="A111" s="4">
        <v>112</v>
      </c>
      <c r="B111" s="4" t="str">
        <f t="shared" si="7"/>
        <v>DIO112</v>
      </c>
      <c r="C111" s="4" t="s">
        <v>71</v>
      </c>
      <c r="D111" s="4" t="s">
        <v>564</v>
      </c>
      <c r="E111" s="4" t="str">
        <f t="shared" si="8"/>
        <v>#ifndef FHOLD_IO_OFFSET
#define FHOLD_IO_OFFSET -1
#define DIO112_IO_OFFSET -1
#else
#define DIO112_IO_OFFSET FHOLD_IO_OFFSET
#ifdef FHOLD
#undef FHOLD
#endif
#ifdef DIO112
#undef DIO112
#endif
#define FHOLD 112
#define DIO112 -112
#define FHOLD_IO_BYTEOFFSET (FHOLD_IO_OFFSET &gt;&gt; 3)
#define FHOLD_IO_BITMASK (1 &lt;&lt; (FHOLD_IO_OFFSET &amp; 0x7))
#define DIO112_IO_BYTEOFFSET FHOLD_IO_BYTEOFFSET
#define DIO112_IO_BITMASK FHOLD_IO_BITMASK
#ifndef IC74HC165_HAS_CONTROLS
#define IC74HC165_HAS_CONTROLS
#endif
#endif</v>
      </c>
      <c r="F111" s="4" t="str">
        <f t="shared" si="9"/>
        <v>#if ASSERT_PIN_IO(FHOLD)
#ifdef DISABLE_HAL_CONFIG_PROTECTION
#define io112_config_output mcu_config_output(FHOLD)
#define io112_set_output mcu_set_output(FHOLD)
#define io112_clear_output mcu_clear_output(FHOLD)
#define io112_toggle_output mcu_toggle_output(FHOLD)
#define io112_get_output mcu_get_output(FHOLD)
#endif
#if !defined(FHOLD_PULLUP) &amp;&amp; !defined(FORCE_HAL_IO_DIRECTION_ONREQUEST)
#define io112_config_input mcu_config_input(FHOLD)
#else
#define io112_config_input mcu_config_input(FHOLD);mcu_config_pullup(FHOLD)
#endif
#define io112_config_pullup mcu_config_pullup(FHOLD)
#define io112_get_input mcu_get_input(FHOLD)
#elif ASSERT_PIN_EXTENDED(FHOLD)
#define io112_config_input 
#define io112_config_pullup
#define io112_get_input ic74hc165_get_pin(FHOLD)
#endif</v>
      </c>
    </row>
    <row r="112" spans="1:6" x14ac:dyDescent="0.25">
      <c r="A112" s="4">
        <v>113</v>
      </c>
      <c r="B112" s="4" t="str">
        <f t="shared" si="7"/>
        <v>DIO113</v>
      </c>
      <c r="C112" s="4" t="s">
        <v>72</v>
      </c>
      <c r="D112" s="4" t="s">
        <v>564</v>
      </c>
      <c r="E112" s="4" t="str">
        <f t="shared" si="8"/>
        <v>#ifndef CS_RES_IO_OFFSET
#define CS_RES_IO_OFFSET -1
#define DIO113_IO_OFFSET -1
#else
#define DIO113_IO_OFFSET CS_RES_IO_OFFSET
#ifdef CS_RES
#undef CS_RES
#endif
#ifdef DIO113
#undef DIO113
#endif
#define CS_RES 113
#define DIO113 -113
#define CS_RES_IO_BYTEOFFSET (CS_RES_IO_OFFSET &gt;&gt; 3)
#define CS_RES_IO_BITMASK (1 &lt;&lt; (CS_RES_IO_OFFSET &amp; 0x7))
#define DIO113_IO_BYTEOFFSET CS_RES_IO_BYTEOFFSET
#define DIO113_IO_BITMASK CS_RES_IO_BITMASK
#ifndef IC74HC165_HAS_CONTROLS
#define IC74HC165_HAS_CONTROLS
#endif
#endif</v>
      </c>
      <c r="F112" s="4" t="str">
        <f t="shared" si="9"/>
        <v>#if ASSERT_PIN_IO(CS_RES)
#ifdef DISABLE_HAL_CONFIG_PROTECTION
#define io113_config_output mcu_config_output(CS_RES)
#define io113_set_output mcu_set_output(CS_RES)
#define io113_clear_output mcu_clear_output(CS_RES)
#define io113_toggle_output mcu_toggle_output(CS_RES)
#define io113_get_output mcu_get_output(CS_RES)
#endif
#if !defined(CS_RES_PULLUP) &amp;&amp; !defined(FORCE_HAL_IO_DIRECTION_ONREQUEST)
#define io113_config_input mcu_config_input(CS_RES)
#else
#define io113_config_input mcu_config_input(CS_RES);mcu_config_pullup(CS_RES)
#endif
#define io113_config_pullup mcu_config_pullup(CS_RES)
#define io113_get_input mcu_get_input(CS_RES)
#elif ASSERT_PIN_EXTENDED(CS_RES)
#define io113_config_input 
#define io113_config_pullup
#define io113_get_input ic74hc165_get_pin(CS_RES)
#endif</v>
      </c>
    </row>
    <row r="113" spans="1:6" x14ac:dyDescent="0.25">
      <c r="A113" s="4">
        <v>114</v>
      </c>
      <c r="B113" s="4" t="str">
        <f t="shared" si="7"/>
        <v>DIO114</v>
      </c>
      <c r="C113" s="4" t="s">
        <v>73</v>
      </c>
      <c r="D113" s="6"/>
      <c r="E113" s="6"/>
      <c r="F113" s="6" t="str">
        <f>"#if ASSERT_PIN_IO("&amp;C113&amp;")
#define io"&amp;A113&amp;"_config_analog mcu_config_analog("&amp;C113&amp;")
#define io"&amp;A113&amp;"_get_analog mcu_get_analog("&amp;C113&amp;")
#elif ASSERT_PIN_EXTENDED("&amp;C113&amp;")
#define io"&amp;A113&amp;"_config_analog
#define io"&amp;A113&amp;"_get_analog 0
#endif"</f>
        <v>#if ASSERT_PIN_IO(ANALOG0)
#define io114_config_analog mcu_config_analog(ANALOG0)
#define io114_get_analog mcu_get_analog(ANALOG0)
#elif ASSERT_PIN_EXTENDED(ANALOG0)
#define io114_config_analog
#define io114_get_analog 0
#endif</v>
      </c>
    </row>
    <row r="114" spans="1:6" x14ac:dyDescent="0.25">
      <c r="A114" s="4">
        <v>115</v>
      </c>
      <c r="B114" s="4" t="str">
        <f t="shared" si="7"/>
        <v>DIO115</v>
      </c>
      <c r="C114" s="4" t="s">
        <v>74</v>
      </c>
      <c r="D114" s="6"/>
      <c r="E114" s="6"/>
      <c r="F114" s="6" t="str">
        <f t="shared" ref="F114:F128" si="10">"#if ASSERT_PIN_IO("&amp;C114&amp;")
#define io"&amp;A114&amp;"_config_analog mcu_config_analog("&amp;C114&amp;")
#define io"&amp;A114&amp;"_get_analog mcu_get_analog("&amp;C114&amp;")
#elif ASSERT_PIN_EXTENDED("&amp;C114&amp;")
#define io"&amp;A114&amp;"_config_analog
#define io"&amp;A114&amp;"_get_analog 0
#endif"</f>
        <v>#if ASSERT_PIN_IO(ANALOG1)
#define io115_config_analog mcu_config_analog(ANALOG1)
#define io115_get_analog mcu_get_analog(ANALOG1)
#elif ASSERT_PIN_EXTENDED(ANALOG1)
#define io115_config_analog
#define io115_get_analog 0
#endif</v>
      </c>
    </row>
    <row r="115" spans="1:6" x14ac:dyDescent="0.25">
      <c r="A115" s="4">
        <v>116</v>
      </c>
      <c r="B115" s="4" t="str">
        <f t="shared" si="7"/>
        <v>DIO116</v>
      </c>
      <c r="C115" s="4" t="s">
        <v>75</v>
      </c>
      <c r="D115" s="6"/>
      <c r="E115" s="6"/>
      <c r="F115" s="6" t="str">
        <f t="shared" si="10"/>
        <v>#if ASSERT_PIN_IO(ANALOG2)
#define io116_config_analog mcu_config_analog(ANALOG2)
#define io116_get_analog mcu_get_analog(ANALOG2)
#elif ASSERT_PIN_EXTENDED(ANALOG2)
#define io116_config_analog
#define io116_get_analog 0
#endif</v>
      </c>
    </row>
    <row r="116" spans="1:6" x14ac:dyDescent="0.25">
      <c r="A116" s="4">
        <v>117</v>
      </c>
      <c r="B116" s="4" t="str">
        <f t="shared" si="7"/>
        <v>DIO117</v>
      </c>
      <c r="C116" s="4" t="s">
        <v>76</v>
      </c>
      <c r="D116" s="6"/>
      <c r="E116" s="6"/>
      <c r="F116" s="6" t="str">
        <f t="shared" si="10"/>
        <v>#if ASSERT_PIN_IO(ANALOG3)
#define io117_config_analog mcu_config_analog(ANALOG3)
#define io117_get_analog mcu_get_analog(ANALOG3)
#elif ASSERT_PIN_EXTENDED(ANALOG3)
#define io117_config_analog
#define io117_get_analog 0
#endif</v>
      </c>
    </row>
    <row r="117" spans="1:6" x14ac:dyDescent="0.25">
      <c r="A117" s="4">
        <v>118</v>
      </c>
      <c r="B117" s="4" t="str">
        <f t="shared" si="7"/>
        <v>DIO118</v>
      </c>
      <c r="C117" s="4" t="s">
        <v>77</v>
      </c>
      <c r="D117" s="6"/>
      <c r="E117" s="6"/>
      <c r="F117" s="6" t="str">
        <f t="shared" si="10"/>
        <v>#if ASSERT_PIN_IO(ANALOG4)
#define io118_config_analog mcu_config_analog(ANALOG4)
#define io118_get_analog mcu_get_analog(ANALOG4)
#elif ASSERT_PIN_EXTENDED(ANALOG4)
#define io118_config_analog
#define io118_get_analog 0
#endif</v>
      </c>
    </row>
    <row r="118" spans="1:6" x14ac:dyDescent="0.25">
      <c r="A118" s="4">
        <v>119</v>
      </c>
      <c r="B118" s="4" t="str">
        <f t="shared" si="7"/>
        <v>DIO119</v>
      </c>
      <c r="C118" s="4" t="s">
        <v>78</v>
      </c>
      <c r="D118" s="6"/>
      <c r="E118" s="6"/>
      <c r="F118" s="6" t="str">
        <f t="shared" si="10"/>
        <v>#if ASSERT_PIN_IO(ANALOG5)
#define io119_config_analog mcu_config_analog(ANALOG5)
#define io119_get_analog mcu_get_analog(ANALOG5)
#elif ASSERT_PIN_EXTENDED(ANALOG5)
#define io119_config_analog
#define io119_get_analog 0
#endif</v>
      </c>
    </row>
    <row r="119" spans="1:6" x14ac:dyDescent="0.25">
      <c r="A119" s="4">
        <v>120</v>
      </c>
      <c r="B119" s="4" t="str">
        <f t="shared" si="7"/>
        <v>DIO120</v>
      </c>
      <c r="C119" s="4" t="s">
        <v>79</v>
      </c>
      <c r="D119" s="6"/>
      <c r="E119" s="6"/>
      <c r="F119" s="6" t="str">
        <f t="shared" si="10"/>
        <v>#if ASSERT_PIN_IO(ANALOG6)
#define io120_config_analog mcu_config_analog(ANALOG6)
#define io120_get_analog mcu_get_analog(ANALOG6)
#elif ASSERT_PIN_EXTENDED(ANALOG6)
#define io120_config_analog
#define io120_get_analog 0
#endif</v>
      </c>
    </row>
    <row r="120" spans="1:6" x14ac:dyDescent="0.25">
      <c r="A120" s="4">
        <v>121</v>
      </c>
      <c r="B120" s="4" t="str">
        <f t="shared" si="7"/>
        <v>DIO121</v>
      </c>
      <c r="C120" s="4" t="s">
        <v>80</v>
      </c>
      <c r="D120" s="6"/>
      <c r="E120" s="6"/>
      <c r="F120" s="6" t="str">
        <f t="shared" si="10"/>
        <v>#if ASSERT_PIN_IO(ANALOG7)
#define io121_config_analog mcu_config_analog(ANALOG7)
#define io121_get_analog mcu_get_analog(ANALOG7)
#elif ASSERT_PIN_EXTENDED(ANALOG7)
#define io121_config_analog
#define io121_get_analog 0
#endif</v>
      </c>
    </row>
    <row r="121" spans="1:6" x14ac:dyDescent="0.25">
      <c r="A121" s="4">
        <v>122</v>
      </c>
      <c r="B121" s="4" t="str">
        <f t="shared" si="7"/>
        <v>DIO122</v>
      </c>
      <c r="C121" s="4" t="s">
        <v>81</v>
      </c>
      <c r="D121" s="6"/>
      <c r="E121" s="6"/>
      <c r="F121" s="6" t="str">
        <f t="shared" si="10"/>
        <v>#if ASSERT_PIN_IO(ANALOG8)
#define io122_config_analog mcu_config_analog(ANALOG8)
#define io122_get_analog mcu_get_analog(ANALOG8)
#elif ASSERT_PIN_EXTENDED(ANALOG8)
#define io122_config_analog
#define io122_get_analog 0
#endif</v>
      </c>
    </row>
    <row r="122" spans="1:6" x14ac:dyDescent="0.25">
      <c r="A122" s="4">
        <v>123</v>
      </c>
      <c r="B122" s="4" t="str">
        <f t="shared" si="7"/>
        <v>DIO123</v>
      </c>
      <c r="C122" s="4" t="s">
        <v>82</v>
      </c>
      <c r="D122" s="6"/>
      <c r="E122" s="6"/>
      <c r="F122" s="6" t="str">
        <f t="shared" si="10"/>
        <v>#if ASSERT_PIN_IO(ANALOG9)
#define io123_config_analog mcu_config_analog(ANALOG9)
#define io123_get_analog mcu_get_analog(ANALOG9)
#elif ASSERT_PIN_EXTENDED(ANALOG9)
#define io123_config_analog
#define io123_get_analog 0
#endif</v>
      </c>
    </row>
    <row r="123" spans="1:6" x14ac:dyDescent="0.25">
      <c r="A123" s="4">
        <v>124</v>
      </c>
      <c r="B123" s="4" t="str">
        <f t="shared" si="7"/>
        <v>DIO124</v>
      </c>
      <c r="C123" s="4" t="s">
        <v>83</v>
      </c>
      <c r="D123" s="6"/>
      <c r="E123" s="6"/>
      <c r="F123" s="6" t="str">
        <f t="shared" si="10"/>
        <v>#if ASSERT_PIN_IO(ANALOG10)
#define io124_config_analog mcu_config_analog(ANALOG10)
#define io124_get_analog mcu_get_analog(ANALOG10)
#elif ASSERT_PIN_EXTENDED(ANALOG10)
#define io124_config_analog
#define io124_get_analog 0
#endif</v>
      </c>
    </row>
    <row r="124" spans="1:6" x14ac:dyDescent="0.25">
      <c r="A124" s="4">
        <v>125</v>
      </c>
      <c r="B124" s="4" t="str">
        <f t="shared" si="7"/>
        <v>DIO125</v>
      </c>
      <c r="C124" s="4" t="s">
        <v>84</v>
      </c>
      <c r="D124" s="6"/>
      <c r="E124" s="6"/>
      <c r="F124" s="6" t="str">
        <f t="shared" si="10"/>
        <v>#if ASSERT_PIN_IO(ANALOG11)
#define io125_config_analog mcu_config_analog(ANALOG11)
#define io125_get_analog mcu_get_analog(ANALOG11)
#elif ASSERT_PIN_EXTENDED(ANALOG11)
#define io125_config_analog
#define io125_get_analog 0
#endif</v>
      </c>
    </row>
    <row r="125" spans="1:6" x14ac:dyDescent="0.25">
      <c r="A125" s="4">
        <v>126</v>
      </c>
      <c r="B125" s="4" t="str">
        <f t="shared" si="7"/>
        <v>DIO126</v>
      </c>
      <c r="C125" s="4" t="s">
        <v>85</v>
      </c>
      <c r="D125" s="6"/>
      <c r="E125" s="6"/>
      <c r="F125" s="6" t="str">
        <f t="shared" si="10"/>
        <v>#if ASSERT_PIN_IO(ANALOG12)
#define io126_config_analog mcu_config_analog(ANALOG12)
#define io126_get_analog mcu_get_analog(ANALOG12)
#elif ASSERT_PIN_EXTENDED(ANALOG12)
#define io126_config_analog
#define io126_get_analog 0
#endif</v>
      </c>
    </row>
    <row r="126" spans="1:6" x14ac:dyDescent="0.25">
      <c r="A126" s="4">
        <v>127</v>
      </c>
      <c r="B126" s="4" t="str">
        <f t="shared" si="7"/>
        <v>DIO127</v>
      </c>
      <c r="C126" s="4" t="s">
        <v>86</v>
      </c>
      <c r="D126" s="6"/>
      <c r="E126" s="6"/>
      <c r="F126" s="6" t="str">
        <f t="shared" si="10"/>
        <v>#if ASSERT_PIN_IO(ANALOG13)
#define io127_config_analog mcu_config_analog(ANALOG13)
#define io127_get_analog mcu_get_analog(ANALOG13)
#elif ASSERT_PIN_EXTENDED(ANALOG13)
#define io127_config_analog
#define io127_get_analog 0
#endif</v>
      </c>
    </row>
    <row r="127" spans="1:6" x14ac:dyDescent="0.25">
      <c r="A127" s="4">
        <v>128</v>
      </c>
      <c r="B127" s="4" t="str">
        <f t="shared" si="7"/>
        <v>DIO128</v>
      </c>
      <c r="C127" s="4" t="s">
        <v>87</v>
      </c>
      <c r="D127" s="6"/>
      <c r="E127" s="6"/>
      <c r="F127" s="6" t="str">
        <f t="shared" si="10"/>
        <v>#if ASSERT_PIN_IO(ANALOG14)
#define io128_config_analog mcu_config_analog(ANALOG14)
#define io128_get_analog mcu_get_analog(ANALOG14)
#elif ASSERT_PIN_EXTENDED(ANALOG14)
#define io128_config_analog
#define io128_get_analog 0
#endif</v>
      </c>
    </row>
    <row r="128" spans="1:6" x14ac:dyDescent="0.25">
      <c r="A128" s="4">
        <v>129</v>
      </c>
      <c r="B128" s="4" t="str">
        <f t="shared" si="7"/>
        <v>DIO129</v>
      </c>
      <c r="C128" s="4" t="s">
        <v>88</v>
      </c>
      <c r="D128" s="6"/>
      <c r="E128" s="6"/>
      <c r="F128" s="6" t="str">
        <f t="shared" si="10"/>
        <v>#if ASSERT_PIN_IO(ANALOG15)
#define io129_config_analog mcu_config_analog(ANALOG15)
#define io129_get_analog mcu_get_analog(ANALOG15)
#elif ASSERT_PIN_EXTENDED(ANALOG15)
#define io129_config_analog
#define io129_get_analog 0
#endif</v>
      </c>
    </row>
    <row r="129" spans="1:6" x14ac:dyDescent="0.25">
      <c r="A129" s="4">
        <v>130</v>
      </c>
      <c r="B129" s="4" t="str">
        <f t="shared" si="7"/>
        <v>DIO130</v>
      </c>
      <c r="C129" s="5" t="s">
        <v>89</v>
      </c>
      <c r="D129" s="4" t="s">
        <v>565</v>
      </c>
      <c r="E129" s="4" t="str">
        <f t="shared" ref="E129:E178" si="11">"#ifndef "&amp;C129&amp;"_IO_OFFSET
#define "&amp;C129&amp;"_IO_OFFSET -1
#define "&amp;B129&amp;"_IO_OFFSET -1
#else
#define "&amp;B129&amp;"_IO_OFFSET "&amp;C129&amp;"_IO_OFFSET
#ifdef "&amp;C129&amp;"
#undef "&amp;C129&amp;"
#endif
#ifdef "&amp;B129&amp;"
#undef "&amp;B129&amp;"
#endif
#define "&amp;C129&amp;" "&amp;A129&amp;"
#define "&amp;B129&amp;" -"&amp;A129&amp;"
#define "&amp;C129&amp;"_IO_BYTEOFFSET ("&amp;C129&amp;"_IO_OFFSET &gt;&gt; 3)
#define "&amp;C129&amp;"_IO_BITMASK (1 &lt;&lt; ("&amp;C129&amp;"_IO_OFFSET &amp; 0x7))
#define "&amp;B129&amp;"_IO_BYTEOFFSET "&amp;C129&amp;"_IO_BYTEOFFSET
#define "&amp;B129&amp;"_IO_BITMASK "&amp;C129&amp;"_IO_BITMASK
#ifndef IC74HC165_HAS_"&amp;D129&amp;"
#define IC74HC165_HAS_"&amp;D129&amp;"
#endif
#endif"</f>
        <v>#ifndef DIN0_IO_OFFSET
#define DIN0_IO_OFFSET -1
#define DIO130_IO_OFFSET -1
#else
#define DIO130_IO_OFFSET DIN0_IO_OFFSET
#ifdef DIN0
#undef DIN0
#endif
#ifdef DIO130
#undef DIO130
#endif
#define DIN0 130
#define DIO130 -130
#define DIN0_IO_BYTEOFFSET (DIN0_IO_OFFSET &gt;&gt; 3)
#define DIN0_IO_BITMASK (1 &lt;&lt; (DIN0_IO_OFFSET &amp; 0x7))
#define DIO130_IO_BYTEOFFSET DIN0_IO_BYTEOFFSET
#define DIO130_IO_BITMASK DIN0_IO_BITMASK
#ifndef IC74HC165_HAS_DINS
#define IC74HC165_HAS_DINS
#endif
#endif</v>
      </c>
      <c r="F129" s="4" t="str">
        <f>"#if ASSERT_PIN_IO("&amp;C129&amp;")
#ifdef DISABLE_HAL_CONFIG_PROTECTION
#define io"&amp;A129&amp;"_config_output mcu_config_output("&amp;C129&amp;")
#define io"&amp;A129&amp;"_set_output mcu_set_output("&amp;C129&amp;")
#define io"&amp;A129&amp;"_clear_output mcu_clear_output("&amp;C129&amp;")
#define io"&amp;A129&amp;"_toggle_output mcu_toggle_output("&amp;C129&amp;")
#define io"&amp;A129&amp;"_get_output mcu_get_output("&amp;C129&amp;")
#endif
#if !defined("&amp;C129&amp;"_PULLUP) &amp;&amp; !defined(FORCE_HAL_IO_DIRECTION_ONREQUEST)
#define io"&amp;A129&amp;"_config_input mcu_config_input("&amp;C129&amp;")
#else
#define io"&amp;A129&amp;"_config_input mcu_config_input("&amp;C129&amp;");mcu_config_pullup("&amp;C129&amp;")
#endif
#define io"&amp;A129&amp;"_config_pullup mcu_config_pullup("&amp;C129&amp;")
#define io"&amp;A129&amp;"_get_input mcu_get_input("&amp;C129&amp;")
#elif ASSERT_PIN_EXTENDED("&amp;C129&amp;")
#define io"&amp;A129&amp;"_config_input 
#define io"&amp;A129&amp;"_config_pullup
#define io"&amp;A129&amp;"_get_input shift_register_io_pins();ic74hc165_get_pin("&amp;C129&amp;")
#endif"</f>
        <v>#if ASSERT_PIN_IO(DIN0)
#ifdef DISABLE_HAL_CONFIG_PROTECTION
#define io130_config_output mcu_config_output(DIN0)
#define io130_set_output mcu_set_output(DIN0)
#define io130_clear_output mcu_clear_output(DIN0)
#define io130_toggle_output mcu_toggle_output(DIN0)
#define io130_get_output mcu_get_output(DIN0)
#endif
#if !defined(DIN0_PULLUP) &amp;&amp; !defined(FORCE_HAL_IO_DIRECTION_ONREQUEST)
#define io130_config_input mcu_config_input(DIN0)
#else
#define io130_config_input mcu_config_input(DIN0);mcu_config_pullup(DIN0)
#endif
#define io130_config_pullup mcu_config_pullup(DIN0)
#define io130_get_input mcu_get_input(DIN0)
#elif ASSERT_PIN_EXTENDED(DIN0)
#define io130_config_input 
#define io130_config_pullup
#define io130_get_input shift_register_io_pins();ic74hc165_get_pin(DIN0)
#endif</v>
      </c>
    </row>
    <row r="130" spans="1:6" x14ac:dyDescent="0.25">
      <c r="A130" s="4">
        <v>131</v>
      </c>
      <c r="B130" s="4" t="str">
        <f t="shared" si="7"/>
        <v>DIO131</v>
      </c>
      <c r="C130" s="5" t="s">
        <v>90</v>
      </c>
      <c r="D130" s="4" t="s">
        <v>565</v>
      </c>
      <c r="E130" s="4" t="str">
        <f t="shared" si="11"/>
        <v>#ifndef DIN1_IO_OFFSET
#define DIN1_IO_OFFSET -1
#define DIO131_IO_OFFSET -1
#else
#define DIO131_IO_OFFSET DIN1_IO_OFFSET
#ifdef DIN1
#undef DIN1
#endif
#ifdef DIO131
#undef DIO131
#endif
#define DIN1 131
#define DIO131 -131
#define DIN1_IO_BYTEOFFSET (DIN1_IO_OFFSET &gt;&gt; 3)
#define DIN1_IO_BITMASK (1 &lt;&lt; (DIN1_IO_OFFSET &amp; 0x7))
#define DIO131_IO_BYTEOFFSET DIN1_IO_BYTEOFFSET
#define DIO131_IO_BITMASK DIN1_IO_BITMASK
#ifndef IC74HC165_HAS_DINS
#define IC74HC165_HAS_DINS
#endif
#endif</v>
      </c>
      <c r="F130" s="4" t="str">
        <f t="shared" ref="F130:F178" si="12">"#if ASSERT_PIN_IO("&amp;C130&amp;")
#ifdef DISABLE_HAL_CONFIG_PROTECTION
#define io"&amp;A130&amp;"_config_output mcu_config_output("&amp;C130&amp;")
#define io"&amp;A130&amp;"_set_output mcu_set_output("&amp;C130&amp;")
#define io"&amp;A130&amp;"_clear_output mcu_clear_output("&amp;C130&amp;")
#define io"&amp;A130&amp;"_toggle_output mcu_toggle_output("&amp;C130&amp;")
#define io"&amp;A130&amp;"_get_output mcu_get_output("&amp;C130&amp;")
#endif
#if !defined("&amp;C130&amp;"_PULLUP) &amp;&amp; !defined(FORCE_HAL_IO_DIRECTION_ONREQUEST)
#define io"&amp;A130&amp;"_config_input mcu_config_input("&amp;C130&amp;")
#else
#define io"&amp;A130&amp;"_config_input mcu_config_input("&amp;C130&amp;");mcu_config_pullup("&amp;C130&amp;")
#endif
#define io"&amp;A130&amp;"_config_pullup mcu_config_pullup("&amp;C130&amp;")
#define io"&amp;A130&amp;"_get_input mcu_get_input("&amp;C130&amp;")
#elif ASSERT_PIN_EXTENDED("&amp;C130&amp;")
#define io"&amp;A130&amp;"_config_input 
#define io"&amp;A130&amp;"_config_pullup
#define io"&amp;A130&amp;"_get_input shift_register_io_pins();ic74hc165_get_pin("&amp;C130&amp;")
#endif"</f>
        <v>#if ASSERT_PIN_IO(DIN1)
#ifdef DISABLE_HAL_CONFIG_PROTECTION
#define io131_config_output mcu_config_output(DIN1)
#define io131_set_output mcu_set_output(DIN1)
#define io131_clear_output mcu_clear_output(DIN1)
#define io131_toggle_output mcu_toggle_output(DIN1)
#define io131_get_output mcu_get_output(DIN1)
#endif
#if !defined(DIN1_PULLUP) &amp;&amp; !defined(FORCE_HAL_IO_DIRECTION_ONREQUEST)
#define io131_config_input mcu_config_input(DIN1)
#else
#define io131_config_input mcu_config_input(DIN1);mcu_config_pullup(DIN1)
#endif
#define io131_config_pullup mcu_config_pullup(DIN1)
#define io131_get_input mcu_get_input(DIN1)
#elif ASSERT_PIN_EXTENDED(DIN1)
#define io131_config_input 
#define io131_config_pullup
#define io131_get_input shift_register_io_pins();ic74hc165_get_pin(DIN1)
#endif</v>
      </c>
    </row>
    <row r="131" spans="1:6" x14ac:dyDescent="0.25">
      <c r="A131" s="4">
        <v>132</v>
      </c>
      <c r="B131" s="4" t="str">
        <f t="shared" si="7"/>
        <v>DIO132</v>
      </c>
      <c r="C131" s="5" t="s">
        <v>91</v>
      </c>
      <c r="D131" s="4" t="s">
        <v>565</v>
      </c>
      <c r="E131" s="4" t="str">
        <f t="shared" si="11"/>
        <v>#ifndef DIN2_IO_OFFSET
#define DIN2_IO_OFFSET -1
#define DIO132_IO_OFFSET -1
#else
#define DIO132_IO_OFFSET DIN2_IO_OFFSET
#ifdef DIN2
#undef DIN2
#endif
#ifdef DIO132
#undef DIO132
#endif
#define DIN2 132
#define DIO132 -132
#define DIN2_IO_BYTEOFFSET (DIN2_IO_OFFSET &gt;&gt; 3)
#define DIN2_IO_BITMASK (1 &lt;&lt; (DIN2_IO_OFFSET &amp; 0x7))
#define DIO132_IO_BYTEOFFSET DIN2_IO_BYTEOFFSET
#define DIO132_IO_BITMASK DIN2_IO_BITMASK
#ifndef IC74HC165_HAS_DINS
#define IC74HC165_HAS_DINS
#endif
#endif</v>
      </c>
      <c r="F131" s="4" t="str">
        <f t="shared" si="12"/>
        <v>#if ASSERT_PIN_IO(DIN2)
#ifdef DISABLE_HAL_CONFIG_PROTECTION
#define io132_config_output mcu_config_output(DIN2)
#define io132_set_output mcu_set_output(DIN2)
#define io132_clear_output mcu_clear_output(DIN2)
#define io132_toggle_output mcu_toggle_output(DIN2)
#define io132_get_output mcu_get_output(DIN2)
#endif
#if !defined(DIN2_PULLUP) &amp;&amp; !defined(FORCE_HAL_IO_DIRECTION_ONREQUEST)
#define io132_config_input mcu_config_input(DIN2)
#else
#define io132_config_input mcu_config_input(DIN2);mcu_config_pullup(DIN2)
#endif
#define io132_config_pullup mcu_config_pullup(DIN2)
#define io132_get_input mcu_get_input(DIN2)
#elif ASSERT_PIN_EXTENDED(DIN2)
#define io132_config_input 
#define io132_config_pullup
#define io132_get_input shift_register_io_pins();ic74hc165_get_pin(DIN2)
#endif</v>
      </c>
    </row>
    <row r="132" spans="1:6" x14ac:dyDescent="0.25">
      <c r="A132" s="4">
        <v>133</v>
      </c>
      <c r="B132" s="4" t="str">
        <f t="shared" si="7"/>
        <v>DIO133</v>
      </c>
      <c r="C132" s="5" t="s">
        <v>92</v>
      </c>
      <c r="D132" s="4" t="s">
        <v>565</v>
      </c>
      <c r="E132" s="4" t="str">
        <f t="shared" si="11"/>
        <v>#ifndef DIN3_IO_OFFSET
#define DIN3_IO_OFFSET -1
#define DIO133_IO_OFFSET -1
#else
#define DIO133_IO_OFFSET DIN3_IO_OFFSET
#ifdef DIN3
#undef DIN3
#endif
#ifdef DIO133
#undef DIO133
#endif
#define DIN3 133
#define DIO133 -133
#define DIN3_IO_BYTEOFFSET (DIN3_IO_OFFSET &gt;&gt; 3)
#define DIN3_IO_BITMASK (1 &lt;&lt; (DIN3_IO_OFFSET &amp; 0x7))
#define DIO133_IO_BYTEOFFSET DIN3_IO_BYTEOFFSET
#define DIO133_IO_BITMASK DIN3_IO_BITMASK
#ifndef IC74HC165_HAS_DINS
#define IC74HC165_HAS_DINS
#endif
#endif</v>
      </c>
      <c r="F132" s="4" t="str">
        <f t="shared" si="12"/>
        <v>#if ASSERT_PIN_IO(DIN3)
#ifdef DISABLE_HAL_CONFIG_PROTECTION
#define io133_config_output mcu_config_output(DIN3)
#define io133_set_output mcu_set_output(DIN3)
#define io133_clear_output mcu_clear_output(DIN3)
#define io133_toggle_output mcu_toggle_output(DIN3)
#define io133_get_output mcu_get_output(DIN3)
#endif
#if !defined(DIN3_PULLUP) &amp;&amp; !defined(FORCE_HAL_IO_DIRECTION_ONREQUEST)
#define io133_config_input mcu_config_input(DIN3)
#else
#define io133_config_input mcu_config_input(DIN3);mcu_config_pullup(DIN3)
#endif
#define io133_config_pullup mcu_config_pullup(DIN3)
#define io133_get_input mcu_get_input(DIN3)
#elif ASSERT_PIN_EXTENDED(DIN3)
#define io133_config_input 
#define io133_config_pullup
#define io133_get_input shift_register_io_pins();ic74hc165_get_pin(DIN3)
#endif</v>
      </c>
    </row>
    <row r="133" spans="1:6" x14ac:dyDescent="0.25">
      <c r="A133" s="4">
        <v>134</v>
      </c>
      <c r="B133" s="4" t="str">
        <f t="shared" si="7"/>
        <v>DIO134</v>
      </c>
      <c r="C133" s="5" t="s">
        <v>93</v>
      </c>
      <c r="D133" s="4" t="s">
        <v>565</v>
      </c>
      <c r="E133" s="4" t="str">
        <f t="shared" si="11"/>
        <v>#ifndef DIN4_IO_OFFSET
#define DIN4_IO_OFFSET -1
#define DIO134_IO_OFFSET -1
#else
#define DIO134_IO_OFFSET DIN4_IO_OFFSET
#ifdef DIN4
#undef DIN4
#endif
#ifdef DIO134
#undef DIO134
#endif
#define DIN4 134
#define DIO134 -134
#define DIN4_IO_BYTEOFFSET (DIN4_IO_OFFSET &gt;&gt; 3)
#define DIN4_IO_BITMASK (1 &lt;&lt; (DIN4_IO_OFFSET &amp; 0x7))
#define DIO134_IO_BYTEOFFSET DIN4_IO_BYTEOFFSET
#define DIO134_IO_BITMASK DIN4_IO_BITMASK
#ifndef IC74HC165_HAS_DINS
#define IC74HC165_HAS_DINS
#endif
#endif</v>
      </c>
      <c r="F133" s="4" t="str">
        <f t="shared" si="12"/>
        <v>#if ASSERT_PIN_IO(DIN4)
#ifdef DISABLE_HAL_CONFIG_PROTECTION
#define io134_config_output mcu_config_output(DIN4)
#define io134_set_output mcu_set_output(DIN4)
#define io134_clear_output mcu_clear_output(DIN4)
#define io134_toggle_output mcu_toggle_output(DIN4)
#define io134_get_output mcu_get_output(DIN4)
#endif
#if !defined(DIN4_PULLUP) &amp;&amp; !defined(FORCE_HAL_IO_DIRECTION_ONREQUEST)
#define io134_config_input mcu_config_input(DIN4)
#else
#define io134_config_input mcu_config_input(DIN4);mcu_config_pullup(DIN4)
#endif
#define io134_config_pullup mcu_config_pullup(DIN4)
#define io134_get_input mcu_get_input(DIN4)
#elif ASSERT_PIN_EXTENDED(DIN4)
#define io134_config_input 
#define io134_config_pullup
#define io134_get_input shift_register_io_pins();ic74hc165_get_pin(DIN4)
#endif</v>
      </c>
    </row>
    <row r="134" spans="1:6" x14ac:dyDescent="0.25">
      <c r="A134" s="4">
        <v>135</v>
      </c>
      <c r="B134" s="4" t="str">
        <f t="shared" si="7"/>
        <v>DIO135</v>
      </c>
      <c r="C134" s="5" t="s">
        <v>94</v>
      </c>
      <c r="D134" s="4" t="s">
        <v>565</v>
      </c>
      <c r="E134" s="4" t="str">
        <f t="shared" si="11"/>
        <v>#ifndef DIN5_IO_OFFSET
#define DIN5_IO_OFFSET -1
#define DIO135_IO_OFFSET -1
#else
#define DIO135_IO_OFFSET DIN5_IO_OFFSET
#ifdef DIN5
#undef DIN5
#endif
#ifdef DIO135
#undef DIO135
#endif
#define DIN5 135
#define DIO135 -135
#define DIN5_IO_BYTEOFFSET (DIN5_IO_OFFSET &gt;&gt; 3)
#define DIN5_IO_BITMASK (1 &lt;&lt; (DIN5_IO_OFFSET &amp; 0x7))
#define DIO135_IO_BYTEOFFSET DIN5_IO_BYTEOFFSET
#define DIO135_IO_BITMASK DIN5_IO_BITMASK
#ifndef IC74HC165_HAS_DINS
#define IC74HC165_HAS_DINS
#endif
#endif</v>
      </c>
      <c r="F134" s="4" t="str">
        <f t="shared" si="12"/>
        <v>#if ASSERT_PIN_IO(DIN5)
#ifdef DISABLE_HAL_CONFIG_PROTECTION
#define io135_config_output mcu_config_output(DIN5)
#define io135_set_output mcu_set_output(DIN5)
#define io135_clear_output mcu_clear_output(DIN5)
#define io135_toggle_output mcu_toggle_output(DIN5)
#define io135_get_output mcu_get_output(DIN5)
#endif
#if !defined(DIN5_PULLUP) &amp;&amp; !defined(FORCE_HAL_IO_DIRECTION_ONREQUEST)
#define io135_config_input mcu_config_input(DIN5)
#else
#define io135_config_input mcu_config_input(DIN5);mcu_config_pullup(DIN5)
#endif
#define io135_config_pullup mcu_config_pullup(DIN5)
#define io135_get_input mcu_get_input(DIN5)
#elif ASSERT_PIN_EXTENDED(DIN5)
#define io135_config_input 
#define io135_config_pullup
#define io135_get_input shift_register_io_pins();ic74hc165_get_pin(DIN5)
#endif</v>
      </c>
    </row>
    <row r="135" spans="1:6" x14ac:dyDescent="0.25">
      <c r="A135" s="4">
        <v>136</v>
      </c>
      <c r="B135" s="4" t="str">
        <f t="shared" si="7"/>
        <v>DIO136</v>
      </c>
      <c r="C135" s="5" t="s">
        <v>95</v>
      </c>
      <c r="D135" s="4" t="s">
        <v>565</v>
      </c>
      <c r="E135" s="4" t="str">
        <f t="shared" si="11"/>
        <v>#ifndef DIN6_IO_OFFSET
#define DIN6_IO_OFFSET -1
#define DIO136_IO_OFFSET -1
#else
#define DIO136_IO_OFFSET DIN6_IO_OFFSET
#ifdef DIN6
#undef DIN6
#endif
#ifdef DIO136
#undef DIO136
#endif
#define DIN6 136
#define DIO136 -136
#define DIN6_IO_BYTEOFFSET (DIN6_IO_OFFSET &gt;&gt; 3)
#define DIN6_IO_BITMASK (1 &lt;&lt; (DIN6_IO_OFFSET &amp; 0x7))
#define DIO136_IO_BYTEOFFSET DIN6_IO_BYTEOFFSET
#define DIO136_IO_BITMASK DIN6_IO_BITMASK
#ifndef IC74HC165_HAS_DINS
#define IC74HC165_HAS_DINS
#endif
#endif</v>
      </c>
      <c r="F135" s="4" t="str">
        <f t="shared" si="12"/>
        <v>#if ASSERT_PIN_IO(DIN6)
#ifdef DISABLE_HAL_CONFIG_PROTECTION
#define io136_config_output mcu_config_output(DIN6)
#define io136_set_output mcu_set_output(DIN6)
#define io136_clear_output mcu_clear_output(DIN6)
#define io136_toggle_output mcu_toggle_output(DIN6)
#define io136_get_output mcu_get_output(DIN6)
#endif
#if !defined(DIN6_PULLUP) &amp;&amp; !defined(FORCE_HAL_IO_DIRECTION_ONREQUEST)
#define io136_config_input mcu_config_input(DIN6)
#else
#define io136_config_input mcu_config_input(DIN6);mcu_config_pullup(DIN6)
#endif
#define io136_config_pullup mcu_config_pullup(DIN6)
#define io136_get_input mcu_get_input(DIN6)
#elif ASSERT_PIN_EXTENDED(DIN6)
#define io136_config_input 
#define io136_config_pullup
#define io136_get_input shift_register_io_pins();ic74hc165_get_pin(DIN6)
#endif</v>
      </c>
    </row>
    <row r="136" spans="1:6" x14ac:dyDescent="0.25">
      <c r="A136" s="4">
        <v>137</v>
      </c>
      <c r="B136" s="4" t="str">
        <f t="shared" si="7"/>
        <v>DIO137</v>
      </c>
      <c r="C136" s="5" t="s">
        <v>96</v>
      </c>
      <c r="D136" s="4" t="s">
        <v>565</v>
      </c>
      <c r="E136" s="4" t="str">
        <f t="shared" si="11"/>
        <v>#ifndef DIN7_IO_OFFSET
#define DIN7_IO_OFFSET -1
#define DIO137_IO_OFFSET -1
#else
#define DIO137_IO_OFFSET DIN7_IO_OFFSET
#ifdef DIN7
#undef DIN7
#endif
#ifdef DIO137
#undef DIO137
#endif
#define DIN7 137
#define DIO137 -137
#define DIN7_IO_BYTEOFFSET (DIN7_IO_OFFSET &gt;&gt; 3)
#define DIN7_IO_BITMASK (1 &lt;&lt; (DIN7_IO_OFFSET &amp; 0x7))
#define DIO137_IO_BYTEOFFSET DIN7_IO_BYTEOFFSET
#define DIO137_IO_BITMASK DIN7_IO_BITMASK
#ifndef IC74HC165_HAS_DINS
#define IC74HC165_HAS_DINS
#endif
#endif</v>
      </c>
      <c r="F136" s="4" t="str">
        <f t="shared" si="12"/>
        <v>#if ASSERT_PIN_IO(DIN7)
#ifdef DISABLE_HAL_CONFIG_PROTECTION
#define io137_config_output mcu_config_output(DIN7)
#define io137_set_output mcu_set_output(DIN7)
#define io137_clear_output mcu_clear_output(DIN7)
#define io137_toggle_output mcu_toggle_output(DIN7)
#define io137_get_output mcu_get_output(DIN7)
#endif
#if !defined(DIN7_PULLUP) &amp;&amp; !defined(FORCE_HAL_IO_DIRECTION_ONREQUEST)
#define io137_config_input mcu_config_input(DIN7)
#else
#define io137_config_input mcu_config_input(DIN7);mcu_config_pullup(DIN7)
#endif
#define io137_config_pullup mcu_config_pullup(DIN7)
#define io137_get_input mcu_get_input(DIN7)
#elif ASSERT_PIN_EXTENDED(DIN7)
#define io137_config_input 
#define io137_config_pullup
#define io137_get_input shift_register_io_pins();ic74hc165_get_pin(DIN7)
#endif</v>
      </c>
    </row>
    <row r="137" spans="1:6" x14ac:dyDescent="0.25">
      <c r="A137" s="4">
        <v>138</v>
      </c>
      <c r="B137" s="4" t="str">
        <f t="shared" si="7"/>
        <v>DIO138</v>
      </c>
      <c r="C137" s="5" t="s">
        <v>97</v>
      </c>
      <c r="D137" s="4" t="s">
        <v>565</v>
      </c>
      <c r="E137" s="4" t="str">
        <f t="shared" si="11"/>
        <v>#ifndef DIN8_IO_OFFSET
#define DIN8_IO_OFFSET -1
#define DIO138_IO_OFFSET -1
#else
#define DIO138_IO_OFFSET DIN8_IO_OFFSET
#ifdef DIN8
#undef DIN8
#endif
#ifdef DIO138
#undef DIO138
#endif
#define DIN8 138
#define DIO138 -138
#define DIN8_IO_BYTEOFFSET (DIN8_IO_OFFSET &gt;&gt; 3)
#define DIN8_IO_BITMASK (1 &lt;&lt; (DIN8_IO_OFFSET &amp; 0x7))
#define DIO138_IO_BYTEOFFSET DIN8_IO_BYTEOFFSET
#define DIO138_IO_BITMASK DIN8_IO_BITMASK
#ifndef IC74HC165_HAS_DINS
#define IC74HC165_HAS_DINS
#endif
#endif</v>
      </c>
      <c r="F137" s="4" t="str">
        <f t="shared" si="12"/>
        <v>#if ASSERT_PIN_IO(DIN8)
#ifdef DISABLE_HAL_CONFIG_PROTECTION
#define io138_config_output mcu_config_output(DIN8)
#define io138_set_output mcu_set_output(DIN8)
#define io138_clear_output mcu_clear_output(DIN8)
#define io138_toggle_output mcu_toggle_output(DIN8)
#define io138_get_output mcu_get_output(DIN8)
#endif
#if !defined(DIN8_PULLUP) &amp;&amp; !defined(FORCE_HAL_IO_DIRECTION_ONREQUEST)
#define io138_config_input mcu_config_input(DIN8)
#else
#define io138_config_input mcu_config_input(DIN8);mcu_config_pullup(DIN8)
#endif
#define io138_config_pullup mcu_config_pullup(DIN8)
#define io138_get_input mcu_get_input(DIN8)
#elif ASSERT_PIN_EXTENDED(DIN8)
#define io138_config_input 
#define io138_config_pullup
#define io138_get_input shift_register_io_pins();ic74hc165_get_pin(DIN8)
#endif</v>
      </c>
    </row>
    <row r="138" spans="1:6" x14ac:dyDescent="0.25">
      <c r="A138" s="4">
        <v>139</v>
      </c>
      <c r="B138" s="4" t="str">
        <f t="shared" si="7"/>
        <v>DIO139</v>
      </c>
      <c r="C138" s="5" t="s">
        <v>98</v>
      </c>
      <c r="D138" s="4" t="s">
        <v>565</v>
      </c>
      <c r="E138" s="4" t="str">
        <f t="shared" si="11"/>
        <v>#ifndef DIN9_IO_OFFSET
#define DIN9_IO_OFFSET -1
#define DIO139_IO_OFFSET -1
#else
#define DIO139_IO_OFFSET DIN9_IO_OFFSET
#ifdef DIN9
#undef DIN9
#endif
#ifdef DIO139
#undef DIO139
#endif
#define DIN9 139
#define DIO139 -139
#define DIN9_IO_BYTEOFFSET (DIN9_IO_OFFSET &gt;&gt; 3)
#define DIN9_IO_BITMASK (1 &lt;&lt; (DIN9_IO_OFFSET &amp; 0x7))
#define DIO139_IO_BYTEOFFSET DIN9_IO_BYTEOFFSET
#define DIO139_IO_BITMASK DIN9_IO_BITMASK
#ifndef IC74HC165_HAS_DINS
#define IC74HC165_HAS_DINS
#endif
#endif</v>
      </c>
      <c r="F138" s="4" t="str">
        <f t="shared" si="12"/>
        <v>#if ASSERT_PIN_IO(DIN9)
#ifdef DISABLE_HAL_CONFIG_PROTECTION
#define io139_config_output mcu_config_output(DIN9)
#define io139_set_output mcu_set_output(DIN9)
#define io139_clear_output mcu_clear_output(DIN9)
#define io139_toggle_output mcu_toggle_output(DIN9)
#define io139_get_output mcu_get_output(DIN9)
#endif
#if !defined(DIN9_PULLUP) &amp;&amp; !defined(FORCE_HAL_IO_DIRECTION_ONREQUEST)
#define io139_config_input mcu_config_input(DIN9)
#else
#define io139_config_input mcu_config_input(DIN9);mcu_config_pullup(DIN9)
#endif
#define io139_config_pullup mcu_config_pullup(DIN9)
#define io139_get_input mcu_get_input(DIN9)
#elif ASSERT_PIN_EXTENDED(DIN9)
#define io139_config_input 
#define io139_config_pullup
#define io139_get_input shift_register_io_pins();ic74hc165_get_pin(DIN9)
#endif</v>
      </c>
    </row>
    <row r="139" spans="1:6" x14ac:dyDescent="0.25">
      <c r="A139" s="4">
        <v>140</v>
      </c>
      <c r="B139" s="4" t="str">
        <f t="shared" si="7"/>
        <v>DIO140</v>
      </c>
      <c r="C139" s="5" t="s">
        <v>99</v>
      </c>
      <c r="D139" s="4" t="s">
        <v>565</v>
      </c>
      <c r="E139" s="4" t="str">
        <f t="shared" si="11"/>
        <v>#ifndef DIN10_IO_OFFSET
#define DIN10_IO_OFFSET -1
#define DIO140_IO_OFFSET -1
#else
#define DIO140_IO_OFFSET DIN10_IO_OFFSET
#ifdef DIN10
#undef DIN10
#endif
#ifdef DIO140
#undef DIO140
#endif
#define DIN10 140
#define DIO140 -140
#define DIN10_IO_BYTEOFFSET (DIN10_IO_OFFSET &gt;&gt; 3)
#define DIN10_IO_BITMASK (1 &lt;&lt; (DIN10_IO_OFFSET &amp; 0x7))
#define DIO140_IO_BYTEOFFSET DIN10_IO_BYTEOFFSET
#define DIO140_IO_BITMASK DIN10_IO_BITMASK
#ifndef IC74HC165_HAS_DINS
#define IC74HC165_HAS_DINS
#endif
#endif</v>
      </c>
      <c r="F139" s="4" t="str">
        <f t="shared" si="12"/>
        <v>#if ASSERT_PIN_IO(DIN10)
#ifdef DISABLE_HAL_CONFIG_PROTECTION
#define io140_config_output mcu_config_output(DIN10)
#define io140_set_output mcu_set_output(DIN10)
#define io140_clear_output mcu_clear_output(DIN10)
#define io140_toggle_output mcu_toggle_output(DIN10)
#define io140_get_output mcu_get_output(DIN10)
#endif
#if !defined(DIN10_PULLUP) &amp;&amp; !defined(FORCE_HAL_IO_DIRECTION_ONREQUEST)
#define io140_config_input mcu_config_input(DIN10)
#else
#define io140_config_input mcu_config_input(DIN10);mcu_config_pullup(DIN10)
#endif
#define io140_config_pullup mcu_config_pullup(DIN10)
#define io140_get_input mcu_get_input(DIN10)
#elif ASSERT_PIN_EXTENDED(DIN10)
#define io140_config_input 
#define io140_config_pullup
#define io140_get_input shift_register_io_pins();ic74hc165_get_pin(DIN10)
#endif</v>
      </c>
    </row>
    <row r="140" spans="1:6" x14ac:dyDescent="0.25">
      <c r="A140" s="4">
        <v>141</v>
      </c>
      <c r="B140" s="4" t="str">
        <f t="shared" si="7"/>
        <v>DIO141</v>
      </c>
      <c r="C140" s="5" t="s">
        <v>100</v>
      </c>
      <c r="D140" s="4" t="s">
        <v>565</v>
      </c>
      <c r="E140" s="4" t="str">
        <f t="shared" si="11"/>
        <v>#ifndef DIN11_IO_OFFSET
#define DIN11_IO_OFFSET -1
#define DIO141_IO_OFFSET -1
#else
#define DIO141_IO_OFFSET DIN11_IO_OFFSET
#ifdef DIN11
#undef DIN11
#endif
#ifdef DIO141
#undef DIO141
#endif
#define DIN11 141
#define DIO141 -141
#define DIN11_IO_BYTEOFFSET (DIN11_IO_OFFSET &gt;&gt; 3)
#define DIN11_IO_BITMASK (1 &lt;&lt; (DIN11_IO_OFFSET &amp; 0x7))
#define DIO141_IO_BYTEOFFSET DIN11_IO_BYTEOFFSET
#define DIO141_IO_BITMASK DIN11_IO_BITMASK
#ifndef IC74HC165_HAS_DINS
#define IC74HC165_HAS_DINS
#endif
#endif</v>
      </c>
      <c r="F140" s="4" t="str">
        <f t="shared" si="12"/>
        <v>#if ASSERT_PIN_IO(DIN11)
#ifdef DISABLE_HAL_CONFIG_PROTECTION
#define io141_config_output mcu_config_output(DIN11)
#define io141_set_output mcu_set_output(DIN11)
#define io141_clear_output mcu_clear_output(DIN11)
#define io141_toggle_output mcu_toggle_output(DIN11)
#define io141_get_output mcu_get_output(DIN11)
#endif
#if !defined(DIN11_PULLUP) &amp;&amp; !defined(FORCE_HAL_IO_DIRECTION_ONREQUEST)
#define io141_config_input mcu_config_input(DIN11)
#else
#define io141_config_input mcu_config_input(DIN11);mcu_config_pullup(DIN11)
#endif
#define io141_config_pullup mcu_config_pullup(DIN11)
#define io141_get_input mcu_get_input(DIN11)
#elif ASSERT_PIN_EXTENDED(DIN11)
#define io141_config_input 
#define io141_config_pullup
#define io141_get_input shift_register_io_pins();ic74hc165_get_pin(DIN11)
#endif</v>
      </c>
    </row>
    <row r="141" spans="1:6" x14ac:dyDescent="0.25">
      <c r="A141" s="4">
        <v>142</v>
      </c>
      <c r="B141" s="4" t="str">
        <f t="shared" si="7"/>
        <v>DIO142</v>
      </c>
      <c r="C141" s="5" t="s">
        <v>101</v>
      </c>
      <c r="D141" s="4" t="s">
        <v>565</v>
      </c>
      <c r="E141" s="4" t="str">
        <f t="shared" si="11"/>
        <v>#ifndef DIN12_IO_OFFSET
#define DIN12_IO_OFFSET -1
#define DIO142_IO_OFFSET -1
#else
#define DIO142_IO_OFFSET DIN12_IO_OFFSET
#ifdef DIN12
#undef DIN12
#endif
#ifdef DIO142
#undef DIO142
#endif
#define DIN12 142
#define DIO142 -142
#define DIN12_IO_BYTEOFFSET (DIN12_IO_OFFSET &gt;&gt; 3)
#define DIN12_IO_BITMASK (1 &lt;&lt; (DIN12_IO_OFFSET &amp; 0x7))
#define DIO142_IO_BYTEOFFSET DIN12_IO_BYTEOFFSET
#define DIO142_IO_BITMASK DIN12_IO_BITMASK
#ifndef IC74HC165_HAS_DINS
#define IC74HC165_HAS_DINS
#endif
#endif</v>
      </c>
      <c r="F141" s="4" t="str">
        <f t="shared" si="12"/>
        <v>#if ASSERT_PIN_IO(DIN12)
#ifdef DISABLE_HAL_CONFIG_PROTECTION
#define io142_config_output mcu_config_output(DIN12)
#define io142_set_output mcu_set_output(DIN12)
#define io142_clear_output mcu_clear_output(DIN12)
#define io142_toggle_output mcu_toggle_output(DIN12)
#define io142_get_output mcu_get_output(DIN12)
#endif
#if !defined(DIN12_PULLUP) &amp;&amp; !defined(FORCE_HAL_IO_DIRECTION_ONREQUEST)
#define io142_config_input mcu_config_input(DIN12)
#else
#define io142_config_input mcu_config_input(DIN12);mcu_config_pullup(DIN12)
#endif
#define io142_config_pullup mcu_config_pullup(DIN12)
#define io142_get_input mcu_get_input(DIN12)
#elif ASSERT_PIN_EXTENDED(DIN12)
#define io142_config_input 
#define io142_config_pullup
#define io142_get_input shift_register_io_pins();ic74hc165_get_pin(DIN12)
#endif</v>
      </c>
    </row>
    <row r="142" spans="1:6" x14ac:dyDescent="0.25">
      <c r="A142" s="4">
        <v>143</v>
      </c>
      <c r="B142" s="4" t="str">
        <f t="shared" si="7"/>
        <v>DIO143</v>
      </c>
      <c r="C142" s="5" t="s">
        <v>102</v>
      </c>
      <c r="D142" s="4" t="s">
        <v>565</v>
      </c>
      <c r="E142" s="4" t="str">
        <f t="shared" si="11"/>
        <v>#ifndef DIN13_IO_OFFSET
#define DIN13_IO_OFFSET -1
#define DIO143_IO_OFFSET -1
#else
#define DIO143_IO_OFFSET DIN13_IO_OFFSET
#ifdef DIN13
#undef DIN13
#endif
#ifdef DIO143
#undef DIO143
#endif
#define DIN13 143
#define DIO143 -143
#define DIN13_IO_BYTEOFFSET (DIN13_IO_OFFSET &gt;&gt; 3)
#define DIN13_IO_BITMASK (1 &lt;&lt; (DIN13_IO_OFFSET &amp; 0x7))
#define DIO143_IO_BYTEOFFSET DIN13_IO_BYTEOFFSET
#define DIO143_IO_BITMASK DIN13_IO_BITMASK
#ifndef IC74HC165_HAS_DINS
#define IC74HC165_HAS_DINS
#endif
#endif</v>
      </c>
      <c r="F142" s="4" t="str">
        <f t="shared" si="12"/>
        <v>#if ASSERT_PIN_IO(DIN13)
#ifdef DISABLE_HAL_CONFIG_PROTECTION
#define io143_config_output mcu_config_output(DIN13)
#define io143_set_output mcu_set_output(DIN13)
#define io143_clear_output mcu_clear_output(DIN13)
#define io143_toggle_output mcu_toggle_output(DIN13)
#define io143_get_output mcu_get_output(DIN13)
#endif
#if !defined(DIN13_PULLUP) &amp;&amp; !defined(FORCE_HAL_IO_DIRECTION_ONREQUEST)
#define io143_config_input mcu_config_input(DIN13)
#else
#define io143_config_input mcu_config_input(DIN13);mcu_config_pullup(DIN13)
#endif
#define io143_config_pullup mcu_config_pullup(DIN13)
#define io143_get_input mcu_get_input(DIN13)
#elif ASSERT_PIN_EXTENDED(DIN13)
#define io143_config_input 
#define io143_config_pullup
#define io143_get_input shift_register_io_pins();ic74hc165_get_pin(DIN13)
#endif</v>
      </c>
    </row>
    <row r="143" spans="1:6" x14ac:dyDescent="0.25">
      <c r="A143" s="4">
        <v>144</v>
      </c>
      <c r="B143" s="4" t="str">
        <f t="shared" si="7"/>
        <v>DIO144</v>
      </c>
      <c r="C143" s="5" t="s">
        <v>103</v>
      </c>
      <c r="D143" s="4" t="s">
        <v>565</v>
      </c>
      <c r="E143" s="4" t="str">
        <f t="shared" si="11"/>
        <v>#ifndef DIN14_IO_OFFSET
#define DIN14_IO_OFFSET -1
#define DIO144_IO_OFFSET -1
#else
#define DIO144_IO_OFFSET DIN14_IO_OFFSET
#ifdef DIN14
#undef DIN14
#endif
#ifdef DIO144
#undef DIO144
#endif
#define DIN14 144
#define DIO144 -144
#define DIN14_IO_BYTEOFFSET (DIN14_IO_OFFSET &gt;&gt; 3)
#define DIN14_IO_BITMASK (1 &lt;&lt; (DIN14_IO_OFFSET &amp; 0x7))
#define DIO144_IO_BYTEOFFSET DIN14_IO_BYTEOFFSET
#define DIO144_IO_BITMASK DIN14_IO_BITMASK
#ifndef IC74HC165_HAS_DINS
#define IC74HC165_HAS_DINS
#endif
#endif</v>
      </c>
      <c r="F143" s="4" t="str">
        <f t="shared" si="12"/>
        <v>#if ASSERT_PIN_IO(DIN14)
#ifdef DISABLE_HAL_CONFIG_PROTECTION
#define io144_config_output mcu_config_output(DIN14)
#define io144_set_output mcu_set_output(DIN14)
#define io144_clear_output mcu_clear_output(DIN14)
#define io144_toggle_output mcu_toggle_output(DIN14)
#define io144_get_output mcu_get_output(DIN14)
#endif
#if !defined(DIN14_PULLUP) &amp;&amp; !defined(FORCE_HAL_IO_DIRECTION_ONREQUEST)
#define io144_config_input mcu_config_input(DIN14)
#else
#define io144_config_input mcu_config_input(DIN14);mcu_config_pullup(DIN14)
#endif
#define io144_config_pullup mcu_config_pullup(DIN14)
#define io144_get_input mcu_get_input(DIN14)
#elif ASSERT_PIN_EXTENDED(DIN14)
#define io144_config_input 
#define io144_config_pullup
#define io144_get_input shift_register_io_pins();ic74hc165_get_pin(DIN14)
#endif</v>
      </c>
    </row>
    <row r="144" spans="1:6" x14ac:dyDescent="0.25">
      <c r="A144" s="4">
        <v>145</v>
      </c>
      <c r="B144" s="4" t="str">
        <f t="shared" si="7"/>
        <v>DIO145</v>
      </c>
      <c r="C144" s="5" t="s">
        <v>104</v>
      </c>
      <c r="D144" s="4" t="s">
        <v>565</v>
      </c>
      <c r="E144" s="4" t="str">
        <f t="shared" si="11"/>
        <v>#ifndef DIN15_IO_OFFSET
#define DIN15_IO_OFFSET -1
#define DIO145_IO_OFFSET -1
#else
#define DIO145_IO_OFFSET DIN15_IO_OFFSET
#ifdef DIN15
#undef DIN15
#endif
#ifdef DIO145
#undef DIO145
#endif
#define DIN15 145
#define DIO145 -145
#define DIN15_IO_BYTEOFFSET (DIN15_IO_OFFSET &gt;&gt; 3)
#define DIN15_IO_BITMASK (1 &lt;&lt; (DIN15_IO_OFFSET &amp; 0x7))
#define DIO145_IO_BYTEOFFSET DIN15_IO_BYTEOFFSET
#define DIO145_IO_BITMASK DIN15_IO_BITMASK
#ifndef IC74HC165_HAS_DINS
#define IC74HC165_HAS_DINS
#endif
#endif</v>
      </c>
      <c r="F144" s="4" t="str">
        <f t="shared" si="12"/>
        <v>#if ASSERT_PIN_IO(DIN15)
#ifdef DISABLE_HAL_CONFIG_PROTECTION
#define io145_config_output mcu_config_output(DIN15)
#define io145_set_output mcu_set_output(DIN15)
#define io145_clear_output mcu_clear_output(DIN15)
#define io145_toggle_output mcu_toggle_output(DIN15)
#define io145_get_output mcu_get_output(DIN15)
#endif
#if !defined(DIN15_PULLUP) &amp;&amp; !defined(FORCE_HAL_IO_DIRECTION_ONREQUEST)
#define io145_config_input mcu_config_input(DIN15)
#else
#define io145_config_input mcu_config_input(DIN15);mcu_config_pullup(DIN15)
#endif
#define io145_config_pullup mcu_config_pullup(DIN15)
#define io145_get_input mcu_get_input(DIN15)
#elif ASSERT_PIN_EXTENDED(DIN15)
#define io145_config_input 
#define io145_config_pullup
#define io145_get_input shift_register_io_pins();ic74hc165_get_pin(DIN15)
#endif</v>
      </c>
    </row>
    <row r="145" spans="1:6" x14ac:dyDescent="0.25">
      <c r="A145" s="4">
        <v>146</v>
      </c>
      <c r="B145" s="4" t="str">
        <f t="shared" ref="B145:B179" si="13">"DIO"&amp;A145</f>
        <v>DIO146</v>
      </c>
      <c r="C145" s="5" t="s">
        <v>207</v>
      </c>
      <c r="D145" s="4" t="s">
        <v>565</v>
      </c>
      <c r="E145" s="4" t="str">
        <f t="shared" si="11"/>
        <v>#ifndef DIN16_IO_OFFSET
#define DIN16_IO_OFFSET -1
#define DIO146_IO_OFFSET -1
#else
#define DIO146_IO_OFFSET DIN16_IO_OFFSET
#ifdef DIN16
#undef DIN16
#endif
#ifdef DIO146
#undef DIO146
#endif
#define DIN16 146
#define DIO146 -146
#define DIN16_IO_BYTEOFFSET (DIN16_IO_OFFSET &gt;&gt; 3)
#define DIN16_IO_BITMASK (1 &lt;&lt; (DIN16_IO_OFFSET &amp; 0x7))
#define DIO146_IO_BYTEOFFSET DIN16_IO_BYTEOFFSET
#define DIO146_IO_BITMASK DIN16_IO_BITMASK
#ifndef IC74HC165_HAS_DINS
#define IC74HC165_HAS_DINS
#endif
#endif</v>
      </c>
      <c r="F145" s="4" t="str">
        <f t="shared" si="12"/>
        <v>#if ASSERT_PIN_IO(DIN16)
#ifdef DISABLE_HAL_CONFIG_PROTECTION
#define io146_config_output mcu_config_output(DIN16)
#define io146_set_output mcu_set_output(DIN16)
#define io146_clear_output mcu_clear_output(DIN16)
#define io146_toggle_output mcu_toggle_output(DIN16)
#define io146_get_output mcu_get_output(DIN16)
#endif
#if !defined(DIN16_PULLUP) &amp;&amp; !defined(FORCE_HAL_IO_DIRECTION_ONREQUEST)
#define io146_config_input mcu_config_input(DIN16)
#else
#define io146_config_input mcu_config_input(DIN16);mcu_config_pullup(DIN16)
#endif
#define io146_config_pullup mcu_config_pullup(DIN16)
#define io146_get_input mcu_get_input(DIN16)
#elif ASSERT_PIN_EXTENDED(DIN16)
#define io146_config_input 
#define io146_config_pullup
#define io146_get_input shift_register_io_pins();ic74hc165_get_pin(DIN16)
#endif</v>
      </c>
    </row>
    <row r="146" spans="1:6" x14ac:dyDescent="0.25">
      <c r="A146" s="4">
        <v>147</v>
      </c>
      <c r="B146" s="4" t="str">
        <f t="shared" si="13"/>
        <v>DIO147</v>
      </c>
      <c r="C146" s="5" t="s">
        <v>208</v>
      </c>
      <c r="D146" s="4" t="s">
        <v>565</v>
      </c>
      <c r="E146" s="4" t="str">
        <f t="shared" si="11"/>
        <v>#ifndef DIN17_IO_OFFSET
#define DIN17_IO_OFFSET -1
#define DIO147_IO_OFFSET -1
#else
#define DIO147_IO_OFFSET DIN17_IO_OFFSET
#ifdef DIN17
#undef DIN17
#endif
#ifdef DIO147
#undef DIO147
#endif
#define DIN17 147
#define DIO147 -147
#define DIN17_IO_BYTEOFFSET (DIN17_IO_OFFSET &gt;&gt; 3)
#define DIN17_IO_BITMASK (1 &lt;&lt; (DIN17_IO_OFFSET &amp; 0x7))
#define DIO147_IO_BYTEOFFSET DIN17_IO_BYTEOFFSET
#define DIO147_IO_BITMASK DIN17_IO_BITMASK
#ifndef IC74HC165_HAS_DINS
#define IC74HC165_HAS_DINS
#endif
#endif</v>
      </c>
      <c r="F146" s="4" t="str">
        <f t="shared" si="12"/>
        <v>#if ASSERT_PIN_IO(DIN17)
#ifdef DISABLE_HAL_CONFIG_PROTECTION
#define io147_config_output mcu_config_output(DIN17)
#define io147_set_output mcu_set_output(DIN17)
#define io147_clear_output mcu_clear_output(DIN17)
#define io147_toggle_output mcu_toggle_output(DIN17)
#define io147_get_output mcu_get_output(DIN17)
#endif
#if !defined(DIN17_PULLUP) &amp;&amp; !defined(FORCE_HAL_IO_DIRECTION_ONREQUEST)
#define io147_config_input mcu_config_input(DIN17)
#else
#define io147_config_input mcu_config_input(DIN17);mcu_config_pullup(DIN17)
#endif
#define io147_config_pullup mcu_config_pullup(DIN17)
#define io147_get_input mcu_get_input(DIN17)
#elif ASSERT_PIN_EXTENDED(DIN17)
#define io147_config_input 
#define io147_config_pullup
#define io147_get_input shift_register_io_pins();ic74hc165_get_pin(DIN17)
#endif</v>
      </c>
    </row>
    <row r="147" spans="1:6" x14ac:dyDescent="0.25">
      <c r="A147" s="4">
        <v>148</v>
      </c>
      <c r="B147" s="4" t="str">
        <f t="shared" si="13"/>
        <v>DIO148</v>
      </c>
      <c r="C147" s="5" t="s">
        <v>209</v>
      </c>
      <c r="D147" s="4" t="s">
        <v>565</v>
      </c>
      <c r="E147" s="4" t="str">
        <f t="shared" si="11"/>
        <v>#ifndef DIN18_IO_OFFSET
#define DIN18_IO_OFFSET -1
#define DIO148_IO_OFFSET -1
#else
#define DIO148_IO_OFFSET DIN18_IO_OFFSET
#ifdef DIN18
#undef DIN18
#endif
#ifdef DIO148
#undef DIO148
#endif
#define DIN18 148
#define DIO148 -148
#define DIN18_IO_BYTEOFFSET (DIN18_IO_OFFSET &gt;&gt; 3)
#define DIN18_IO_BITMASK (1 &lt;&lt; (DIN18_IO_OFFSET &amp; 0x7))
#define DIO148_IO_BYTEOFFSET DIN18_IO_BYTEOFFSET
#define DIO148_IO_BITMASK DIN18_IO_BITMASK
#ifndef IC74HC165_HAS_DINS
#define IC74HC165_HAS_DINS
#endif
#endif</v>
      </c>
      <c r="F147" s="4" t="str">
        <f t="shared" si="12"/>
        <v>#if ASSERT_PIN_IO(DIN18)
#ifdef DISABLE_HAL_CONFIG_PROTECTION
#define io148_config_output mcu_config_output(DIN18)
#define io148_set_output mcu_set_output(DIN18)
#define io148_clear_output mcu_clear_output(DIN18)
#define io148_toggle_output mcu_toggle_output(DIN18)
#define io148_get_output mcu_get_output(DIN18)
#endif
#if !defined(DIN18_PULLUP) &amp;&amp; !defined(FORCE_HAL_IO_DIRECTION_ONREQUEST)
#define io148_config_input mcu_config_input(DIN18)
#else
#define io148_config_input mcu_config_input(DIN18);mcu_config_pullup(DIN18)
#endif
#define io148_config_pullup mcu_config_pullup(DIN18)
#define io148_get_input mcu_get_input(DIN18)
#elif ASSERT_PIN_EXTENDED(DIN18)
#define io148_config_input 
#define io148_config_pullup
#define io148_get_input shift_register_io_pins();ic74hc165_get_pin(DIN18)
#endif</v>
      </c>
    </row>
    <row r="148" spans="1:6" x14ac:dyDescent="0.25">
      <c r="A148" s="4">
        <v>149</v>
      </c>
      <c r="B148" s="4" t="str">
        <f t="shared" si="13"/>
        <v>DIO149</v>
      </c>
      <c r="C148" s="5" t="s">
        <v>210</v>
      </c>
      <c r="D148" s="4" t="s">
        <v>565</v>
      </c>
      <c r="E148" s="4" t="str">
        <f t="shared" si="11"/>
        <v>#ifndef DIN19_IO_OFFSET
#define DIN19_IO_OFFSET -1
#define DIO149_IO_OFFSET -1
#else
#define DIO149_IO_OFFSET DIN19_IO_OFFSET
#ifdef DIN19
#undef DIN19
#endif
#ifdef DIO149
#undef DIO149
#endif
#define DIN19 149
#define DIO149 -149
#define DIN19_IO_BYTEOFFSET (DIN19_IO_OFFSET &gt;&gt; 3)
#define DIN19_IO_BITMASK (1 &lt;&lt; (DIN19_IO_OFFSET &amp; 0x7))
#define DIO149_IO_BYTEOFFSET DIN19_IO_BYTEOFFSET
#define DIO149_IO_BITMASK DIN19_IO_BITMASK
#ifndef IC74HC165_HAS_DINS
#define IC74HC165_HAS_DINS
#endif
#endif</v>
      </c>
      <c r="F148" s="4" t="str">
        <f t="shared" si="12"/>
        <v>#if ASSERT_PIN_IO(DIN19)
#ifdef DISABLE_HAL_CONFIG_PROTECTION
#define io149_config_output mcu_config_output(DIN19)
#define io149_set_output mcu_set_output(DIN19)
#define io149_clear_output mcu_clear_output(DIN19)
#define io149_toggle_output mcu_toggle_output(DIN19)
#define io149_get_output mcu_get_output(DIN19)
#endif
#if !defined(DIN19_PULLUP) &amp;&amp; !defined(FORCE_HAL_IO_DIRECTION_ONREQUEST)
#define io149_config_input mcu_config_input(DIN19)
#else
#define io149_config_input mcu_config_input(DIN19);mcu_config_pullup(DIN19)
#endif
#define io149_config_pullup mcu_config_pullup(DIN19)
#define io149_get_input mcu_get_input(DIN19)
#elif ASSERT_PIN_EXTENDED(DIN19)
#define io149_config_input 
#define io149_config_pullup
#define io149_get_input shift_register_io_pins();ic74hc165_get_pin(DIN19)
#endif</v>
      </c>
    </row>
    <row r="149" spans="1:6" x14ac:dyDescent="0.25">
      <c r="A149" s="4">
        <v>150</v>
      </c>
      <c r="B149" s="4" t="str">
        <f t="shared" si="13"/>
        <v>DIO150</v>
      </c>
      <c r="C149" s="5" t="s">
        <v>211</v>
      </c>
      <c r="D149" s="4" t="s">
        <v>565</v>
      </c>
      <c r="E149" s="4" t="str">
        <f t="shared" si="11"/>
        <v>#ifndef DIN20_IO_OFFSET
#define DIN20_IO_OFFSET -1
#define DIO150_IO_OFFSET -1
#else
#define DIO150_IO_OFFSET DIN20_IO_OFFSET
#ifdef DIN20
#undef DIN20
#endif
#ifdef DIO150
#undef DIO150
#endif
#define DIN20 150
#define DIO150 -150
#define DIN20_IO_BYTEOFFSET (DIN20_IO_OFFSET &gt;&gt; 3)
#define DIN20_IO_BITMASK (1 &lt;&lt; (DIN20_IO_OFFSET &amp; 0x7))
#define DIO150_IO_BYTEOFFSET DIN20_IO_BYTEOFFSET
#define DIO150_IO_BITMASK DIN20_IO_BITMASK
#ifndef IC74HC165_HAS_DINS
#define IC74HC165_HAS_DINS
#endif
#endif</v>
      </c>
      <c r="F149" s="4" t="str">
        <f t="shared" si="12"/>
        <v>#if ASSERT_PIN_IO(DIN20)
#ifdef DISABLE_HAL_CONFIG_PROTECTION
#define io150_config_output mcu_config_output(DIN20)
#define io150_set_output mcu_set_output(DIN20)
#define io150_clear_output mcu_clear_output(DIN20)
#define io150_toggle_output mcu_toggle_output(DIN20)
#define io150_get_output mcu_get_output(DIN20)
#endif
#if !defined(DIN20_PULLUP) &amp;&amp; !defined(FORCE_HAL_IO_DIRECTION_ONREQUEST)
#define io150_config_input mcu_config_input(DIN20)
#else
#define io150_config_input mcu_config_input(DIN20);mcu_config_pullup(DIN20)
#endif
#define io150_config_pullup mcu_config_pullup(DIN20)
#define io150_get_input mcu_get_input(DIN20)
#elif ASSERT_PIN_EXTENDED(DIN20)
#define io150_config_input 
#define io150_config_pullup
#define io150_get_input shift_register_io_pins();ic74hc165_get_pin(DIN20)
#endif</v>
      </c>
    </row>
    <row r="150" spans="1:6" x14ac:dyDescent="0.25">
      <c r="A150" s="4">
        <v>151</v>
      </c>
      <c r="B150" s="4" t="str">
        <f t="shared" si="13"/>
        <v>DIO151</v>
      </c>
      <c r="C150" s="5" t="s">
        <v>212</v>
      </c>
      <c r="D150" s="4" t="s">
        <v>565</v>
      </c>
      <c r="E150" s="4" t="str">
        <f t="shared" si="11"/>
        <v>#ifndef DIN21_IO_OFFSET
#define DIN21_IO_OFFSET -1
#define DIO151_IO_OFFSET -1
#else
#define DIO151_IO_OFFSET DIN21_IO_OFFSET
#ifdef DIN21
#undef DIN21
#endif
#ifdef DIO151
#undef DIO151
#endif
#define DIN21 151
#define DIO151 -151
#define DIN21_IO_BYTEOFFSET (DIN21_IO_OFFSET &gt;&gt; 3)
#define DIN21_IO_BITMASK (1 &lt;&lt; (DIN21_IO_OFFSET &amp; 0x7))
#define DIO151_IO_BYTEOFFSET DIN21_IO_BYTEOFFSET
#define DIO151_IO_BITMASK DIN21_IO_BITMASK
#ifndef IC74HC165_HAS_DINS
#define IC74HC165_HAS_DINS
#endif
#endif</v>
      </c>
      <c r="F150" s="4" t="str">
        <f t="shared" si="12"/>
        <v>#if ASSERT_PIN_IO(DIN21)
#ifdef DISABLE_HAL_CONFIG_PROTECTION
#define io151_config_output mcu_config_output(DIN21)
#define io151_set_output mcu_set_output(DIN21)
#define io151_clear_output mcu_clear_output(DIN21)
#define io151_toggle_output mcu_toggle_output(DIN21)
#define io151_get_output mcu_get_output(DIN21)
#endif
#if !defined(DIN21_PULLUP) &amp;&amp; !defined(FORCE_HAL_IO_DIRECTION_ONREQUEST)
#define io151_config_input mcu_config_input(DIN21)
#else
#define io151_config_input mcu_config_input(DIN21);mcu_config_pullup(DIN21)
#endif
#define io151_config_pullup mcu_config_pullup(DIN21)
#define io151_get_input mcu_get_input(DIN21)
#elif ASSERT_PIN_EXTENDED(DIN21)
#define io151_config_input 
#define io151_config_pullup
#define io151_get_input shift_register_io_pins();ic74hc165_get_pin(DIN21)
#endif</v>
      </c>
    </row>
    <row r="151" spans="1:6" x14ac:dyDescent="0.25">
      <c r="A151" s="4">
        <v>152</v>
      </c>
      <c r="B151" s="4" t="str">
        <f t="shared" si="13"/>
        <v>DIO152</v>
      </c>
      <c r="C151" s="5" t="s">
        <v>213</v>
      </c>
      <c r="D151" s="4" t="s">
        <v>565</v>
      </c>
      <c r="E151" s="4" t="str">
        <f t="shared" si="11"/>
        <v>#ifndef DIN22_IO_OFFSET
#define DIN22_IO_OFFSET -1
#define DIO152_IO_OFFSET -1
#else
#define DIO152_IO_OFFSET DIN22_IO_OFFSET
#ifdef DIN22
#undef DIN22
#endif
#ifdef DIO152
#undef DIO152
#endif
#define DIN22 152
#define DIO152 -152
#define DIN22_IO_BYTEOFFSET (DIN22_IO_OFFSET &gt;&gt; 3)
#define DIN22_IO_BITMASK (1 &lt;&lt; (DIN22_IO_OFFSET &amp; 0x7))
#define DIO152_IO_BYTEOFFSET DIN22_IO_BYTEOFFSET
#define DIO152_IO_BITMASK DIN22_IO_BITMASK
#ifndef IC74HC165_HAS_DINS
#define IC74HC165_HAS_DINS
#endif
#endif</v>
      </c>
      <c r="F151" s="4" t="str">
        <f t="shared" si="12"/>
        <v>#if ASSERT_PIN_IO(DIN22)
#ifdef DISABLE_HAL_CONFIG_PROTECTION
#define io152_config_output mcu_config_output(DIN22)
#define io152_set_output mcu_set_output(DIN22)
#define io152_clear_output mcu_clear_output(DIN22)
#define io152_toggle_output mcu_toggle_output(DIN22)
#define io152_get_output mcu_get_output(DIN22)
#endif
#if !defined(DIN22_PULLUP) &amp;&amp; !defined(FORCE_HAL_IO_DIRECTION_ONREQUEST)
#define io152_config_input mcu_config_input(DIN22)
#else
#define io152_config_input mcu_config_input(DIN22);mcu_config_pullup(DIN22)
#endif
#define io152_config_pullup mcu_config_pullup(DIN22)
#define io152_get_input mcu_get_input(DIN22)
#elif ASSERT_PIN_EXTENDED(DIN22)
#define io152_config_input 
#define io152_config_pullup
#define io152_get_input shift_register_io_pins();ic74hc165_get_pin(DIN22)
#endif</v>
      </c>
    </row>
    <row r="152" spans="1:6" x14ac:dyDescent="0.25">
      <c r="A152" s="4">
        <v>153</v>
      </c>
      <c r="B152" s="4" t="str">
        <f t="shared" si="13"/>
        <v>DIO153</v>
      </c>
      <c r="C152" s="5" t="s">
        <v>214</v>
      </c>
      <c r="D152" s="4" t="s">
        <v>565</v>
      </c>
      <c r="E152" s="4" t="str">
        <f t="shared" si="11"/>
        <v>#ifndef DIN23_IO_OFFSET
#define DIN23_IO_OFFSET -1
#define DIO153_IO_OFFSET -1
#else
#define DIO153_IO_OFFSET DIN23_IO_OFFSET
#ifdef DIN23
#undef DIN23
#endif
#ifdef DIO153
#undef DIO153
#endif
#define DIN23 153
#define DIO153 -153
#define DIN23_IO_BYTEOFFSET (DIN23_IO_OFFSET &gt;&gt; 3)
#define DIN23_IO_BITMASK (1 &lt;&lt; (DIN23_IO_OFFSET &amp; 0x7))
#define DIO153_IO_BYTEOFFSET DIN23_IO_BYTEOFFSET
#define DIO153_IO_BITMASK DIN23_IO_BITMASK
#ifndef IC74HC165_HAS_DINS
#define IC74HC165_HAS_DINS
#endif
#endif</v>
      </c>
      <c r="F152" s="4" t="str">
        <f t="shared" si="12"/>
        <v>#if ASSERT_PIN_IO(DIN23)
#ifdef DISABLE_HAL_CONFIG_PROTECTION
#define io153_config_output mcu_config_output(DIN23)
#define io153_set_output mcu_set_output(DIN23)
#define io153_clear_output mcu_clear_output(DIN23)
#define io153_toggle_output mcu_toggle_output(DIN23)
#define io153_get_output mcu_get_output(DIN23)
#endif
#if !defined(DIN23_PULLUP) &amp;&amp; !defined(FORCE_HAL_IO_DIRECTION_ONREQUEST)
#define io153_config_input mcu_config_input(DIN23)
#else
#define io153_config_input mcu_config_input(DIN23);mcu_config_pullup(DIN23)
#endif
#define io153_config_pullup mcu_config_pullup(DIN23)
#define io153_get_input mcu_get_input(DIN23)
#elif ASSERT_PIN_EXTENDED(DIN23)
#define io153_config_input 
#define io153_config_pullup
#define io153_get_input shift_register_io_pins();ic74hc165_get_pin(DIN23)
#endif</v>
      </c>
    </row>
    <row r="153" spans="1:6" x14ac:dyDescent="0.25">
      <c r="A153" s="4">
        <v>154</v>
      </c>
      <c r="B153" s="4" t="str">
        <f t="shared" si="13"/>
        <v>DIO154</v>
      </c>
      <c r="C153" s="5" t="s">
        <v>215</v>
      </c>
      <c r="D153" s="4" t="s">
        <v>565</v>
      </c>
      <c r="E153" s="4" t="str">
        <f t="shared" si="11"/>
        <v>#ifndef DIN24_IO_OFFSET
#define DIN24_IO_OFFSET -1
#define DIO154_IO_OFFSET -1
#else
#define DIO154_IO_OFFSET DIN24_IO_OFFSET
#ifdef DIN24
#undef DIN24
#endif
#ifdef DIO154
#undef DIO154
#endif
#define DIN24 154
#define DIO154 -154
#define DIN24_IO_BYTEOFFSET (DIN24_IO_OFFSET &gt;&gt; 3)
#define DIN24_IO_BITMASK (1 &lt;&lt; (DIN24_IO_OFFSET &amp; 0x7))
#define DIO154_IO_BYTEOFFSET DIN24_IO_BYTEOFFSET
#define DIO154_IO_BITMASK DIN24_IO_BITMASK
#ifndef IC74HC165_HAS_DINS
#define IC74HC165_HAS_DINS
#endif
#endif</v>
      </c>
      <c r="F153" s="4" t="str">
        <f t="shared" si="12"/>
        <v>#if ASSERT_PIN_IO(DIN24)
#ifdef DISABLE_HAL_CONFIG_PROTECTION
#define io154_config_output mcu_config_output(DIN24)
#define io154_set_output mcu_set_output(DIN24)
#define io154_clear_output mcu_clear_output(DIN24)
#define io154_toggle_output mcu_toggle_output(DIN24)
#define io154_get_output mcu_get_output(DIN24)
#endif
#if !defined(DIN24_PULLUP) &amp;&amp; !defined(FORCE_HAL_IO_DIRECTION_ONREQUEST)
#define io154_config_input mcu_config_input(DIN24)
#else
#define io154_config_input mcu_config_input(DIN24);mcu_config_pullup(DIN24)
#endif
#define io154_config_pullup mcu_config_pullup(DIN24)
#define io154_get_input mcu_get_input(DIN24)
#elif ASSERT_PIN_EXTENDED(DIN24)
#define io154_config_input 
#define io154_config_pullup
#define io154_get_input shift_register_io_pins();ic74hc165_get_pin(DIN24)
#endif</v>
      </c>
    </row>
    <row r="154" spans="1:6" x14ac:dyDescent="0.25">
      <c r="A154" s="4">
        <v>155</v>
      </c>
      <c r="B154" s="4" t="str">
        <f t="shared" si="13"/>
        <v>DIO155</v>
      </c>
      <c r="C154" s="5" t="s">
        <v>216</v>
      </c>
      <c r="D154" s="4" t="s">
        <v>565</v>
      </c>
      <c r="E154" s="4" t="str">
        <f t="shared" si="11"/>
        <v>#ifndef DIN25_IO_OFFSET
#define DIN25_IO_OFFSET -1
#define DIO155_IO_OFFSET -1
#else
#define DIO155_IO_OFFSET DIN25_IO_OFFSET
#ifdef DIN25
#undef DIN25
#endif
#ifdef DIO155
#undef DIO155
#endif
#define DIN25 155
#define DIO155 -155
#define DIN25_IO_BYTEOFFSET (DIN25_IO_OFFSET &gt;&gt; 3)
#define DIN25_IO_BITMASK (1 &lt;&lt; (DIN25_IO_OFFSET &amp; 0x7))
#define DIO155_IO_BYTEOFFSET DIN25_IO_BYTEOFFSET
#define DIO155_IO_BITMASK DIN25_IO_BITMASK
#ifndef IC74HC165_HAS_DINS
#define IC74HC165_HAS_DINS
#endif
#endif</v>
      </c>
      <c r="F154" s="4" t="str">
        <f t="shared" si="12"/>
        <v>#if ASSERT_PIN_IO(DIN25)
#ifdef DISABLE_HAL_CONFIG_PROTECTION
#define io155_config_output mcu_config_output(DIN25)
#define io155_set_output mcu_set_output(DIN25)
#define io155_clear_output mcu_clear_output(DIN25)
#define io155_toggle_output mcu_toggle_output(DIN25)
#define io155_get_output mcu_get_output(DIN25)
#endif
#if !defined(DIN25_PULLUP) &amp;&amp; !defined(FORCE_HAL_IO_DIRECTION_ONREQUEST)
#define io155_config_input mcu_config_input(DIN25)
#else
#define io155_config_input mcu_config_input(DIN25);mcu_config_pullup(DIN25)
#endif
#define io155_config_pullup mcu_config_pullup(DIN25)
#define io155_get_input mcu_get_input(DIN25)
#elif ASSERT_PIN_EXTENDED(DIN25)
#define io155_config_input 
#define io155_config_pullup
#define io155_get_input shift_register_io_pins();ic74hc165_get_pin(DIN25)
#endif</v>
      </c>
    </row>
    <row r="155" spans="1:6" x14ac:dyDescent="0.25">
      <c r="A155" s="4">
        <v>156</v>
      </c>
      <c r="B155" s="4" t="str">
        <f t="shared" si="13"/>
        <v>DIO156</v>
      </c>
      <c r="C155" s="5" t="s">
        <v>217</v>
      </c>
      <c r="D155" s="4" t="s">
        <v>565</v>
      </c>
      <c r="E155" s="4" t="str">
        <f t="shared" si="11"/>
        <v>#ifndef DIN26_IO_OFFSET
#define DIN26_IO_OFFSET -1
#define DIO156_IO_OFFSET -1
#else
#define DIO156_IO_OFFSET DIN26_IO_OFFSET
#ifdef DIN26
#undef DIN26
#endif
#ifdef DIO156
#undef DIO156
#endif
#define DIN26 156
#define DIO156 -156
#define DIN26_IO_BYTEOFFSET (DIN26_IO_OFFSET &gt;&gt; 3)
#define DIN26_IO_BITMASK (1 &lt;&lt; (DIN26_IO_OFFSET &amp; 0x7))
#define DIO156_IO_BYTEOFFSET DIN26_IO_BYTEOFFSET
#define DIO156_IO_BITMASK DIN26_IO_BITMASK
#ifndef IC74HC165_HAS_DINS
#define IC74HC165_HAS_DINS
#endif
#endif</v>
      </c>
      <c r="F155" s="4" t="str">
        <f t="shared" si="12"/>
        <v>#if ASSERT_PIN_IO(DIN26)
#ifdef DISABLE_HAL_CONFIG_PROTECTION
#define io156_config_output mcu_config_output(DIN26)
#define io156_set_output mcu_set_output(DIN26)
#define io156_clear_output mcu_clear_output(DIN26)
#define io156_toggle_output mcu_toggle_output(DIN26)
#define io156_get_output mcu_get_output(DIN26)
#endif
#if !defined(DIN26_PULLUP) &amp;&amp; !defined(FORCE_HAL_IO_DIRECTION_ONREQUEST)
#define io156_config_input mcu_config_input(DIN26)
#else
#define io156_config_input mcu_config_input(DIN26);mcu_config_pullup(DIN26)
#endif
#define io156_config_pullup mcu_config_pullup(DIN26)
#define io156_get_input mcu_get_input(DIN26)
#elif ASSERT_PIN_EXTENDED(DIN26)
#define io156_config_input 
#define io156_config_pullup
#define io156_get_input shift_register_io_pins();ic74hc165_get_pin(DIN26)
#endif</v>
      </c>
    </row>
    <row r="156" spans="1:6" x14ac:dyDescent="0.25">
      <c r="A156" s="4">
        <v>157</v>
      </c>
      <c r="B156" s="4" t="str">
        <f t="shared" si="13"/>
        <v>DIO157</v>
      </c>
      <c r="C156" s="5" t="s">
        <v>218</v>
      </c>
      <c r="D156" s="4" t="s">
        <v>565</v>
      </c>
      <c r="E156" s="4" t="str">
        <f t="shared" si="11"/>
        <v>#ifndef DIN27_IO_OFFSET
#define DIN27_IO_OFFSET -1
#define DIO157_IO_OFFSET -1
#else
#define DIO157_IO_OFFSET DIN27_IO_OFFSET
#ifdef DIN27
#undef DIN27
#endif
#ifdef DIO157
#undef DIO157
#endif
#define DIN27 157
#define DIO157 -157
#define DIN27_IO_BYTEOFFSET (DIN27_IO_OFFSET &gt;&gt; 3)
#define DIN27_IO_BITMASK (1 &lt;&lt; (DIN27_IO_OFFSET &amp; 0x7))
#define DIO157_IO_BYTEOFFSET DIN27_IO_BYTEOFFSET
#define DIO157_IO_BITMASK DIN27_IO_BITMASK
#ifndef IC74HC165_HAS_DINS
#define IC74HC165_HAS_DINS
#endif
#endif</v>
      </c>
      <c r="F156" s="4" t="str">
        <f t="shared" si="12"/>
        <v>#if ASSERT_PIN_IO(DIN27)
#ifdef DISABLE_HAL_CONFIG_PROTECTION
#define io157_config_output mcu_config_output(DIN27)
#define io157_set_output mcu_set_output(DIN27)
#define io157_clear_output mcu_clear_output(DIN27)
#define io157_toggle_output mcu_toggle_output(DIN27)
#define io157_get_output mcu_get_output(DIN27)
#endif
#if !defined(DIN27_PULLUP) &amp;&amp; !defined(FORCE_HAL_IO_DIRECTION_ONREQUEST)
#define io157_config_input mcu_config_input(DIN27)
#else
#define io157_config_input mcu_config_input(DIN27);mcu_config_pullup(DIN27)
#endif
#define io157_config_pullup mcu_config_pullup(DIN27)
#define io157_get_input mcu_get_input(DIN27)
#elif ASSERT_PIN_EXTENDED(DIN27)
#define io157_config_input 
#define io157_config_pullup
#define io157_get_input shift_register_io_pins();ic74hc165_get_pin(DIN27)
#endif</v>
      </c>
    </row>
    <row r="157" spans="1:6" x14ac:dyDescent="0.25">
      <c r="A157" s="4">
        <v>158</v>
      </c>
      <c r="B157" s="4" t="str">
        <f t="shared" si="13"/>
        <v>DIO158</v>
      </c>
      <c r="C157" s="5" t="s">
        <v>219</v>
      </c>
      <c r="D157" s="4" t="s">
        <v>565</v>
      </c>
      <c r="E157" s="4" t="str">
        <f t="shared" si="11"/>
        <v>#ifndef DIN28_IO_OFFSET
#define DIN28_IO_OFFSET -1
#define DIO158_IO_OFFSET -1
#else
#define DIO158_IO_OFFSET DIN28_IO_OFFSET
#ifdef DIN28
#undef DIN28
#endif
#ifdef DIO158
#undef DIO158
#endif
#define DIN28 158
#define DIO158 -158
#define DIN28_IO_BYTEOFFSET (DIN28_IO_OFFSET &gt;&gt; 3)
#define DIN28_IO_BITMASK (1 &lt;&lt; (DIN28_IO_OFFSET &amp; 0x7))
#define DIO158_IO_BYTEOFFSET DIN28_IO_BYTEOFFSET
#define DIO158_IO_BITMASK DIN28_IO_BITMASK
#ifndef IC74HC165_HAS_DINS
#define IC74HC165_HAS_DINS
#endif
#endif</v>
      </c>
      <c r="F157" s="4" t="str">
        <f t="shared" si="12"/>
        <v>#if ASSERT_PIN_IO(DIN28)
#ifdef DISABLE_HAL_CONFIG_PROTECTION
#define io158_config_output mcu_config_output(DIN28)
#define io158_set_output mcu_set_output(DIN28)
#define io158_clear_output mcu_clear_output(DIN28)
#define io158_toggle_output mcu_toggle_output(DIN28)
#define io158_get_output mcu_get_output(DIN28)
#endif
#if !defined(DIN28_PULLUP) &amp;&amp; !defined(FORCE_HAL_IO_DIRECTION_ONREQUEST)
#define io158_config_input mcu_config_input(DIN28)
#else
#define io158_config_input mcu_config_input(DIN28);mcu_config_pullup(DIN28)
#endif
#define io158_config_pullup mcu_config_pullup(DIN28)
#define io158_get_input mcu_get_input(DIN28)
#elif ASSERT_PIN_EXTENDED(DIN28)
#define io158_config_input 
#define io158_config_pullup
#define io158_get_input shift_register_io_pins();ic74hc165_get_pin(DIN28)
#endif</v>
      </c>
    </row>
    <row r="158" spans="1:6" x14ac:dyDescent="0.25">
      <c r="A158" s="4">
        <v>159</v>
      </c>
      <c r="B158" s="4" t="str">
        <f t="shared" si="13"/>
        <v>DIO159</v>
      </c>
      <c r="C158" s="5" t="s">
        <v>220</v>
      </c>
      <c r="D158" s="4" t="s">
        <v>565</v>
      </c>
      <c r="E158" s="4" t="str">
        <f t="shared" si="11"/>
        <v>#ifndef DIN29_IO_OFFSET
#define DIN29_IO_OFFSET -1
#define DIO159_IO_OFFSET -1
#else
#define DIO159_IO_OFFSET DIN29_IO_OFFSET
#ifdef DIN29
#undef DIN29
#endif
#ifdef DIO159
#undef DIO159
#endif
#define DIN29 159
#define DIO159 -159
#define DIN29_IO_BYTEOFFSET (DIN29_IO_OFFSET &gt;&gt; 3)
#define DIN29_IO_BITMASK (1 &lt;&lt; (DIN29_IO_OFFSET &amp; 0x7))
#define DIO159_IO_BYTEOFFSET DIN29_IO_BYTEOFFSET
#define DIO159_IO_BITMASK DIN29_IO_BITMASK
#ifndef IC74HC165_HAS_DINS
#define IC74HC165_HAS_DINS
#endif
#endif</v>
      </c>
      <c r="F158" s="4" t="str">
        <f t="shared" si="12"/>
        <v>#if ASSERT_PIN_IO(DIN29)
#ifdef DISABLE_HAL_CONFIG_PROTECTION
#define io159_config_output mcu_config_output(DIN29)
#define io159_set_output mcu_set_output(DIN29)
#define io159_clear_output mcu_clear_output(DIN29)
#define io159_toggle_output mcu_toggle_output(DIN29)
#define io159_get_output mcu_get_output(DIN29)
#endif
#if !defined(DIN29_PULLUP) &amp;&amp; !defined(FORCE_HAL_IO_DIRECTION_ONREQUEST)
#define io159_config_input mcu_config_input(DIN29)
#else
#define io159_config_input mcu_config_input(DIN29);mcu_config_pullup(DIN29)
#endif
#define io159_config_pullup mcu_config_pullup(DIN29)
#define io159_get_input mcu_get_input(DIN29)
#elif ASSERT_PIN_EXTENDED(DIN29)
#define io159_config_input 
#define io159_config_pullup
#define io159_get_input shift_register_io_pins();ic74hc165_get_pin(DIN29)
#endif</v>
      </c>
    </row>
    <row r="159" spans="1:6" x14ac:dyDescent="0.25">
      <c r="A159" s="4">
        <v>160</v>
      </c>
      <c r="B159" s="4" t="str">
        <f t="shared" si="13"/>
        <v>DIO160</v>
      </c>
      <c r="C159" s="5" t="s">
        <v>221</v>
      </c>
      <c r="D159" s="4" t="s">
        <v>565</v>
      </c>
      <c r="E159" s="4" t="str">
        <f t="shared" si="11"/>
        <v>#ifndef DIN30_IO_OFFSET
#define DIN30_IO_OFFSET -1
#define DIO160_IO_OFFSET -1
#else
#define DIO160_IO_OFFSET DIN30_IO_OFFSET
#ifdef DIN30
#undef DIN30
#endif
#ifdef DIO160
#undef DIO160
#endif
#define DIN30 160
#define DIO160 -160
#define DIN30_IO_BYTEOFFSET (DIN30_IO_OFFSET &gt;&gt; 3)
#define DIN30_IO_BITMASK (1 &lt;&lt; (DIN30_IO_OFFSET &amp; 0x7))
#define DIO160_IO_BYTEOFFSET DIN30_IO_BYTEOFFSET
#define DIO160_IO_BITMASK DIN30_IO_BITMASK
#ifndef IC74HC165_HAS_DINS
#define IC74HC165_HAS_DINS
#endif
#endif</v>
      </c>
      <c r="F159" s="4" t="str">
        <f t="shared" si="12"/>
        <v>#if ASSERT_PIN_IO(DIN30)
#ifdef DISABLE_HAL_CONFIG_PROTECTION
#define io160_config_output mcu_config_output(DIN30)
#define io160_set_output mcu_set_output(DIN30)
#define io160_clear_output mcu_clear_output(DIN30)
#define io160_toggle_output mcu_toggle_output(DIN30)
#define io160_get_output mcu_get_output(DIN30)
#endif
#if !defined(DIN30_PULLUP) &amp;&amp; !defined(FORCE_HAL_IO_DIRECTION_ONREQUEST)
#define io160_config_input mcu_config_input(DIN30)
#else
#define io160_config_input mcu_config_input(DIN30);mcu_config_pullup(DIN30)
#endif
#define io160_config_pullup mcu_config_pullup(DIN30)
#define io160_get_input mcu_get_input(DIN30)
#elif ASSERT_PIN_EXTENDED(DIN30)
#define io160_config_input 
#define io160_config_pullup
#define io160_get_input shift_register_io_pins();ic74hc165_get_pin(DIN30)
#endif</v>
      </c>
    </row>
    <row r="160" spans="1:6" x14ac:dyDescent="0.25">
      <c r="A160" s="4">
        <v>161</v>
      </c>
      <c r="B160" s="4" t="str">
        <f t="shared" si="13"/>
        <v>DIO161</v>
      </c>
      <c r="C160" s="5" t="s">
        <v>222</v>
      </c>
      <c r="D160" s="4" t="s">
        <v>565</v>
      </c>
      <c r="E160" s="4" t="str">
        <f t="shared" si="11"/>
        <v>#ifndef DIN31_IO_OFFSET
#define DIN31_IO_OFFSET -1
#define DIO161_IO_OFFSET -1
#else
#define DIO161_IO_OFFSET DIN31_IO_OFFSET
#ifdef DIN31
#undef DIN31
#endif
#ifdef DIO161
#undef DIO161
#endif
#define DIN31 161
#define DIO161 -161
#define DIN31_IO_BYTEOFFSET (DIN31_IO_OFFSET &gt;&gt; 3)
#define DIN31_IO_BITMASK (1 &lt;&lt; (DIN31_IO_OFFSET &amp; 0x7))
#define DIO161_IO_BYTEOFFSET DIN31_IO_BYTEOFFSET
#define DIO161_IO_BITMASK DIN31_IO_BITMASK
#ifndef IC74HC165_HAS_DINS
#define IC74HC165_HAS_DINS
#endif
#endif</v>
      </c>
      <c r="F160" s="4" t="str">
        <f t="shared" si="12"/>
        <v>#if ASSERT_PIN_IO(DIN31)
#ifdef DISABLE_HAL_CONFIG_PROTECTION
#define io161_config_output mcu_config_output(DIN31)
#define io161_set_output mcu_set_output(DIN31)
#define io161_clear_output mcu_clear_output(DIN31)
#define io161_toggle_output mcu_toggle_output(DIN31)
#define io161_get_output mcu_get_output(DIN31)
#endif
#if !defined(DIN31_PULLUP) &amp;&amp; !defined(FORCE_HAL_IO_DIRECTION_ONREQUEST)
#define io161_config_input mcu_config_input(DIN31)
#else
#define io161_config_input mcu_config_input(DIN31);mcu_config_pullup(DIN31)
#endif
#define io161_config_pullup mcu_config_pullup(DIN31)
#define io161_get_input mcu_get_input(DIN31)
#elif ASSERT_PIN_EXTENDED(DIN31)
#define io161_config_input 
#define io161_config_pullup
#define io161_get_input shift_register_io_pins();ic74hc165_get_pin(DIN31)
#endif</v>
      </c>
    </row>
    <row r="161" spans="1:6" x14ac:dyDescent="0.25">
      <c r="A161" s="4">
        <v>162</v>
      </c>
      <c r="B161" s="4" t="str">
        <f t="shared" si="13"/>
        <v>DIO162</v>
      </c>
      <c r="C161" s="5" t="s">
        <v>545</v>
      </c>
      <c r="D161" s="4" t="s">
        <v>565</v>
      </c>
      <c r="E161" s="4" t="str">
        <f t="shared" si="11"/>
        <v>#ifndef DIN32_IO_OFFSET
#define DIN32_IO_OFFSET -1
#define DIO162_IO_OFFSET -1
#else
#define DIO162_IO_OFFSET DIN32_IO_OFFSET
#ifdef DIN32
#undef DIN32
#endif
#ifdef DIO162
#undef DIO162
#endif
#define DIN32 162
#define DIO162 -162
#define DIN32_IO_BYTEOFFSET (DIN32_IO_OFFSET &gt;&gt; 3)
#define DIN32_IO_BITMASK (1 &lt;&lt; (DIN32_IO_OFFSET &amp; 0x7))
#define DIO162_IO_BYTEOFFSET DIN32_IO_BYTEOFFSET
#define DIO162_IO_BITMASK DIN32_IO_BITMASK
#ifndef IC74HC165_HAS_DINS
#define IC74HC165_HAS_DINS
#endif
#endif</v>
      </c>
      <c r="F161" s="4" t="str">
        <f t="shared" si="12"/>
        <v>#if ASSERT_PIN_IO(DIN32)
#ifdef DISABLE_HAL_CONFIG_PROTECTION
#define io162_config_output mcu_config_output(DIN32)
#define io162_set_output mcu_set_output(DIN32)
#define io162_clear_output mcu_clear_output(DIN32)
#define io162_toggle_output mcu_toggle_output(DIN32)
#define io162_get_output mcu_get_output(DIN32)
#endif
#if !defined(DIN32_PULLUP) &amp;&amp; !defined(FORCE_HAL_IO_DIRECTION_ONREQUEST)
#define io162_config_input mcu_config_input(DIN32)
#else
#define io162_config_input mcu_config_input(DIN32);mcu_config_pullup(DIN32)
#endif
#define io162_config_pullup mcu_config_pullup(DIN32)
#define io162_get_input mcu_get_input(DIN32)
#elif ASSERT_PIN_EXTENDED(DIN32)
#define io162_config_input 
#define io162_config_pullup
#define io162_get_input shift_register_io_pins();ic74hc165_get_pin(DIN32)
#endif</v>
      </c>
    </row>
    <row r="162" spans="1:6" x14ac:dyDescent="0.25">
      <c r="A162" s="4">
        <v>163</v>
      </c>
      <c r="B162" s="4" t="str">
        <f t="shared" si="13"/>
        <v>DIO163</v>
      </c>
      <c r="C162" s="5" t="s">
        <v>546</v>
      </c>
      <c r="D162" s="4" t="s">
        <v>565</v>
      </c>
      <c r="E162" s="4" t="str">
        <f t="shared" si="11"/>
        <v>#ifndef DIN33_IO_OFFSET
#define DIN33_IO_OFFSET -1
#define DIO163_IO_OFFSET -1
#else
#define DIO163_IO_OFFSET DIN33_IO_OFFSET
#ifdef DIN33
#undef DIN33
#endif
#ifdef DIO163
#undef DIO163
#endif
#define DIN33 163
#define DIO163 -163
#define DIN33_IO_BYTEOFFSET (DIN33_IO_OFFSET &gt;&gt; 3)
#define DIN33_IO_BITMASK (1 &lt;&lt; (DIN33_IO_OFFSET &amp; 0x7))
#define DIO163_IO_BYTEOFFSET DIN33_IO_BYTEOFFSET
#define DIO163_IO_BITMASK DIN33_IO_BITMASK
#ifndef IC74HC165_HAS_DINS
#define IC74HC165_HAS_DINS
#endif
#endif</v>
      </c>
      <c r="F162" s="4" t="str">
        <f t="shared" si="12"/>
        <v>#if ASSERT_PIN_IO(DIN33)
#ifdef DISABLE_HAL_CONFIG_PROTECTION
#define io163_config_output mcu_config_output(DIN33)
#define io163_set_output mcu_set_output(DIN33)
#define io163_clear_output mcu_clear_output(DIN33)
#define io163_toggle_output mcu_toggle_output(DIN33)
#define io163_get_output mcu_get_output(DIN33)
#endif
#if !defined(DIN33_PULLUP) &amp;&amp; !defined(FORCE_HAL_IO_DIRECTION_ONREQUEST)
#define io163_config_input mcu_config_input(DIN33)
#else
#define io163_config_input mcu_config_input(DIN33);mcu_config_pullup(DIN33)
#endif
#define io163_config_pullup mcu_config_pullup(DIN33)
#define io163_get_input mcu_get_input(DIN33)
#elif ASSERT_PIN_EXTENDED(DIN33)
#define io163_config_input 
#define io163_config_pullup
#define io163_get_input shift_register_io_pins();ic74hc165_get_pin(DIN33)
#endif</v>
      </c>
    </row>
    <row r="163" spans="1:6" x14ac:dyDescent="0.25">
      <c r="A163" s="4">
        <v>164</v>
      </c>
      <c r="B163" s="4" t="str">
        <f t="shared" si="13"/>
        <v>DIO164</v>
      </c>
      <c r="C163" s="5" t="s">
        <v>547</v>
      </c>
      <c r="D163" s="4" t="s">
        <v>565</v>
      </c>
      <c r="E163" s="4" t="str">
        <f t="shared" si="11"/>
        <v>#ifndef DIN34_IO_OFFSET
#define DIN34_IO_OFFSET -1
#define DIO164_IO_OFFSET -1
#else
#define DIO164_IO_OFFSET DIN34_IO_OFFSET
#ifdef DIN34
#undef DIN34
#endif
#ifdef DIO164
#undef DIO164
#endif
#define DIN34 164
#define DIO164 -164
#define DIN34_IO_BYTEOFFSET (DIN34_IO_OFFSET &gt;&gt; 3)
#define DIN34_IO_BITMASK (1 &lt;&lt; (DIN34_IO_OFFSET &amp; 0x7))
#define DIO164_IO_BYTEOFFSET DIN34_IO_BYTEOFFSET
#define DIO164_IO_BITMASK DIN34_IO_BITMASK
#ifndef IC74HC165_HAS_DINS
#define IC74HC165_HAS_DINS
#endif
#endif</v>
      </c>
      <c r="F163" s="4" t="str">
        <f t="shared" si="12"/>
        <v>#if ASSERT_PIN_IO(DIN34)
#ifdef DISABLE_HAL_CONFIG_PROTECTION
#define io164_config_output mcu_config_output(DIN34)
#define io164_set_output mcu_set_output(DIN34)
#define io164_clear_output mcu_clear_output(DIN34)
#define io164_toggle_output mcu_toggle_output(DIN34)
#define io164_get_output mcu_get_output(DIN34)
#endif
#if !defined(DIN34_PULLUP) &amp;&amp; !defined(FORCE_HAL_IO_DIRECTION_ONREQUEST)
#define io164_config_input mcu_config_input(DIN34)
#else
#define io164_config_input mcu_config_input(DIN34);mcu_config_pullup(DIN34)
#endif
#define io164_config_pullup mcu_config_pullup(DIN34)
#define io164_get_input mcu_get_input(DIN34)
#elif ASSERT_PIN_EXTENDED(DIN34)
#define io164_config_input 
#define io164_config_pullup
#define io164_get_input shift_register_io_pins();ic74hc165_get_pin(DIN34)
#endif</v>
      </c>
    </row>
    <row r="164" spans="1:6" x14ac:dyDescent="0.25">
      <c r="A164" s="4">
        <v>165</v>
      </c>
      <c r="B164" s="4" t="str">
        <f t="shared" si="13"/>
        <v>DIO165</v>
      </c>
      <c r="C164" s="5" t="s">
        <v>548</v>
      </c>
      <c r="D164" s="4" t="s">
        <v>565</v>
      </c>
      <c r="E164" s="4" t="str">
        <f t="shared" si="11"/>
        <v>#ifndef DIN35_IO_OFFSET
#define DIN35_IO_OFFSET -1
#define DIO165_IO_OFFSET -1
#else
#define DIO165_IO_OFFSET DIN35_IO_OFFSET
#ifdef DIN35
#undef DIN35
#endif
#ifdef DIO165
#undef DIO165
#endif
#define DIN35 165
#define DIO165 -165
#define DIN35_IO_BYTEOFFSET (DIN35_IO_OFFSET &gt;&gt; 3)
#define DIN35_IO_BITMASK (1 &lt;&lt; (DIN35_IO_OFFSET &amp; 0x7))
#define DIO165_IO_BYTEOFFSET DIN35_IO_BYTEOFFSET
#define DIO165_IO_BITMASK DIN35_IO_BITMASK
#ifndef IC74HC165_HAS_DINS
#define IC74HC165_HAS_DINS
#endif
#endif</v>
      </c>
      <c r="F164" s="4" t="str">
        <f t="shared" si="12"/>
        <v>#if ASSERT_PIN_IO(DIN35)
#ifdef DISABLE_HAL_CONFIG_PROTECTION
#define io165_config_output mcu_config_output(DIN35)
#define io165_set_output mcu_set_output(DIN35)
#define io165_clear_output mcu_clear_output(DIN35)
#define io165_toggle_output mcu_toggle_output(DIN35)
#define io165_get_output mcu_get_output(DIN35)
#endif
#if !defined(DIN35_PULLUP) &amp;&amp; !defined(FORCE_HAL_IO_DIRECTION_ONREQUEST)
#define io165_config_input mcu_config_input(DIN35)
#else
#define io165_config_input mcu_config_input(DIN35);mcu_config_pullup(DIN35)
#endif
#define io165_config_pullup mcu_config_pullup(DIN35)
#define io165_get_input mcu_get_input(DIN35)
#elif ASSERT_PIN_EXTENDED(DIN35)
#define io165_config_input 
#define io165_config_pullup
#define io165_get_input shift_register_io_pins();ic74hc165_get_pin(DIN35)
#endif</v>
      </c>
    </row>
    <row r="165" spans="1:6" x14ac:dyDescent="0.25">
      <c r="A165" s="4">
        <v>166</v>
      </c>
      <c r="B165" s="4" t="str">
        <f t="shared" si="13"/>
        <v>DIO166</v>
      </c>
      <c r="C165" s="5" t="s">
        <v>549</v>
      </c>
      <c r="D165" s="4" t="s">
        <v>565</v>
      </c>
      <c r="E165" s="4" t="str">
        <f t="shared" si="11"/>
        <v>#ifndef DIN36_IO_OFFSET
#define DIN36_IO_OFFSET -1
#define DIO166_IO_OFFSET -1
#else
#define DIO166_IO_OFFSET DIN36_IO_OFFSET
#ifdef DIN36
#undef DIN36
#endif
#ifdef DIO166
#undef DIO166
#endif
#define DIN36 166
#define DIO166 -166
#define DIN36_IO_BYTEOFFSET (DIN36_IO_OFFSET &gt;&gt; 3)
#define DIN36_IO_BITMASK (1 &lt;&lt; (DIN36_IO_OFFSET &amp; 0x7))
#define DIO166_IO_BYTEOFFSET DIN36_IO_BYTEOFFSET
#define DIO166_IO_BITMASK DIN36_IO_BITMASK
#ifndef IC74HC165_HAS_DINS
#define IC74HC165_HAS_DINS
#endif
#endif</v>
      </c>
      <c r="F165" s="4" t="str">
        <f t="shared" si="12"/>
        <v>#if ASSERT_PIN_IO(DIN36)
#ifdef DISABLE_HAL_CONFIG_PROTECTION
#define io166_config_output mcu_config_output(DIN36)
#define io166_set_output mcu_set_output(DIN36)
#define io166_clear_output mcu_clear_output(DIN36)
#define io166_toggle_output mcu_toggle_output(DIN36)
#define io166_get_output mcu_get_output(DIN36)
#endif
#if !defined(DIN36_PULLUP) &amp;&amp; !defined(FORCE_HAL_IO_DIRECTION_ONREQUEST)
#define io166_config_input mcu_config_input(DIN36)
#else
#define io166_config_input mcu_config_input(DIN36);mcu_config_pullup(DIN36)
#endif
#define io166_config_pullup mcu_config_pullup(DIN36)
#define io166_get_input mcu_get_input(DIN36)
#elif ASSERT_PIN_EXTENDED(DIN36)
#define io166_config_input 
#define io166_config_pullup
#define io166_get_input shift_register_io_pins();ic74hc165_get_pin(DIN36)
#endif</v>
      </c>
    </row>
    <row r="166" spans="1:6" x14ac:dyDescent="0.25">
      <c r="A166" s="4">
        <v>167</v>
      </c>
      <c r="B166" s="4" t="str">
        <f t="shared" si="13"/>
        <v>DIO167</v>
      </c>
      <c r="C166" s="5" t="s">
        <v>550</v>
      </c>
      <c r="D166" s="4" t="s">
        <v>565</v>
      </c>
      <c r="E166" s="4" t="str">
        <f t="shared" si="11"/>
        <v>#ifndef DIN37_IO_OFFSET
#define DIN37_IO_OFFSET -1
#define DIO167_IO_OFFSET -1
#else
#define DIO167_IO_OFFSET DIN37_IO_OFFSET
#ifdef DIN37
#undef DIN37
#endif
#ifdef DIO167
#undef DIO167
#endif
#define DIN37 167
#define DIO167 -167
#define DIN37_IO_BYTEOFFSET (DIN37_IO_OFFSET &gt;&gt; 3)
#define DIN37_IO_BITMASK (1 &lt;&lt; (DIN37_IO_OFFSET &amp; 0x7))
#define DIO167_IO_BYTEOFFSET DIN37_IO_BYTEOFFSET
#define DIO167_IO_BITMASK DIN37_IO_BITMASK
#ifndef IC74HC165_HAS_DINS
#define IC74HC165_HAS_DINS
#endif
#endif</v>
      </c>
      <c r="F166" s="4" t="str">
        <f t="shared" si="12"/>
        <v>#if ASSERT_PIN_IO(DIN37)
#ifdef DISABLE_HAL_CONFIG_PROTECTION
#define io167_config_output mcu_config_output(DIN37)
#define io167_set_output mcu_set_output(DIN37)
#define io167_clear_output mcu_clear_output(DIN37)
#define io167_toggle_output mcu_toggle_output(DIN37)
#define io167_get_output mcu_get_output(DIN37)
#endif
#if !defined(DIN37_PULLUP) &amp;&amp; !defined(FORCE_HAL_IO_DIRECTION_ONREQUEST)
#define io167_config_input mcu_config_input(DIN37)
#else
#define io167_config_input mcu_config_input(DIN37);mcu_config_pullup(DIN37)
#endif
#define io167_config_pullup mcu_config_pullup(DIN37)
#define io167_get_input mcu_get_input(DIN37)
#elif ASSERT_PIN_EXTENDED(DIN37)
#define io167_config_input 
#define io167_config_pullup
#define io167_get_input shift_register_io_pins();ic74hc165_get_pin(DIN37)
#endif</v>
      </c>
    </row>
    <row r="167" spans="1:6" x14ac:dyDescent="0.25">
      <c r="A167" s="4">
        <v>168</v>
      </c>
      <c r="B167" s="4" t="str">
        <f t="shared" si="13"/>
        <v>DIO168</v>
      </c>
      <c r="C167" s="5" t="s">
        <v>551</v>
      </c>
      <c r="D167" s="4" t="s">
        <v>565</v>
      </c>
      <c r="E167" s="4" t="str">
        <f t="shared" si="11"/>
        <v>#ifndef DIN38_IO_OFFSET
#define DIN38_IO_OFFSET -1
#define DIO168_IO_OFFSET -1
#else
#define DIO168_IO_OFFSET DIN38_IO_OFFSET
#ifdef DIN38
#undef DIN38
#endif
#ifdef DIO168
#undef DIO168
#endif
#define DIN38 168
#define DIO168 -168
#define DIN38_IO_BYTEOFFSET (DIN38_IO_OFFSET &gt;&gt; 3)
#define DIN38_IO_BITMASK (1 &lt;&lt; (DIN38_IO_OFFSET &amp; 0x7))
#define DIO168_IO_BYTEOFFSET DIN38_IO_BYTEOFFSET
#define DIO168_IO_BITMASK DIN38_IO_BITMASK
#ifndef IC74HC165_HAS_DINS
#define IC74HC165_HAS_DINS
#endif
#endif</v>
      </c>
      <c r="F167" s="4" t="str">
        <f t="shared" si="12"/>
        <v>#if ASSERT_PIN_IO(DIN38)
#ifdef DISABLE_HAL_CONFIG_PROTECTION
#define io168_config_output mcu_config_output(DIN38)
#define io168_set_output mcu_set_output(DIN38)
#define io168_clear_output mcu_clear_output(DIN38)
#define io168_toggle_output mcu_toggle_output(DIN38)
#define io168_get_output mcu_get_output(DIN38)
#endif
#if !defined(DIN38_PULLUP) &amp;&amp; !defined(FORCE_HAL_IO_DIRECTION_ONREQUEST)
#define io168_config_input mcu_config_input(DIN38)
#else
#define io168_config_input mcu_config_input(DIN38);mcu_config_pullup(DIN38)
#endif
#define io168_config_pullup mcu_config_pullup(DIN38)
#define io168_get_input mcu_get_input(DIN38)
#elif ASSERT_PIN_EXTENDED(DIN38)
#define io168_config_input 
#define io168_config_pullup
#define io168_get_input shift_register_io_pins();ic74hc165_get_pin(DIN38)
#endif</v>
      </c>
    </row>
    <row r="168" spans="1:6" x14ac:dyDescent="0.25">
      <c r="A168" s="4">
        <v>169</v>
      </c>
      <c r="B168" s="4" t="str">
        <f t="shared" si="13"/>
        <v>DIO169</v>
      </c>
      <c r="C168" s="5" t="s">
        <v>552</v>
      </c>
      <c r="D168" s="4" t="s">
        <v>565</v>
      </c>
      <c r="E168" s="4" t="str">
        <f t="shared" si="11"/>
        <v>#ifndef DIN39_IO_OFFSET
#define DIN39_IO_OFFSET -1
#define DIO169_IO_OFFSET -1
#else
#define DIO169_IO_OFFSET DIN39_IO_OFFSET
#ifdef DIN39
#undef DIN39
#endif
#ifdef DIO169
#undef DIO169
#endif
#define DIN39 169
#define DIO169 -169
#define DIN39_IO_BYTEOFFSET (DIN39_IO_OFFSET &gt;&gt; 3)
#define DIN39_IO_BITMASK (1 &lt;&lt; (DIN39_IO_OFFSET &amp; 0x7))
#define DIO169_IO_BYTEOFFSET DIN39_IO_BYTEOFFSET
#define DIO169_IO_BITMASK DIN39_IO_BITMASK
#ifndef IC74HC165_HAS_DINS
#define IC74HC165_HAS_DINS
#endif
#endif</v>
      </c>
      <c r="F168" s="4" t="str">
        <f t="shared" si="12"/>
        <v>#if ASSERT_PIN_IO(DIN39)
#ifdef DISABLE_HAL_CONFIG_PROTECTION
#define io169_config_output mcu_config_output(DIN39)
#define io169_set_output mcu_set_output(DIN39)
#define io169_clear_output mcu_clear_output(DIN39)
#define io169_toggle_output mcu_toggle_output(DIN39)
#define io169_get_output mcu_get_output(DIN39)
#endif
#if !defined(DIN39_PULLUP) &amp;&amp; !defined(FORCE_HAL_IO_DIRECTION_ONREQUEST)
#define io169_config_input mcu_config_input(DIN39)
#else
#define io169_config_input mcu_config_input(DIN39);mcu_config_pullup(DIN39)
#endif
#define io169_config_pullup mcu_config_pullup(DIN39)
#define io169_get_input mcu_get_input(DIN39)
#elif ASSERT_PIN_EXTENDED(DIN39)
#define io169_config_input 
#define io169_config_pullup
#define io169_get_input shift_register_io_pins();ic74hc165_get_pin(DIN39)
#endif</v>
      </c>
    </row>
    <row r="169" spans="1:6" x14ac:dyDescent="0.25">
      <c r="A169" s="4">
        <v>170</v>
      </c>
      <c r="B169" s="4" t="str">
        <f t="shared" si="13"/>
        <v>DIO170</v>
      </c>
      <c r="C169" s="5" t="s">
        <v>553</v>
      </c>
      <c r="D169" s="4" t="s">
        <v>565</v>
      </c>
      <c r="E169" s="4" t="str">
        <f t="shared" si="11"/>
        <v>#ifndef DIN40_IO_OFFSET
#define DIN40_IO_OFFSET -1
#define DIO170_IO_OFFSET -1
#else
#define DIO170_IO_OFFSET DIN40_IO_OFFSET
#ifdef DIN40
#undef DIN40
#endif
#ifdef DIO170
#undef DIO170
#endif
#define DIN40 170
#define DIO170 -170
#define DIN40_IO_BYTEOFFSET (DIN40_IO_OFFSET &gt;&gt; 3)
#define DIN40_IO_BITMASK (1 &lt;&lt; (DIN40_IO_OFFSET &amp; 0x7))
#define DIO170_IO_BYTEOFFSET DIN40_IO_BYTEOFFSET
#define DIO170_IO_BITMASK DIN40_IO_BITMASK
#ifndef IC74HC165_HAS_DINS
#define IC74HC165_HAS_DINS
#endif
#endif</v>
      </c>
      <c r="F169" s="4" t="str">
        <f t="shared" si="12"/>
        <v>#if ASSERT_PIN_IO(DIN40)
#ifdef DISABLE_HAL_CONFIG_PROTECTION
#define io170_config_output mcu_config_output(DIN40)
#define io170_set_output mcu_set_output(DIN40)
#define io170_clear_output mcu_clear_output(DIN40)
#define io170_toggle_output mcu_toggle_output(DIN40)
#define io170_get_output mcu_get_output(DIN40)
#endif
#if !defined(DIN40_PULLUP) &amp;&amp; !defined(FORCE_HAL_IO_DIRECTION_ONREQUEST)
#define io170_config_input mcu_config_input(DIN40)
#else
#define io170_config_input mcu_config_input(DIN40);mcu_config_pullup(DIN40)
#endif
#define io170_config_pullup mcu_config_pullup(DIN40)
#define io170_get_input mcu_get_input(DIN40)
#elif ASSERT_PIN_EXTENDED(DIN40)
#define io170_config_input 
#define io170_config_pullup
#define io170_get_input shift_register_io_pins();ic74hc165_get_pin(DIN40)
#endif</v>
      </c>
    </row>
    <row r="170" spans="1:6" x14ac:dyDescent="0.25">
      <c r="A170" s="4">
        <v>171</v>
      </c>
      <c r="B170" s="4" t="str">
        <f t="shared" si="13"/>
        <v>DIO171</v>
      </c>
      <c r="C170" s="5" t="s">
        <v>554</v>
      </c>
      <c r="D170" s="4" t="s">
        <v>565</v>
      </c>
      <c r="E170" s="4" t="str">
        <f t="shared" si="11"/>
        <v>#ifndef DIN41_IO_OFFSET
#define DIN41_IO_OFFSET -1
#define DIO171_IO_OFFSET -1
#else
#define DIO171_IO_OFFSET DIN41_IO_OFFSET
#ifdef DIN41
#undef DIN41
#endif
#ifdef DIO171
#undef DIO171
#endif
#define DIN41 171
#define DIO171 -171
#define DIN41_IO_BYTEOFFSET (DIN41_IO_OFFSET &gt;&gt; 3)
#define DIN41_IO_BITMASK (1 &lt;&lt; (DIN41_IO_OFFSET &amp; 0x7))
#define DIO171_IO_BYTEOFFSET DIN41_IO_BYTEOFFSET
#define DIO171_IO_BITMASK DIN41_IO_BITMASK
#ifndef IC74HC165_HAS_DINS
#define IC74HC165_HAS_DINS
#endif
#endif</v>
      </c>
      <c r="F170" s="4" t="str">
        <f t="shared" si="12"/>
        <v>#if ASSERT_PIN_IO(DIN41)
#ifdef DISABLE_HAL_CONFIG_PROTECTION
#define io171_config_output mcu_config_output(DIN41)
#define io171_set_output mcu_set_output(DIN41)
#define io171_clear_output mcu_clear_output(DIN41)
#define io171_toggle_output mcu_toggle_output(DIN41)
#define io171_get_output mcu_get_output(DIN41)
#endif
#if !defined(DIN41_PULLUP) &amp;&amp; !defined(FORCE_HAL_IO_DIRECTION_ONREQUEST)
#define io171_config_input mcu_config_input(DIN41)
#else
#define io171_config_input mcu_config_input(DIN41);mcu_config_pullup(DIN41)
#endif
#define io171_config_pullup mcu_config_pullup(DIN41)
#define io171_get_input mcu_get_input(DIN41)
#elif ASSERT_PIN_EXTENDED(DIN41)
#define io171_config_input 
#define io171_config_pullup
#define io171_get_input shift_register_io_pins();ic74hc165_get_pin(DIN41)
#endif</v>
      </c>
    </row>
    <row r="171" spans="1:6" x14ac:dyDescent="0.25">
      <c r="A171" s="4">
        <v>172</v>
      </c>
      <c r="B171" s="4" t="str">
        <f t="shared" si="13"/>
        <v>DIO172</v>
      </c>
      <c r="C171" s="5" t="s">
        <v>555</v>
      </c>
      <c r="D171" s="4" t="s">
        <v>565</v>
      </c>
      <c r="E171" s="4" t="str">
        <f t="shared" si="11"/>
        <v>#ifndef DIN42_IO_OFFSET
#define DIN42_IO_OFFSET -1
#define DIO172_IO_OFFSET -1
#else
#define DIO172_IO_OFFSET DIN42_IO_OFFSET
#ifdef DIN42
#undef DIN42
#endif
#ifdef DIO172
#undef DIO172
#endif
#define DIN42 172
#define DIO172 -172
#define DIN42_IO_BYTEOFFSET (DIN42_IO_OFFSET &gt;&gt; 3)
#define DIN42_IO_BITMASK (1 &lt;&lt; (DIN42_IO_OFFSET &amp; 0x7))
#define DIO172_IO_BYTEOFFSET DIN42_IO_BYTEOFFSET
#define DIO172_IO_BITMASK DIN42_IO_BITMASK
#ifndef IC74HC165_HAS_DINS
#define IC74HC165_HAS_DINS
#endif
#endif</v>
      </c>
      <c r="F171" s="4" t="str">
        <f t="shared" si="12"/>
        <v>#if ASSERT_PIN_IO(DIN42)
#ifdef DISABLE_HAL_CONFIG_PROTECTION
#define io172_config_output mcu_config_output(DIN42)
#define io172_set_output mcu_set_output(DIN42)
#define io172_clear_output mcu_clear_output(DIN42)
#define io172_toggle_output mcu_toggle_output(DIN42)
#define io172_get_output mcu_get_output(DIN42)
#endif
#if !defined(DIN42_PULLUP) &amp;&amp; !defined(FORCE_HAL_IO_DIRECTION_ONREQUEST)
#define io172_config_input mcu_config_input(DIN42)
#else
#define io172_config_input mcu_config_input(DIN42);mcu_config_pullup(DIN42)
#endif
#define io172_config_pullup mcu_config_pullup(DIN42)
#define io172_get_input mcu_get_input(DIN42)
#elif ASSERT_PIN_EXTENDED(DIN42)
#define io172_config_input 
#define io172_config_pullup
#define io172_get_input shift_register_io_pins();ic74hc165_get_pin(DIN42)
#endif</v>
      </c>
    </row>
    <row r="172" spans="1:6" x14ac:dyDescent="0.25">
      <c r="A172" s="4">
        <v>173</v>
      </c>
      <c r="B172" s="4" t="str">
        <f t="shared" si="13"/>
        <v>DIO173</v>
      </c>
      <c r="C172" s="5" t="s">
        <v>556</v>
      </c>
      <c r="D172" s="4" t="s">
        <v>565</v>
      </c>
      <c r="E172" s="4" t="str">
        <f t="shared" si="11"/>
        <v>#ifndef DIN43_IO_OFFSET
#define DIN43_IO_OFFSET -1
#define DIO173_IO_OFFSET -1
#else
#define DIO173_IO_OFFSET DIN43_IO_OFFSET
#ifdef DIN43
#undef DIN43
#endif
#ifdef DIO173
#undef DIO173
#endif
#define DIN43 173
#define DIO173 -173
#define DIN43_IO_BYTEOFFSET (DIN43_IO_OFFSET &gt;&gt; 3)
#define DIN43_IO_BITMASK (1 &lt;&lt; (DIN43_IO_OFFSET &amp; 0x7))
#define DIO173_IO_BYTEOFFSET DIN43_IO_BYTEOFFSET
#define DIO173_IO_BITMASK DIN43_IO_BITMASK
#ifndef IC74HC165_HAS_DINS
#define IC74HC165_HAS_DINS
#endif
#endif</v>
      </c>
      <c r="F172" s="4" t="str">
        <f t="shared" si="12"/>
        <v>#if ASSERT_PIN_IO(DIN43)
#ifdef DISABLE_HAL_CONFIG_PROTECTION
#define io173_config_output mcu_config_output(DIN43)
#define io173_set_output mcu_set_output(DIN43)
#define io173_clear_output mcu_clear_output(DIN43)
#define io173_toggle_output mcu_toggle_output(DIN43)
#define io173_get_output mcu_get_output(DIN43)
#endif
#if !defined(DIN43_PULLUP) &amp;&amp; !defined(FORCE_HAL_IO_DIRECTION_ONREQUEST)
#define io173_config_input mcu_config_input(DIN43)
#else
#define io173_config_input mcu_config_input(DIN43);mcu_config_pullup(DIN43)
#endif
#define io173_config_pullup mcu_config_pullup(DIN43)
#define io173_get_input mcu_get_input(DIN43)
#elif ASSERT_PIN_EXTENDED(DIN43)
#define io173_config_input 
#define io173_config_pullup
#define io173_get_input shift_register_io_pins();ic74hc165_get_pin(DIN43)
#endif</v>
      </c>
    </row>
    <row r="173" spans="1:6" x14ac:dyDescent="0.25">
      <c r="A173" s="4">
        <v>174</v>
      </c>
      <c r="B173" s="4" t="str">
        <f t="shared" si="13"/>
        <v>DIO174</v>
      </c>
      <c r="C173" s="5" t="s">
        <v>557</v>
      </c>
      <c r="D173" s="4" t="s">
        <v>565</v>
      </c>
      <c r="E173" s="4" t="str">
        <f t="shared" si="11"/>
        <v>#ifndef DIN44_IO_OFFSET
#define DIN44_IO_OFFSET -1
#define DIO174_IO_OFFSET -1
#else
#define DIO174_IO_OFFSET DIN44_IO_OFFSET
#ifdef DIN44
#undef DIN44
#endif
#ifdef DIO174
#undef DIO174
#endif
#define DIN44 174
#define DIO174 -174
#define DIN44_IO_BYTEOFFSET (DIN44_IO_OFFSET &gt;&gt; 3)
#define DIN44_IO_BITMASK (1 &lt;&lt; (DIN44_IO_OFFSET &amp; 0x7))
#define DIO174_IO_BYTEOFFSET DIN44_IO_BYTEOFFSET
#define DIO174_IO_BITMASK DIN44_IO_BITMASK
#ifndef IC74HC165_HAS_DINS
#define IC74HC165_HAS_DINS
#endif
#endif</v>
      </c>
      <c r="F173" s="4" t="str">
        <f t="shared" si="12"/>
        <v>#if ASSERT_PIN_IO(DIN44)
#ifdef DISABLE_HAL_CONFIG_PROTECTION
#define io174_config_output mcu_config_output(DIN44)
#define io174_set_output mcu_set_output(DIN44)
#define io174_clear_output mcu_clear_output(DIN44)
#define io174_toggle_output mcu_toggle_output(DIN44)
#define io174_get_output mcu_get_output(DIN44)
#endif
#if !defined(DIN44_PULLUP) &amp;&amp; !defined(FORCE_HAL_IO_DIRECTION_ONREQUEST)
#define io174_config_input mcu_config_input(DIN44)
#else
#define io174_config_input mcu_config_input(DIN44);mcu_config_pullup(DIN44)
#endif
#define io174_config_pullup mcu_config_pullup(DIN44)
#define io174_get_input mcu_get_input(DIN44)
#elif ASSERT_PIN_EXTENDED(DIN44)
#define io174_config_input 
#define io174_config_pullup
#define io174_get_input shift_register_io_pins();ic74hc165_get_pin(DIN44)
#endif</v>
      </c>
    </row>
    <row r="174" spans="1:6" x14ac:dyDescent="0.25">
      <c r="A174" s="4">
        <v>175</v>
      </c>
      <c r="B174" s="4" t="str">
        <f t="shared" si="13"/>
        <v>DIO175</v>
      </c>
      <c r="C174" s="5" t="s">
        <v>558</v>
      </c>
      <c r="D174" s="4" t="s">
        <v>565</v>
      </c>
      <c r="E174" s="4" t="str">
        <f t="shared" si="11"/>
        <v>#ifndef DIN45_IO_OFFSET
#define DIN45_IO_OFFSET -1
#define DIO175_IO_OFFSET -1
#else
#define DIO175_IO_OFFSET DIN45_IO_OFFSET
#ifdef DIN45
#undef DIN45
#endif
#ifdef DIO175
#undef DIO175
#endif
#define DIN45 175
#define DIO175 -175
#define DIN45_IO_BYTEOFFSET (DIN45_IO_OFFSET &gt;&gt; 3)
#define DIN45_IO_BITMASK (1 &lt;&lt; (DIN45_IO_OFFSET &amp; 0x7))
#define DIO175_IO_BYTEOFFSET DIN45_IO_BYTEOFFSET
#define DIO175_IO_BITMASK DIN45_IO_BITMASK
#ifndef IC74HC165_HAS_DINS
#define IC74HC165_HAS_DINS
#endif
#endif</v>
      </c>
      <c r="F174" s="4" t="str">
        <f t="shared" si="12"/>
        <v>#if ASSERT_PIN_IO(DIN45)
#ifdef DISABLE_HAL_CONFIG_PROTECTION
#define io175_config_output mcu_config_output(DIN45)
#define io175_set_output mcu_set_output(DIN45)
#define io175_clear_output mcu_clear_output(DIN45)
#define io175_toggle_output mcu_toggle_output(DIN45)
#define io175_get_output mcu_get_output(DIN45)
#endif
#if !defined(DIN45_PULLUP) &amp;&amp; !defined(FORCE_HAL_IO_DIRECTION_ONREQUEST)
#define io175_config_input mcu_config_input(DIN45)
#else
#define io175_config_input mcu_config_input(DIN45);mcu_config_pullup(DIN45)
#endif
#define io175_config_pullup mcu_config_pullup(DIN45)
#define io175_get_input mcu_get_input(DIN45)
#elif ASSERT_PIN_EXTENDED(DIN45)
#define io175_config_input 
#define io175_config_pullup
#define io175_get_input shift_register_io_pins();ic74hc165_get_pin(DIN45)
#endif</v>
      </c>
    </row>
    <row r="175" spans="1:6" x14ac:dyDescent="0.25">
      <c r="A175" s="4">
        <v>176</v>
      </c>
      <c r="B175" s="4" t="str">
        <f t="shared" si="13"/>
        <v>DIO176</v>
      </c>
      <c r="C175" s="5" t="s">
        <v>559</v>
      </c>
      <c r="D175" s="4" t="s">
        <v>565</v>
      </c>
      <c r="E175" s="4" t="str">
        <f t="shared" si="11"/>
        <v>#ifndef DIN46_IO_OFFSET
#define DIN46_IO_OFFSET -1
#define DIO176_IO_OFFSET -1
#else
#define DIO176_IO_OFFSET DIN46_IO_OFFSET
#ifdef DIN46
#undef DIN46
#endif
#ifdef DIO176
#undef DIO176
#endif
#define DIN46 176
#define DIO176 -176
#define DIN46_IO_BYTEOFFSET (DIN46_IO_OFFSET &gt;&gt; 3)
#define DIN46_IO_BITMASK (1 &lt;&lt; (DIN46_IO_OFFSET &amp; 0x7))
#define DIO176_IO_BYTEOFFSET DIN46_IO_BYTEOFFSET
#define DIO176_IO_BITMASK DIN46_IO_BITMASK
#ifndef IC74HC165_HAS_DINS
#define IC74HC165_HAS_DINS
#endif
#endif</v>
      </c>
      <c r="F175" s="4" t="str">
        <f t="shared" si="12"/>
        <v>#if ASSERT_PIN_IO(DIN46)
#ifdef DISABLE_HAL_CONFIG_PROTECTION
#define io176_config_output mcu_config_output(DIN46)
#define io176_set_output mcu_set_output(DIN46)
#define io176_clear_output mcu_clear_output(DIN46)
#define io176_toggle_output mcu_toggle_output(DIN46)
#define io176_get_output mcu_get_output(DIN46)
#endif
#if !defined(DIN46_PULLUP) &amp;&amp; !defined(FORCE_HAL_IO_DIRECTION_ONREQUEST)
#define io176_config_input mcu_config_input(DIN46)
#else
#define io176_config_input mcu_config_input(DIN46);mcu_config_pullup(DIN46)
#endif
#define io176_config_pullup mcu_config_pullup(DIN46)
#define io176_get_input mcu_get_input(DIN46)
#elif ASSERT_PIN_EXTENDED(DIN46)
#define io176_config_input 
#define io176_config_pullup
#define io176_get_input shift_register_io_pins();ic74hc165_get_pin(DIN46)
#endif</v>
      </c>
    </row>
    <row r="176" spans="1:6" x14ac:dyDescent="0.25">
      <c r="A176" s="4">
        <v>177</v>
      </c>
      <c r="B176" s="4" t="str">
        <f t="shared" si="13"/>
        <v>DIO177</v>
      </c>
      <c r="C176" s="5" t="s">
        <v>560</v>
      </c>
      <c r="D176" s="4" t="s">
        <v>565</v>
      </c>
      <c r="E176" s="4" t="str">
        <f t="shared" si="11"/>
        <v>#ifndef DIN47_IO_OFFSET
#define DIN47_IO_OFFSET -1
#define DIO177_IO_OFFSET -1
#else
#define DIO177_IO_OFFSET DIN47_IO_OFFSET
#ifdef DIN47
#undef DIN47
#endif
#ifdef DIO177
#undef DIO177
#endif
#define DIN47 177
#define DIO177 -177
#define DIN47_IO_BYTEOFFSET (DIN47_IO_OFFSET &gt;&gt; 3)
#define DIN47_IO_BITMASK (1 &lt;&lt; (DIN47_IO_OFFSET &amp; 0x7))
#define DIO177_IO_BYTEOFFSET DIN47_IO_BYTEOFFSET
#define DIO177_IO_BITMASK DIN47_IO_BITMASK
#ifndef IC74HC165_HAS_DINS
#define IC74HC165_HAS_DINS
#endif
#endif</v>
      </c>
      <c r="F176" s="4" t="str">
        <f t="shared" si="12"/>
        <v>#if ASSERT_PIN_IO(DIN47)
#ifdef DISABLE_HAL_CONFIG_PROTECTION
#define io177_config_output mcu_config_output(DIN47)
#define io177_set_output mcu_set_output(DIN47)
#define io177_clear_output mcu_clear_output(DIN47)
#define io177_toggle_output mcu_toggle_output(DIN47)
#define io177_get_output mcu_get_output(DIN47)
#endif
#if !defined(DIN47_PULLUP) &amp;&amp; !defined(FORCE_HAL_IO_DIRECTION_ONREQUEST)
#define io177_config_input mcu_config_input(DIN47)
#else
#define io177_config_input mcu_config_input(DIN47);mcu_config_pullup(DIN47)
#endif
#define io177_config_pullup mcu_config_pullup(DIN47)
#define io177_get_input mcu_get_input(DIN47)
#elif ASSERT_PIN_EXTENDED(DIN47)
#define io177_config_input 
#define io177_config_pullup
#define io177_get_input shift_register_io_pins();ic74hc165_get_pin(DIN47)
#endif</v>
      </c>
    </row>
    <row r="177" spans="1:6" x14ac:dyDescent="0.25">
      <c r="A177" s="4">
        <v>178</v>
      </c>
      <c r="B177" s="4" t="str">
        <f t="shared" si="13"/>
        <v>DIO178</v>
      </c>
      <c r="C177" s="5" t="s">
        <v>561</v>
      </c>
      <c r="D177" s="4" t="s">
        <v>565</v>
      </c>
      <c r="E177" s="4" t="str">
        <f t="shared" si="11"/>
        <v>#ifndef DIN48_IO_OFFSET
#define DIN48_IO_OFFSET -1
#define DIO178_IO_OFFSET -1
#else
#define DIO178_IO_OFFSET DIN48_IO_OFFSET
#ifdef DIN48
#undef DIN48
#endif
#ifdef DIO178
#undef DIO178
#endif
#define DIN48 178
#define DIO178 -178
#define DIN48_IO_BYTEOFFSET (DIN48_IO_OFFSET &gt;&gt; 3)
#define DIN48_IO_BITMASK (1 &lt;&lt; (DIN48_IO_OFFSET &amp; 0x7))
#define DIO178_IO_BYTEOFFSET DIN48_IO_BYTEOFFSET
#define DIO178_IO_BITMASK DIN48_IO_BITMASK
#ifndef IC74HC165_HAS_DINS
#define IC74HC165_HAS_DINS
#endif
#endif</v>
      </c>
      <c r="F177" s="4" t="str">
        <f t="shared" si="12"/>
        <v>#if ASSERT_PIN_IO(DIN48)
#ifdef DISABLE_HAL_CONFIG_PROTECTION
#define io178_config_output mcu_config_output(DIN48)
#define io178_set_output mcu_set_output(DIN48)
#define io178_clear_output mcu_clear_output(DIN48)
#define io178_toggle_output mcu_toggle_output(DIN48)
#define io178_get_output mcu_get_output(DIN48)
#endif
#if !defined(DIN48_PULLUP) &amp;&amp; !defined(FORCE_HAL_IO_DIRECTION_ONREQUEST)
#define io178_config_input mcu_config_input(DIN48)
#else
#define io178_config_input mcu_config_input(DIN48);mcu_config_pullup(DIN48)
#endif
#define io178_config_pullup mcu_config_pullup(DIN48)
#define io178_get_input mcu_get_input(DIN48)
#elif ASSERT_PIN_EXTENDED(DIN48)
#define io178_config_input 
#define io178_config_pullup
#define io178_get_input shift_register_io_pins();ic74hc165_get_pin(DIN48)
#endif</v>
      </c>
    </row>
    <row r="178" spans="1:6" x14ac:dyDescent="0.25">
      <c r="A178" s="4">
        <v>179</v>
      </c>
      <c r="B178" s="4" t="str">
        <f t="shared" si="13"/>
        <v>DIO179</v>
      </c>
      <c r="C178" s="5" t="s">
        <v>562</v>
      </c>
      <c r="D178" s="4" t="s">
        <v>565</v>
      </c>
      <c r="E178" s="4" t="str">
        <f t="shared" si="11"/>
        <v>#ifndef DIN49_IO_OFFSET
#define DIN49_IO_OFFSET -1
#define DIO179_IO_OFFSET -1
#else
#define DIO179_IO_OFFSET DIN49_IO_OFFSET
#ifdef DIN49
#undef DIN49
#endif
#ifdef DIO179
#undef DIO179
#endif
#define DIN49 179
#define DIO179 -179
#define DIN49_IO_BYTEOFFSET (DIN49_IO_OFFSET &gt;&gt; 3)
#define DIN49_IO_BITMASK (1 &lt;&lt; (DIN49_IO_OFFSET &amp; 0x7))
#define DIO179_IO_BYTEOFFSET DIN49_IO_BYTEOFFSET
#define DIO179_IO_BITMASK DIN49_IO_BITMASK
#ifndef IC74HC165_HAS_DINS
#define IC74HC165_HAS_DINS
#endif
#endif</v>
      </c>
      <c r="F178" s="4" t="str">
        <f t="shared" si="12"/>
        <v>#if ASSERT_PIN_IO(DIN49)
#ifdef DISABLE_HAL_CONFIG_PROTECTION
#define io179_config_output mcu_config_output(DIN49)
#define io179_set_output mcu_set_output(DIN49)
#define io179_clear_output mcu_clear_output(DIN49)
#define io179_toggle_output mcu_toggle_output(DIN49)
#define io179_get_output mcu_get_output(DIN49)
#endif
#if !defined(DIN49_PULLUP) &amp;&amp; !defined(FORCE_HAL_IO_DIRECTION_ONREQUEST)
#define io179_config_input mcu_config_input(DIN49)
#else
#define io179_config_input mcu_config_input(DIN49);mcu_config_pullup(DIN49)
#endif
#define io179_config_pullup mcu_config_pullup(DIN49)
#define io179_get_input mcu_get_input(DIN49)
#elif ASSERT_PIN_EXTENDED(DIN49)
#define io179_config_input 
#define io179_config_pullup
#define io179_get_input shift_register_io_pins();ic74hc165_get_pin(DIN49)
#endif</v>
      </c>
    </row>
    <row r="179" spans="1:6" x14ac:dyDescent="0.25">
      <c r="A179" s="4">
        <v>207</v>
      </c>
      <c r="B179" s="4" t="str">
        <f t="shared" si="13"/>
        <v>DIO207</v>
      </c>
      <c r="C179" s="4" t="s">
        <v>459</v>
      </c>
      <c r="F179" s="4" t="str">
        <f t="shared" ref="F179:F180" si="14">"#if ASSERT_PIN_IO("&amp;C179&amp;")
#define io"&amp;A179&amp;"_config_output mcu_config_output("&amp;C179&amp;")
#define io"&amp;A179&amp;"_set_output mcu_set_output("&amp;C179&amp;")
#define io"&amp;A179&amp;"_clear_output mcu_clear_output("&amp;C179&amp;")
#define io"&amp;A179&amp;"_toggle_output mcu_toggle_output("&amp;C179&amp;")
#define io"&amp;A179&amp;"_get_output mcu_get_output("&amp;C179&amp;")
#define io"&amp;A179&amp;"_config_input mcu_config_input("&amp;C179&amp;")
#define io"&amp;A179&amp;"_config_pullup mcu_config_pullup("&amp;C179&amp;")
#define io"&amp;A179&amp;"_get_input mcu_get_input("&amp;C179&amp;")
#elif ASSERT_PIN_EXTENDED("&amp;C179&amp;")
#define io"&amp;A179&amp;"_config_output
#define io"&amp;A179&amp;"_set_output ic74hc595_set_pin("&amp;C179&amp;");shift_register_io_pins()
#define io"&amp;A179&amp;"_clear_output ic74hc595_clear_pin("&amp;C179&amp;");shift_register_io_pins()
#define io"&amp;A179&amp;"_toggle_output ic74hc595_toggle_pin("&amp;C179&amp;");shift_register_io_pins()
#define io"&amp;A179&amp;"_get_output ic74hc595_get_pin("&amp;C179&amp;")
#endif"</f>
        <v>#if ASSERT_PIN_IO(SPI_CS)
#define io207_config_output mcu_config_output(SPI_CS)
#define io207_set_output mcu_set_output(SPI_CS)
#define io207_clear_output mcu_clear_output(SPI_CS)
#define io207_toggle_output mcu_toggle_output(SPI_CS)
#define io207_get_output mcu_get_output(SPI_CS)
#define io207_config_input mcu_config_input(SPI_CS)
#define io207_config_pullup mcu_config_pullup(SPI_CS)
#define io207_get_input mcu_get_input(SPI_CS)
#elif ASSERT_PIN_EXTENDED(SPI_CS)
#define io207_config_output
#define io207_set_output ic74hc595_set_pin(SPI_CS);shift_register_io_pins()
#define io207_clear_output ic74hc595_clear_pin(SPI_CS);shift_register_io_pins()
#define io207_toggle_output ic74hc595_toggle_pin(SPI_CS);shift_register_io_pins()
#define io207_get_output ic74hc595_get_pin(SPI_CS)
#endif</v>
      </c>
    </row>
    <row r="180" spans="1:6" x14ac:dyDescent="0.25">
      <c r="A180" s="4">
        <v>215</v>
      </c>
      <c r="B180" s="4" t="s">
        <v>525</v>
      </c>
      <c r="C180" s="29" t="s">
        <v>526</v>
      </c>
      <c r="F180" s="4" t="str">
        <f t="shared" si="14"/>
        <v>#if ASSERT_PIN_IO(SPI2_CS)
#define io215_config_output mcu_config_output(SPI2_CS)
#define io215_set_output mcu_set_output(SPI2_CS)
#define io215_clear_output mcu_clear_output(SPI2_CS)
#define io215_toggle_output mcu_toggle_output(SPI2_CS)
#define io215_get_output mcu_get_output(SPI2_CS)
#define io215_config_input mcu_config_input(SPI2_CS)
#define io215_config_pullup mcu_config_pullup(SPI2_CS)
#define io215_get_input mcu_get_input(SPI2_CS)
#elif ASSERT_PIN_EXTENDED(SPI2_CS)
#define io215_config_output
#define io215_set_output ic74hc595_set_pin(SPI2_CS);shift_register_io_pins()
#define io215_clear_output ic74hc595_clear_pin(SPI2_CS);shift_register_io_pins()
#define io215_toggle_output ic74hc595_toggle_pin(SPI2_CS);shift_register_io_pins()
#define io215_get_output ic74hc595_get_pin(SPI2_CS)
#endif</v>
      </c>
    </row>
  </sheetData>
  <mergeCells count="1">
    <mergeCell ref="A1:C1"/>
  </mergeCells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894A-7458-403D-905E-4787928F89E3}">
  <dimension ref="A1:F9"/>
  <sheetViews>
    <sheetView workbookViewId="0">
      <selection activeCell="I7" sqref="I7"/>
    </sheetView>
  </sheetViews>
  <sheetFormatPr defaultRowHeight="15" customHeight="1" x14ac:dyDescent="0.25"/>
  <sheetData>
    <row r="1" spans="1:6" ht="15" customHeight="1" x14ac:dyDescent="0.25">
      <c r="A1" t="s">
        <v>474</v>
      </c>
      <c r="B1" t="s">
        <v>475</v>
      </c>
      <c r="C1" t="s">
        <v>476</v>
      </c>
      <c r="D1" t="s">
        <v>477</v>
      </c>
    </row>
    <row r="2" spans="1:6" ht="15" customHeight="1" x14ac:dyDescent="0.25">
      <c r="A2">
        <v>0</v>
      </c>
      <c r="B2">
        <v>20</v>
      </c>
      <c r="C2">
        <v>20</v>
      </c>
      <c r="D2">
        <v>20</v>
      </c>
      <c r="E2" t="str">
        <f>"#ifdef STEPPER"&amp; A2 &amp;"_HAS_TMC
#ifndef STEPPER"&amp; A2 &amp;"_DRIVER_TYPE
#define STEPPER"&amp; A2 &amp;"_DRIVER_TYPE 2208
#endif
// choose the interface type
#ifndef STEPPER"&amp; A2 &amp;"_TMC_INTERFACE
#define STEPPER"&amp; A2 &amp;"_TMC_INTERFACE TMC_UART
#endif
#if (STEPPER"&amp; A2 &amp;"_TMC_INTERFACE == TMC_UART || STEPPER"&amp; A2 &amp;"_TMC_INTERFACE == TMC_ONEWIRE)
// if driver uses uart set pins
#ifndef STEPPER"&amp; A2 &amp;"_UART_TX
#define STEPPER"&amp; A2 &amp;"_UART_TX DOUT"&amp; B2 &amp;"
#endif
#ifndef STEPPER"&amp; A2 &amp;"_UART_RX
#define STEPPER"&amp; A2 &amp;"_UART_RX DIN"&amp; C2 &amp;"
#endif
#elif (STEPPER"&amp; A2 &amp;"_TMC_INTERFACE == TMC_SPI)
#ifndef STEPPER"&amp; A2 &amp;"_SPI_SDO
#define STEPPER"&amp; A2 &amp;"_SPI_SDO DOUT29
#endif
#ifndef STEPPER"&amp; A2 &amp;"_SPI_SDI
#define STEPPER"&amp; A2 &amp;"_SPI_SDI DIN29
#endif
#ifndef STEPPER"&amp; A2 &amp;"_SPI_CLK
#define STEPPER"&amp; A2 &amp;"_SPI_CLK DOUT30
#endif
#ifndef STEPPER"&amp; A2 &amp;"_SPI_CS
#define STEPPER"&amp; A2 &amp;"_SPI_CS DOUT2"&amp; D2 &amp;"
#endif 
#endif
// basic parameters
#ifndef STEPPER"&amp; A2 &amp;"_CURRENT_MA
#define STEPPER"&amp; A2 &amp;"_CURRENT_MA 800
#endif
#ifndef STEPPER"&amp; A2 &amp;"_MICROSTEP
#define STEPPER"&amp; A2 &amp;"_MICROSTEP 16
#endif
#ifndef STEPPER"&amp; A2 &amp;"_RSENSE
#define STEPPER"&amp; A2 &amp;"_RSENSE 0.11
#endif
#ifndef STEPPER"&amp; A2 &amp;"_HOLD_MULT
#define STEPPER"&amp; A2 &amp;"_HOLD_MULT 0.7
#endif
#ifndef STEPPER"&amp; A2 &amp;"_STEALTHCHOP_THERSHOLD
#define STEPPER"&amp; A2 &amp;"_STEALTHCHOP_THERSHOLD 0
#endif
#ifndef STEPPER"&amp; A2 &amp;"_ENABLE_INTERPLATION
#define STEPPER"&amp; A2 &amp;"_ENABLE_INTERPLATION true
#endif
#ifndef STEPPER"&amp; A2 &amp;"_STALL_SENSITIVITY
// this value must be set between 0 and 255 for TMC2209
// if driver does not support stallGuard this will be ignored
#define STEPPER"&amp; A2 &amp;"_STALL_SENSITIVITY 10
#endif
#ifndef STEPPER"&amp; A2 &amp;"_UART_ADDRESS
#define STEPPER"&amp; A2 &amp;"_UART_ADDRESS 0
#endif
#endif"</f>
        <v>#ifdef STEPPER0_HAS_TMC
#ifndef STEPPER0_DRIVER_TYPE
#define STEPPER0_DRIVER_TYPE 2208
#endif
// choose the interface type
#ifndef STEPPER0_TMC_INTERFACE
#define STEPPER0_TMC_INTERFACE TMC_UART
#endif
#if (STEPPER0_TMC_INTERFACE == TMC_UART || STEPPER0_TMC_INTERFACE == TMC_ONEWIRE)
// if driver uses uart set pins
#ifndef STEPPER0_UART_TX
#define STEPPER0_UART_TX DOUT20
#endif
#ifndef STEPPER0_UART_RX
#define STEPPER0_UART_RX DIN20
#endif
#elif (STEPPER0_TMC_INTERFACE == TMC_SPI)
#ifndef STEPPER0_SPI_SDO
#define STEPPER0_SPI_SDO DOUT29
#endif
#ifndef STEPPER0_SPI_SDI
#define STEPPER0_SPI_SDI DIN29
#endif
#ifndef STEPPER0_SPI_CLK
#define STEPPER0_SPI_CLK DOUT30
#endif
#ifndef STEPPER0_SPI_CS
#define STEPPER0_SPI_CS DOUT220
#endif 
#endif
// basic parameters
#ifndef STEPPER0_CURRENT_MA
#define STEPPER0_CURRENT_MA 800
#endif
#ifndef STEPPER0_MICROSTEP
#define STEPPER0_MICROSTEP 16
#endif
#ifndef STEPPER0_RSENSE
#define STEPPER0_RSENSE 0.11
#endif
#ifndef STEPPER0_HOLD_MULT
#define STEPPER0_HOLD_MULT 0.7
#endif
#ifndef STEPPER0_STEALTHCHOP_THERSHOLD
#define STEPPER0_STEALTHCHOP_THERSHOLD 0
#endif
#ifndef STEPPER0_ENABLE_INTERPLATION
#define STEPPER0_ENABLE_INTERPLATION true
#endif
#ifndef STEPPER0_STALL_SENSITIVITY
// this value must be set between 0 and 255 for TMC2209
// if driver does not support stallGuard this will be ignored
#define STEPPER0_STALL_SENSITIVITY 10
#endif
#ifndef STEPPER0_UART_ADDRESS
#define STEPPER0_UART_ADDRESS 0
#endif
#endif</v>
      </c>
      <c r="F2" s="35" t="str">
        <f>"#ifdef STEPPER"&amp;A2&amp;"_HAS_TMC
#if (STEPPER"&amp;A2&amp;"_TMC_INTERFACE == TMC_UART)
// if driver uses uart set pins
#if (!ASSERT_PIN(STEPPER"&amp;A2&amp;"_UART_TX) || !ASSERT_PIN(STEPPER"&amp;A2&amp;"_UART_RX))
#undef STEPPER"&amp;A2&amp;"_HAS_TMC
#error ""Stepper "&amp;A2&amp;" undefined UART pins""
#endif
#elif (STEPPER"&amp;A2&amp;"_TMC_INTERFACE == TMC_ONEWIRE)
// if driver uses uart set pins
#if (!ASSERT_PIN(STEPPER"&amp;A2&amp;"_UART_RX))
#undef STEPPER"&amp;A2&amp;"_HAS_TMC
#error ""Stepper "&amp;A2&amp;" undefined UART pins""
#endif
#elif (STEPPER"&amp;A2&amp;"_TMC_INTERFACE == TMC_SPI)
#if (!ASSERT_PIN(STEPPER"&amp;A2&amp;"_SPI_SDO) || !ASSERT_PIN(STEPPER"&amp;A2&amp;"_SPI_SDI) || !ASSERT_PIN(STEPPER"&amp;A2&amp;"_SPI_CLK) || !ASSERT_PIN(STEPPER"&amp;A2&amp;"_SPI_CS))
#undef STEPPER"&amp;A2&amp;"_HAS_TMC
#error ""Stepper "&amp;A2&amp;" undefined SPI pins""
#endif
#endif
#if ASSERT_PIN(STEPPER"&amp;A2&amp;"_UART_CS)
#define stepper"&amp;A2&amp;"_select() io_set_output(STEPPER"&amp;A2&amp;"_UART_CS)
#define stepper"&amp;A2&amp;"_deselect() io_clear_output(STEPPER"&amp;A2&amp;"_UART_CS)
#else
#define stepper"&amp;A2&amp;"_select()
#define stepper"&amp;A2&amp;"_deselect()
#endif
#endif"</f>
        <v>#ifdef STEPPER0_HAS_TMC
#if (STEPPER0_TMC_INTERFACE == TMC_UART)
// if driver uses uart set pins
#if (!ASSERT_PIN(STEPPER0_UART_TX) || !ASSERT_PIN(STEPPER0_UART_RX))
#undef STEPPER0_HAS_TMC
#error "Stepper 0 undefined UART pins"
#endif
#elif (STEPPER0_TMC_INTERFACE == TMC_ONEWIRE)
// if driver uses uart set pins
#if (!ASSERT_PIN(STEPPER0_UART_RX))
#undef STEPPER0_HAS_TMC
#error "Stepper 0 undefined UART pins"
#endif
#elif (STEPPER0_TMC_INTERFACE == TMC_SPI)
#if (!ASSERT_PIN(STEPPER0_SPI_SDO) || !ASSERT_PIN(STEPPER0_SPI_SDI) || !ASSERT_PIN(STEPPER0_SPI_CLK) || !ASSERT_PIN(STEPPER0_SPI_CS))
#undef STEPPER0_HAS_TMC
#error "Stepper 0 undefined SPI pins"
#endif
#endif
#if ASSERT_PIN(STEPPER0_UART_CS)
#define stepper0_select() io_set_output(STEPPER0_UART_CS)
#define stepper0_deselect() io_clear_output(STEPPER0_UART_CS)
#else
#define stepper0_select()
#define stepper0_deselect()
#endif
#endif</v>
      </c>
    </row>
    <row r="3" spans="1:6" ht="15" customHeight="1" x14ac:dyDescent="0.25">
      <c r="A3">
        <v>1</v>
      </c>
      <c r="B3">
        <v>21</v>
      </c>
      <c r="C3">
        <v>21</v>
      </c>
      <c r="D3">
        <v>21</v>
      </c>
      <c r="E3" t="str">
        <f t="shared" ref="E3:E9" si="0">"#ifdef STEPPER"&amp; A3 &amp;"_HAS_TMC
#ifndef STEPPER"&amp; A3 &amp;"_DRIVER_TYPE
#define STEPPER"&amp; A3 &amp;"_DRIVER_TYPE 2208
#endif
// choose the interface type
#ifndef STEPPER"&amp; A3 &amp;"_TMC_INTERFACE
#define STEPPER"&amp; A3 &amp;"_TMC_INTERFACE TMC_UART
#endif
#if (STEPPER"&amp; A3 &amp;"_TMC_INTERFACE == TMC_UART || STEPPER"&amp; A3 &amp;"_TMC_INTERFACE == TMC_ONEWIRE)
// if driver uses uart set pins
#ifndef STEPPER"&amp; A3 &amp;"_UART_TX
#define STEPPER"&amp; A3 &amp;"_UART_TX DOUT"&amp; B3 &amp;"
#endif
#ifndef STEPPER"&amp; A3 &amp;"_UART_RX
#define STEPPER"&amp; A3 &amp;"_UART_RX DIN"&amp; C3 &amp;"
#endif
#elif (STEPPER"&amp; A3 &amp;"_TMC_INTERFACE == TMC_SPI)
#ifndef STEPPER"&amp; A3 &amp;"_SPI_SDO
#define STEPPER"&amp; A3 &amp;"_SPI_SDO DOUT29
#endif
#ifndef STEPPER"&amp; A3 &amp;"_SPI_SDI
#define STEPPER"&amp; A3 &amp;"_SPI_SDI DIN29
#endif
#ifndef STEPPER"&amp; A3 &amp;"_SPI_CLK
#define STEPPER"&amp; A3 &amp;"_SPI_CLK DOUT30
#endif
#ifndef STEPPER"&amp; A3 &amp;"_SPI_CS
#define STEPPER"&amp; A3 &amp;"_SPI_CS DOUT2"&amp; D3 &amp;"
#endif 
#endif
// basic parameters
#ifndef STEPPER"&amp; A3 &amp;"_CURRENT_MA
#define STEPPER"&amp; A3 &amp;"_CURRENT_MA 800
#endif
#ifndef STEPPER"&amp; A3 &amp;"_MICROSTEP
#define STEPPER"&amp; A3 &amp;"_MICROSTEP 16
#endif
#ifndef STEPPER"&amp; A3 &amp;"_RSENSE
#define STEPPER"&amp; A3 &amp;"_RSENSE 0.11
#endif
#ifndef STEPPER"&amp; A3 &amp;"_HOLD_MULT
#define STEPPER"&amp; A3 &amp;"_HOLD_MULT 0.7
#endif
#ifndef STEPPER"&amp; A3 &amp;"_STEALTHCHOP_THERSHOLD
#define STEPPER"&amp; A3 &amp;"_STEALTHCHOP_THERSHOLD 0
#endif
#ifndef STEPPER"&amp; A3 &amp;"_ENABLE_INTERPLATION
#define STEPPER"&amp; A3 &amp;"_ENABLE_INTERPLATION true
#endif
#ifndef STEPPER"&amp; A3 &amp;"_STALL_SENSITIVITY
// this value must be set between 0 and 255 for TMC2209
// if driver does not support stallGuard this will be ignored
#define STEPPER"&amp; A3 &amp;"_STALL_SENSITIVITY 10
#endif
#ifndef STEPPER"&amp; A3 &amp;"_UART_ADDRESS
#define STEPPER"&amp; A3 &amp;"_UART_ADDRESS 0
#endif
#endif"</f>
        <v>#ifdef STEPPER1_HAS_TMC
#ifndef STEPPER1_DRIVER_TYPE
#define STEPPER1_DRIVER_TYPE 2208
#endif
// choose the interface type
#ifndef STEPPER1_TMC_INTERFACE
#define STEPPER1_TMC_INTERFACE TMC_UART
#endif
#if (STEPPER1_TMC_INTERFACE == TMC_UART || STEPPER1_TMC_INTERFACE == TMC_ONEWIRE)
// if driver uses uart set pins
#ifndef STEPPER1_UART_TX
#define STEPPER1_UART_TX DOUT21
#endif
#ifndef STEPPER1_UART_RX
#define STEPPER1_UART_RX DIN21
#endif
#elif (STEPPER1_TMC_INTERFACE == TMC_SPI)
#ifndef STEPPER1_SPI_SDO
#define STEPPER1_SPI_SDO DOUT29
#endif
#ifndef STEPPER1_SPI_SDI
#define STEPPER1_SPI_SDI DIN29
#endif
#ifndef STEPPER1_SPI_CLK
#define STEPPER1_SPI_CLK DOUT30
#endif
#ifndef STEPPER1_SPI_CS
#define STEPPER1_SPI_CS DOUT221
#endif 
#endif
// basic parameters
#ifndef STEPPER1_CURRENT_MA
#define STEPPER1_CURRENT_MA 800
#endif
#ifndef STEPPER1_MICROSTEP
#define STEPPER1_MICROSTEP 16
#endif
#ifndef STEPPER1_RSENSE
#define STEPPER1_RSENSE 0.11
#endif
#ifndef STEPPER1_HOLD_MULT
#define STEPPER1_HOLD_MULT 0.7
#endif
#ifndef STEPPER1_STEALTHCHOP_THERSHOLD
#define STEPPER1_STEALTHCHOP_THERSHOLD 0
#endif
#ifndef STEPPER1_ENABLE_INTERPLATION
#define STEPPER1_ENABLE_INTERPLATION true
#endif
#ifndef STEPPER1_STALL_SENSITIVITY
// this value must be set between 0 and 255 for TMC2209
// if driver does not support stallGuard this will be ignored
#define STEPPER1_STALL_SENSITIVITY 10
#endif
#ifndef STEPPER1_UART_ADDRESS
#define STEPPER1_UART_ADDRESS 0
#endif
#endif</v>
      </c>
      <c r="F3" s="35" t="str">
        <f t="shared" ref="F3:F9" si="1">"#ifdef STEPPER"&amp;A3&amp;"_HAS_TMC
#if (STEPPER"&amp;A3&amp;"_TMC_INTERFACE == TMC_UART)
// if driver uses uart set pins
#if (!ASSERT_PIN(STEPPER"&amp;A3&amp;"_UART_TX) || !ASSERT_PIN(STEPPER"&amp;A3&amp;"_UART_RX))
#undef STEPPER"&amp;A3&amp;"_HAS_TMC
#error ""Stepper "&amp;A3&amp;" undefined UART pins""
#endif
#elif (STEPPER"&amp;A3&amp;"_TMC_INTERFACE == TMC_ONEWIRE)
// if driver uses uart set pins
#if (!ASSERT_PIN(STEPPER"&amp;A3&amp;"_UART_RX))
#undef STEPPER"&amp;A3&amp;"_HAS_TMC
#error ""Stepper "&amp;A3&amp;" undefined UART pins""
#endif
#elif (STEPPER"&amp;A3&amp;"_TMC_INTERFACE == TMC_SPI)
#if (!ASSERT_PIN(STEPPER"&amp;A3&amp;"_SPI_SDO) || !ASSERT_PIN(STEPPER"&amp;A3&amp;"_SPI_SDI) || !ASSERT_PIN(STEPPER"&amp;A3&amp;"_SPI_CLK) || !ASSERT_PIN(STEPPER"&amp;A3&amp;"_SPI_CS))
#undef STEPPER"&amp;A3&amp;"_HAS_TMC
#error ""Stepper "&amp;A3&amp;" undefined SPI pins""
#endif
#endif
#if ASSERT_PIN(STEPPER"&amp;A3&amp;"_UART_CS)
#define stepper"&amp;A3&amp;"_select() io_set_output(STEPPER"&amp;A3&amp;"_UART_CS)
#define stepper"&amp;A3&amp;"_deselect() io_clear_output(STEPPER"&amp;A3&amp;"_UART_CS)
#else
#define stepper"&amp;A3&amp;"_select()
#define stepper"&amp;A3&amp;"_deselect()
#endif
#endif"</f>
        <v>#ifdef STEPPER1_HAS_TMC
#if (STEPPER1_TMC_INTERFACE == TMC_UART)
// if driver uses uart set pins
#if (!ASSERT_PIN(STEPPER1_UART_TX) || !ASSERT_PIN(STEPPER1_UART_RX))
#undef STEPPER1_HAS_TMC
#error "Stepper 1 undefined UART pins"
#endif
#elif (STEPPER1_TMC_INTERFACE == TMC_ONEWIRE)
// if driver uses uart set pins
#if (!ASSERT_PIN(STEPPER1_UART_RX))
#undef STEPPER1_HAS_TMC
#error "Stepper 1 undefined UART pins"
#endif
#elif (STEPPER1_TMC_INTERFACE == TMC_SPI)
#if (!ASSERT_PIN(STEPPER1_SPI_SDO) || !ASSERT_PIN(STEPPER1_SPI_SDI) || !ASSERT_PIN(STEPPER1_SPI_CLK) || !ASSERT_PIN(STEPPER1_SPI_CS))
#undef STEPPER1_HAS_TMC
#error "Stepper 1 undefined SPI pins"
#endif
#endif
#if ASSERT_PIN(STEPPER1_UART_CS)
#define stepper1_select() io_set_output(STEPPER1_UART_CS)
#define stepper1_deselect() io_clear_output(STEPPER1_UART_CS)
#else
#define stepper1_select()
#define stepper1_deselect()
#endif
#endif</v>
      </c>
    </row>
    <row r="4" spans="1:6" ht="15" customHeight="1" x14ac:dyDescent="0.25">
      <c r="A4">
        <v>2</v>
      </c>
      <c r="B4">
        <v>22</v>
      </c>
      <c r="C4">
        <v>22</v>
      </c>
      <c r="D4">
        <v>22</v>
      </c>
      <c r="E4" t="str">
        <f t="shared" si="0"/>
        <v>#ifdef STEPPER2_HAS_TMC
#ifndef STEPPER2_DRIVER_TYPE
#define STEPPER2_DRIVER_TYPE 2208
#endif
// choose the interface type
#ifndef STEPPER2_TMC_INTERFACE
#define STEPPER2_TMC_INTERFACE TMC_UART
#endif
#if (STEPPER2_TMC_INTERFACE == TMC_UART || STEPPER2_TMC_INTERFACE == TMC_ONEWIRE)
// if driver uses uart set pins
#ifndef STEPPER2_UART_TX
#define STEPPER2_UART_TX DOUT22
#endif
#ifndef STEPPER2_UART_RX
#define STEPPER2_UART_RX DIN22
#endif
#elif (STEPPER2_TMC_INTERFACE == TMC_SPI)
#ifndef STEPPER2_SPI_SDO
#define STEPPER2_SPI_SDO DOUT29
#endif
#ifndef STEPPER2_SPI_SDI
#define STEPPER2_SPI_SDI DIN29
#endif
#ifndef STEPPER2_SPI_CLK
#define STEPPER2_SPI_CLK DOUT30
#endif
#ifndef STEPPER2_SPI_CS
#define STEPPER2_SPI_CS DOUT222
#endif 
#endif
// basic parameters
#ifndef STEPPER2_CURRENT_MA
#define STEPPER2_CURRENT_MA 800
#endif
#ifndef STEPPER2_MICROSTEP
#define STEPPER2_MICROSTEP 16
#endif
#ifndef STEPPER2_RSENSE
#define STEPPER2_RSENSE 0.11
#endif
#ifndef STEPPER2_HOLD_MULT
#define STEPPER2_HOLD_MULT 0.7
#endif
#ifndef STEPPER2_STEALTHCHOP_THERSHOLD
#define STEPPER2_STEALTHCHOP_THERSHOLD 0
#endif
#ifndef STEPPER2_ENABLE_INTERPLATION
#define STEPPER2_ENABLE_INTERPLATION true
#endif
#ifndef STEPPER2_STALL_SENSITIVITY
// this value must be set between 0 and 255 for TMC2209
// if driver does not support stallGuard this will be ignored
#define STEPPER2_STALL_SENSITIVITY 10
#endif
#ifndef STEPPER2_UART_ADDRESS
#define STEPPER2_UART_ADDRESS 0
#endif
#endif</v>
      </c>
      <c r="F4" s="35" t="str">
        <f t="shared" si="1"/>
        <v>#ifdef STEPPER2_HAS_TMC
#if (STEPPER2_TMC_INTERFACE == TMC_UART)
// if driver uses uart set pins
#if (!ASSERT_PIN(STEPPER2_UART_TX) || !ASSERT_PIN(STEPPER2_UART_RX))
#undef STEPPER2_HAS_TMC
#error "Stepper 2 undefined UART pins"
#endif
#elif (STEPPER2_TMC_INTERFACE == TMC_ONEWIRE)
// if driver uses uart set pins
#if (!ASSERT_PIN(STEPPER2_UART_RX))
#undef STEPPER2_HAS_TMC
#error "Stepper 2 undefined UART pins"
#endif
#elif (STEPPER2_TMC_INTERFACE == TMC_SPI)
#if (!ASSERT_PIN(STEPPER2_SPI_SDO) || !ASSERT_PIN(STEPPER2_SPI_SDI) || !ASSERT_PIN(STEPPER2_SPI_CLK) || !ASSERT_PIN(STEPPER2_SPI_CS))
#undef STEPPER2_HAS_TMC
#error "Stepper 2 undefined SPI pins"
#endif
#endif
#if ASSERT_PIN(STEPPER2_UART_CS)
#define stepper2_select() io_set_output(STEPPER2_UART_CS)
#define stepper2_deselect() io_clear_output(STEPPER2_UART_CS)
#else
#define stepper2_select()
#define stepper2_deselect()
#endif
#endif</v>
      </c>
    </row>
    <row r="5" spans="1:6" ht="15" customHeight="1" x14ac:dyDescent="0.25">
      <c r="A5">
        <v>3</v>
      </c>
      <c r="B5">
        <v>23</v>
      </c>
      <c r="C5">
        <v>23</v>
      </c>
      <c r="D5">
        <v>23</v>
      </c>
      <c r="E5" t="str">
        <f t="shared" si="0"/>
        <v>#ifdef STEPPER3_HAS_TMC
#ifndef STEPPER3_DRIVER_TYPE
#define STEPPER3_DRIVER_TYPE 2208
#endif
// choose the interface type
#ifndef STEPPER3_TMC_INTERFACE
#define STEPPER3_TMC_INTERFACE TMC_UART
#endif
#if (STEPPER3_TMC_INTERFACE == TMC_UART || STEPPER3_TMC_INTERFACE == TMC_ONEWIRE)
// if driver uses uart set pins
#ifndef STEPPER3_UART_TX
#define STEPPER3_UART_TX DOUT23
#endif
#ifndef STEPPER3_UART_RX
#define STEPPER3_UART_RX DIN23
#endif
#elif (STEPPER3_TMC_INTERFACE == TMC_SPI)
#ifndef STEPPER3_SPI_SDO
#define STEPPER3_SPI_SDO DOUT29
#endif
#ifndef STEPPER3_SPI_SDI
#define STEPPER3_SPI_SDI DIN29
#endif
#ifndef STEPPER3_SPI_CLK
#define STEPPER3_SPI_CLK DOUT30
#endif
#ifndef STEPPER3_SPI_CS
#define STEPPER3_SPI_CS DOUT223
#endif 
#endif
// basic parameters
#ifndef STEPPER3_CURRENT_MA
#define STEPPER3_CURRENT_MA 800
#endif
#ifndef STEPPER3_MICROSTEP
#define STEPPER3_MICROSTEP 16
#endif
#ifndef STEPPER3_RSENSE
#define STEPPER3_RSENSE 0.11
#endif
#ifndef STEPPER3_HOLD_MULT
#define STEPPER3_HOLD_MULT 0.7
#endif
#ifndef STEPPER3_STEALTHCHOP_THERSHOLD
#define STEPPER3_STEALTHCHOP_THERSHOLD 0
#endif
#ifndef STEPPER3_ENABLE_INTERPLATION
#define STEPPER3_ENABLE_INTERPLATION true
#endif
#ifndef STEPPER3_STALL_SENSITIVITY
// this value must be set between 0 and 255 for TMC2209
// if driver does not support stallGuard this will be ignored
#define STEPPER3_STALL_SENSITIVITY 10
#endif
#ifndef STEPPER3_UART_ADDRESS
#define STEPPER3_UART_ADDRESS 0
#endif
#endif</v>
      </c>
      <c r="F5" s="35" t="str">
        <f t="shared" si="1"/>
        <v>#ifdef STEPPER3_HAS_TMC
#if (STEPPER3_TMC_INTERFACE == TMC_UART)
// if driver uses uart set pins
#if (!ASSERT_PIN(STEPPER3_UART_TX) || !ASSERT_PIN(STEPPER3_UART_RX))
#undef STEPPER3_HAS_TMC
#error "Stepper 3 undefined UART pins"
#endif
#elif (STEPPER3_TMC_INTERFACE == TMC_ONEWIRE)
// if driver uses uart set pins
#if (!ASSERT_PIN(STEPPER3_UART_RX))
#undef STEPPER3_HAS_TMC
#error "Stepper 3 undefined UART pins"
#endif
#elif (STEPPER3_TMC_INTERFACE == TMC_SPI)
#if (!ASSERT_PIN(STEPPER3_SPI_SDO) || !ASSERT_PIN(STEPPER3_SPI_SDI) || !ASSERT_PIN(STEPPER3_SPI_CLK) || !ASSERT_PIN(STEPPER3_SPI_CS))
#undef STEPPER3_HAS_TMC
#error "Stepper 3 undefined SPI pins"
#endif
#endif
#if ASSERT_PIN(STEPPER3_UART_CS)
#define stepper3_select() io_set_output(STEPPER3_UART_CS)
#define stepper3_deselect() io_clear_output(STEPPER3_UART_CS)
#else
#define stepper3_select()
#define stepper3_deselect()
#endif
#endif</v>
      </c>
    </row>
    <row r="6" spans="1:6" ht="15" customHeight="1" x14ac:dyDescent="0.25">
      <c r="A6">
        <v>4</v>
      </c>
      <c r="B6">
        <v>24</v>
      </c>
      <c r="C6">
        <v>24</v>
      </c>
      <c r="D6">
        <v>24</v>
      </c>
      <c r="E6" t="str">
        <f t="shared" si="0"/>
        <v>#ifdef STEPPER4_HAS_TMC
#ifndef STEPPER4_DRIVER_TYPE
#define STEPPER4_DRIVER_TYPE 2208
#endif
// choose the interface type
#ifndef STEPPER4_TMC_INTERFACE
#define STEPPER4_TMC_INTERFACE TMC_UART
#endif
#if (STEPPER4_TMC_INTERFACE == TMC_UART || STEPPER4_TMC_INTERFACE == TMC_ONEWIRE)
// if driver uses uart set pins
#ifndef STEPPER4_UART_TX
#define STEPPER4_UART_TX DOUT24
#endif
#ifndef STEPPER4_UART_RX
#define STEPPER4_UART_RX DIN24
#endif
#elif (STEPPER4_TMC_INTERFACE == TMC_SPI)
#ifndef STEPPER4_SPI_SDO
#define STEPPER4_SPI_SDO DOUT29
#endif
#ifndef STEPPER4_SPI_SDI
#define STEPPER4_SPI_SDI DIN29
#endif
#ifndef STEPPER4_SPI_CLK
#define STEPPER4_SPI_CLK DOUT30
#endif
#ifndef STEPPER4_SPI_CS
#define STEPPER4_SPI_CS DOUT224
#endif 
#endif
// basic parameters
#ifndef STEPPER4_CURRENT_MA
#define STEPPER4_CURRENT_MA 800
#endif
#ifndef STEPPER4_MICROSTEP
#define STEPPER4_MICROSTEP 16
#endif
#ifndef STEPPER4_RSENSE
#define STEPPER4_RSENSE 0.11
#endif
#ifndef STEPPER4_HOLD_MULT
#define STEPPER4_HOLD_MULT 0.7
#endif
#ifndef STEPPER4_STEALTHCHOP_THERSHOLD
#define STEPPER4_STEALTHCHOP_THERSHOLD 0
#endif
#ifndef STEPPER4_ENABLE_INTERPLATION
#define STEPPER4_ENABLE_INTERPLATION true
#endif
#ifndef STEPPER4_STALL_SENSITIVITY
// this value must be set between 0 and 255 for TMC2209
// if driver does not support stallGuard this will be ignored
#define STEPPER4_STALL_SENSITIVITY 10
#endif
#ifndef STEPPER4_UART_ADDRESS
#define STEPPER4_UART_ADDRESS 0
#endif
#endif</v>
      </c>
      <c r="F6" s="35" t="str">
        <f t="shared" si="1"/>
        <v>#ifdef STEPPER4_HAS_TMC
#if (STEPPER4_TMC_INTERFACE == TMC_UART)
// if driver uses uart set pins
#if (!ASSERT_PIN(STEPPER4_UART_TX) || !ASSERT_PIN(STEPPER4_UART_RX))
#undef STEPPER4_HAS_TMC
#error "Stepper 4 undefined UART pins"
#endif
#elif (STEPPER4_TMC_INTERFACE == TMC_ONEWIRE)
// if driver uses uart set pins
#if (!ASSERT_PIN(STEPPER4_UART_RX))
#undef STEPPER4_HAS_TMC
#error "Stepper 4 undefined UART pins"
#endif
#elif (STEPPER4_TMC_INTERFACE == TMC_SPI)
#if (!ASSERT_PIN(STEPPER4_SPI_SDO) || !ASSERT_PIN(STEPPER4_SPI_SDI) || !ASSERT_PIN(STEPPER4_SPI_CLK) || !ASSERT_PIN(STEPPER4_SPI_CS))
#undef STEPPER4_HAS_TMC
#error "Stepper 4 undefined SPI pins"
#endif
#endif
#if ASSERT_PIN(STEPPER4_UART_CS)
#define stepper4_select() io_set_output(STEPPER4_UART_CS)
#define stepper4_deselect() io_clear_output(STEPPER4_UART_CS)
#else
#define stepper4_select()
#define stepper4_deselect()
#endif
#endif</v>
      </c>
    </row>
    <row r="7" spans="1:6" ht="15" customHeight="1" x14ac:dyDescent="0.25">
      <c r="A7">
        <v>5</v>
      </c>
      <c r="B7">
        <v>25</v>
      </c>
      <c r="C7">
        <v>25</v>
      </c>
      <c r="D7">
        <v>25</v>
      </c>
      <c r="E7" t="str">
        <f t="shared" si="0"/>
        <v>#ifdef STEPPER5_HAS_TMC
#ifndef STEPPER5_DRIVER_TYPE
#define STEPPER5_DRIVER_TYPE 2208
#endif
// choose the interface type
#ifndef STEPPER5_TMC_INTERFACE
#define STEPPER5_TMC_INTERFACE TMC_UART
#endif
#if (STEPPER5_TMC_INTERFACE == TMC_UART || STEPPER5_TMC_INTERFACE == TMC_ONEWIRE)
// if driver uses uart set pins
#ifndef STEPPER5_UART_TX
#define STEPPER5_UART_TX DOUT25
#endif
#ifndef STEPPER5_UART_RX
#define STEPPER5_UART_RX DIN25
#endif
#elif (STEPPER5_TMC_INTERFACE == TMC_SPI)
#ifndef STEPPER5_SPI_SDO
#define STEPPER5_SPI_SDO DOUT29
#endif
#ifndef STEPPER5_SPI_SDI
#define STEPPER5_SPI_SDI DIN29
#endif
#ifndef STEPPER5_SPI_CLK
#define STEPPER5_SPI_CLK DOUT30
#endif
#ifndef STEPPER5_SPI_CS
#define STEPPER5_SPI_CS DOUT225
#endif 
#endif
// basic parameters
#ifndef STEPPER5_CURRENT_MA
#define STEPPER5_CURRENT_MA 800
#endif
#ifndef STEPPER5_MICROSTEP
#define STEPPER5_MICROSTEP 16
#endif
#ifndef STEPPER5_RSENSE
#define STEPPER5_RSENSE 0.11
#endif
#ifndef STEPPER5_HOLD_MULT
#define STEPPER5_HOLD_MULT 0.7
#endif
#ifndef STEPPER5_STEALTHCHOP_THERSHOLD
#define STEPPER5_STEALTHCHOP_THERSHOLD 0
#endif
#ifndef STEPPER5_ENABLE_INTERPLATION
#define STEPPER5_ENABLE_INTERPLATION true
#endif
#ifndef STEPPER5_STALL_SENSITIVITY
// this value must be set between 0 and 255 for TMC2209
// if driver does not support stallGuard this will be ignored
#define STEPPER5_STALL_SENSITIVITY 10
#endif
#ifndef STEPPER5_UART_ADDRESS
#define STEPPER5_UART_ADDRESS 0
#endif
#endif</v>
      </c>
      <c r="F7" s="35" t="str">
        <f t="shared" si="1"/>
        <v>#ifdef STEPPER5_HAS_TMC
#if (STEPPER5_TMC_INTERFACE == TMC_UART)
// if driver uses uart set pins
#if (!ASSERT_PIN(STEPPER5_UART_TX) || !ASSERT_PIN(STEPPER5_UART_RX))
#undef STEPPER5_HAS_TMC
#error "Stepper 5 undefined UART pins"
#endif
#elif (STEPPER5_TMC_INTERFACE == TMC_ONEWIRE)
// if driver uses uart set pins
#if (!ASSERT_PIN(STEPPER5_UART_RX))
#undef STEPPER5_HAS_TMC
#error "Stepper 5 undefined UART pins"
#endif
#elif (STEPPER5_TMC_INTERFACE == TMC_SPI)
#if (!ASSERT_PIN(STEPPER5_SPI_SDO) || !ASSERT_PIN(STEPPER5_SPI_SDI) || !ASSERT_PIN(STEPPER5_SPI_CLK) || !ASSERT_PIN(STEPPER5_SPI_CS))
#undef STEPPER5_HAS_TMC
#error "Stepper 5 undefined SPI pins"
#endif
#endif
#if ASSERT_PIN(STEPPER5_UART_CS)
#define stepper5_select() io_set_output(STEPPER5_UART_CS)
#define stepper5_deselect() io_clear_output(STEPPER5_UART_CS)
#else
#define stepper5_select()
#define stepper5_deselect()
#endif
#endif</v>
      </c>
    </row>
    <row r="8" spans="1:6" ht="15" customHeight="1" x14ac:dyDescent="0.25">
      <c r="A8">
        <v>6</v>
      </c>
      <c r="B8">
        <v>26</v>
      </c>
      <c r="C8">
        <v>26</v>
      </c>
      <c r="D8">
        <v>26</v>
      </c>
      <c r="E8" t="str">
        <f t="shared" si="0"/>
        <v>#ifdef STEPPER6_HAS_TMC
#ifndef STEPPER6_DRIVER_TYPE
#define STEPPER6_DRIVER_TYPE 2208
#endif
// choose the interface type
#ifndef STEPPER6_TMC_INTERFACE
#define STEPPER6_TMC_INTERFACE TMC_UART
#endif
#if (STEPPER6_TMC_INTERFACE == TMC_UART || STEPPER6_TMC_INTERFACE == TMC_ONEWIRE)
// if driver uses uart set pins
#ifndef STEPPER6_UART_TX
#define STEPPER6_UART_TX DOUT26
#endif
#ifndef STEPPER6_UART_RX
#define STEPPER6_UART_RX DIN26
#endif
#elif (STEPPER6_TMC_INTERFACE == TMC_SPI)
#ifndef STEPPER6_SPI_SDO
#define STEPPER6_SPI_SDO DOUT29
#endif
#ifndef STEPPER6_SPI_SDI
#define STEPPER6_SPI_SDI DIN29
#endif
#ifndef STEPPER6_SPI_CLK
#define STEPPER6_SPI_CLK DOUT30
#endif
#ifndef STEPPER6_SPI_CS
#define STEPPER6_SPI_CS DOUT226
#endif 
#endif
// basic parameters
#ifndef STEPPER6_CURRENT_MA
#define STEPPER6_CURRENT_MA 800
#endif
#ifndef STEPPER6_MICROSTEP
#define STEPPER6_MICROSTEP 16
#endif
#ifndef STEPPER6_RSENSE
#define STEPPER6_RSENSE 0.11
#endif
#ifndef STEPPER6_HOLD_MULT
#define STEPPER6_HOLD_MULT 0.7
#endif
#ifndef STEPPER6_STEALTHCHOP_THERSHOLD
#define STEPPER6_STEALTHCHOP_THERSHOLD 0
#endif
#ifndef STEPPER6_ENABLE_INTERPLATION
#define STEPPER6_ENABLE_INTERPLATION true
#endif
#ifndef STEPPER6_STALL_SENSITIVITY
// this value must be set between 0 and 255 for TMC2209
// if driver does not support stallGuard this will be ignored
#define STEPPER6_STALL_SENSITIVITY 10
#endif
#ifndef STEPPER6_UART_ADDRESS
#define STEPPER6_UART_ADDRESS 0
#endif
#endif</v>
      </c>
      <c r="F8" s="35" t="str">
        <f t="shared" si="1"/>
        <v>#ifdef STEPPER6_HAS_TMC
#if (STEPPER6_TMC_INTERFACE == TMC_UART)
// if driver uses uart set pins
#if (!ASSERT_PIN(STEPPER6_UART_TX) || !ASSERT_PIN(STEPPER6_UART_RX))
#undef STEPPER6_HAS_TMC
#error "Stepper 6 undefined UART pins"
#endif
#elif (STEPPER6_TMC_INTERFACE == TMC_ONEWIRE)
// if driver uses uart set pins
#if (!ASSERT_PIN(STEPPER6_UART_RX))
#undef STEPPER6_HAS_TMC
#error "Stepper 6 undefined UART pins"
#endif
#elif (STEPPER6_TMC_INTERFACE == TMC_SPI)
#if (!ASSERT_PIN(STEPPER6_SPI_SDO) || !ASSERT_PIN(STEPPER6_SPI_SDI) || !ASSERT_PIN(STEPPER6_SPI_CLK) || !ASSERT_PIN(STEPPER6_SPI_CS))
#undef STEPPER6_HAS_TMC
#error "Stepper 6 undefined SPI pins"
#endif
#endif
#if ASSERT_PIN(STEPPER6_UART_CS)
#define stepper6_select() io_set_output(STEPPER6_UART_CS)
#define stepper6_deselect() io_clear_output(STEPPER6_UART_CS)
#else
#define stepper6_select()
#define stepper6_deselect()
#endif
#endif</v>
      </c>
    </row>
    <row r="9" spans="1:6" ht="15" customHeight="1" x14ac:dyDescent="0.25">
      <c r="A9">
        <v>7</v>
      </c>
      <c r="B9">
        <v>27</v>
      </c>
      <c r="C9">
        <v>27</v>
      </c>
      <c r="D9">
        <v>27</v>
      </c>
      <c r="E9" t="str">
        <f t="shared" si="0"/>
        <v>#ifdef STEPPER7_HAS_TMC
#ifndef STEPPER7_DRIVER_TYPE
#define STEPPER7_DRIVER_TYPE 2208
#endif
// choose the interface type
#ifndef STEPPER7_TMC_INTERFACE
#define STEPPER7_TMC_INTERFACE TMC_UART
#endif
#if (STEPPER7_TMC_INTERFACE == TMC_UART || STEPPER7_TMC_INTERFACE == TMC_ONEWIRE)
// if driver uses uart set pins
#ifndef STEPPER7_UART_TX
#define STEPPER7_UART_TX DOUT27
#endif
#ifndef STEPPER7_UART_RX
#define STEPPER7_UART_RX DIN27
#endif
#elif (STEPPER7_TMC_INTERFACE == TMC_SPI)
#ifndef STEPPER7_SPI_SDO
#define STEPPER7_SPI_SDO DOUT29
#endif
#ifndef STEPPER7_SPI_SDI
#define STEPPER7_SPI_SDI DIN29
#endif
#ifndef STEPPER7_SPI_CLK
#define STEPPER7_SPI_CLK DOUT30
#endif
#ifndef STEPPER7_SPI_CS
#define STEPPER7_SPI_CS DOUT227
#endif 
#endif
// basic parameters
#ifndef STEPPER7_CURRENT_MA
#define STEPPER7_CURRENT_MA 800
#endif
#ifndef STEPPER7_MICROSTEP
#define STEPPER7_MICROSTEP 16
#endif
#ifndef STEPPER7_RSENSE
#define STEPPER7_RSENSE 0.11
#endif
#ifndef STEPPER7_HOLD_MULT
#define STEPPER7_HOLD_MULT 0.7
#endif
#ifndef STEPPER7_STEALTHCHOP_THERSHOLD
#define STEPPER7_STEALTHCHOP_THERSHOLD 0
#endif
#ifndef STEPPER7_ENABLE_INTERPLATION
#define STEPPER7_ENABLE_INTERPLATION true
#endif
#ifndef STEPPER7_STALL_SENSITIVITY
// this value must be set between 0 and 255 for TMC2209
// if driver does not support stallGuard this will be ignored
#define STEPPER7_STALL_SENSITIVITY 10
#endif
#ifndef STEPPER7_UART_ADDRESS
#define STEPPER7_UART_ADDRESS 0
#endif
#endif</v>
      </c>
      <c r="F9" s="35" t="str">
        <f t="shared" si="1"/>
        <v>#ifdef STEPPER7_HAS_TMC
#if (STEPPER7_TMC_INTERFACE == TMC_UART)
// if driver uses uart set pins
#if (!ASSERT_PIN(STEPPER7_UART_TX) || !ASSERT_PIN(STEPPER7_UART_RX))
#undef STEPPER7_HAS_TMC
#error "Stepper 7 undefined UART pins"
#endif
#elif (STEPPER7_TMC_INTERFACE == TMC_ONEWIRE)
// if driver uses uart set pins
#if (!ASSERT_PIN(STEPPER7_UART_RX))
#undef STEPPER7_HAS_TMC
#error "Stepper 7 undefined UART pins"
#endif
#elif (STEPPER7_TMC_INTERFACE == TMC_SPI)
#if (!ASSERT_PIN(STEPPER7_SPI_SDO) || !ASSERT_PIN(STEPPER7_SPI_SDI) || !ASSERT_PIN(STEPPER7_SPI_CLK) || !ASSERT_PIN(STEPPER7_SPI_CS))
#undef STEPPER7_HAS_TMC
#error "Stepper 7 undefined SPI pins"
#endif
#endif
#if ASSERT_PIN(STEPPER7_UART_CS)
#define stepper7_select() io_set_output(STEPPER7_UART_CS)
#define stepper7_deselect() io_clear_output(STEPPER7_UART_CS)
#else
#define stepper7_select()
#define stepper7_deselect()
#endif
#endif</v>
      </c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82B72-6AE3-4847-BC9D-67A6C425E5B6}">
  <dimension ref="A1:K10"/>
  <sheetViews>
    <sheetView workbookViewId="0">
      <selection activeCell="E3" sqref="E3"/>
    </sheetView>
  </sheetViews>
  <sheetFormatPr defaultRowHeight="15" x14ac:dyDescent="0.25"/>
  <cols>
    <col min="3" max="3" width="54.7109375" customWidth="1"/>
    <col min="4" max="4" width="43.5703125" customWidth="1"/>
    <col min="5" max="5" width="46.7109375" customWidth="1"/>
  </cols>
  <sheetData>
    <row r="1" spans="1:11" x14ac:dyDescent="0.25">
      <c r="A1" s="40" t="s">
        <v>0</v>
      </c>
      <c r="B1" s="41"/>
      <c r="C1" s="42"/>
      <c r="D1" s="26"/>
    </row>
    <row r="2" spans="1:11" ht="15.75" thickBot="1" x14ac:dyDescent="0.3">
      <c r="A2" s="1" t="s">
        <v>624</v>
      </c>
      <c r="B2" s="1" t="s">
        <v>625</v>
      </c>
      <c r="C2" s="1" t="s">
        <v>3</v>
      </c>
      <c r="D2" s="1" t="s">
        <v>460</v>
      </c>
      <c r="E2" s="1"/>
    </row>
    <row r="3" spans="1:11" ht="80.099999999999994" customHeight="1" thickBot="1" x14ac:dyDescent="0.3">
      <c r="A3" s="36">
        <v>1</v>
      </c>
      <c r="B3" s="36">
        <v>0</v>
      </c>
      <c r="C3" s="37" t="str">
        <f>"#if ENCODERS &gt; "&amp;B3&amp;"
#if (!ASSERT_PIN(ENC"&amp;B3&amp;"_PULSE))
#error ""The ENC"&amp;B3&amp;" pulse pin is not defined""
#endif
#if (!ASSERT_PIN(ENC"&amp;B3&amp;"_DIR))
#error ""The ENC"&amp;B3&amp;" dir pin is not defined""
#endif
#ifndef ENC"&amp;B3&amp;"_TYPE
#define ENC"&amp;B3&amp;"_TYPE ENC_TYPE_PULSE
#endif
#if ENC"&amp;B3&amp;"_TYPE==ENC_TYPE_PULSE
#define ENC"&amp;B3&amp;"_IO_MASK (1 &lt;&lt; (ENC"&amp;B3&amp;"_PULSE - DIN_PINS_OFFSET))
#elif ENC"&amp;B3&amp;"_TYPE==ENC_TYPE_I2C
#ifndef ENC"&amp;B3&amp;"_FREQ
#define ENC"&amp;B3&amp;"_FREQ 400000
#endif
#ifndef ENC"&amp;B3&amp;"_READ
#define ENC"&amp;B3&amp;"_READ read_encoder_mt6701_i2c(&amp;enc"&amp;B3&amp;")
#endif
#elif ENC"&amp;B3&amp;"_TYPE==ENC_TYPE_SSI
#ifndef ENC"&amp;B3&amp;"_FREQ
#define ENC"&amp;B3&amp;"_FREQ 15000000
#endif
#ifndef ENC"&amp;B3&amp;"_READ
#define ENC"&amp;B3&amp;"_READ read_encoder_mt6701_ssi(&amp;enc"&amp;B3&amp;")
#endif
#elif ENC"&amp;B3&amp;"_TYPE==ENC_TYPE_CUSTOM
#ifndef ENC"&amp;B3&amp;"_READ
#define ENC"&amp;B3&amp;"_READ enc_custom_read(ENC"&amp;B3&amp;")
#endif
#endif
#endif"</f>
        <v>#if ENCODERS &gt; 0
#if (!ASSERT_PIN(ENC0_PULSE))
#error "The ENC0 pulse pin is not defined"
#endif
#if (!ASSERT_PIN(ENC0_DIR))
#error "The ENC0 dir pin is not defined"
#endif
#ifndef ENC0_TYPE
#define ENC0_TYPE ENC_TYPE_PULSE
#endif
#if ENC0_TYPE==ENC_TYPE_PULSE
#define ENC0_IO_MASK (1 &lt;&lt; (ENC0_PULSE - DIN_PINS_OFFSET))
#elif ENC0_TYPE==ENC_TYPE_I2C
#ifndef ENC0_FREQ
#define ENC0_FREQ 400000
#endif
#ifndef ENC0_READ
#define ENC0_READ read_encoder_mt6701_i2c(&amp;enc0)
#endif
#elif ENC0_TYPE==ENC_TYPE_SSI
#ifndef ENC0_FREQ
#define ENC0_FREQ 15000000
#endif
#ifndef ENC0_READ
#define ENC0_READ read_encoder_mt6701_ssi(&amp;enc0)
#endif
#elif ENC0_TYPE==ENC_TYPE_CUSTOM
#ifndef ENC0_READ
#define ENC0_READ enc_custom_read(ENC0)
#endif
#endif
#endif</v>
      </c>
      <c r="D3" s="38" t="s">
        <v>626</v>
      </c>
      <c r="E3" s="37" t="str">
        <f>"#ifdef STEP"&amp;B3&amp;"_ENCODER
#define STEP"&amp;B3&amp;"_ENCODER_MASK (1 &lt;&lt; STEP"&amp;B3&amp;"_ENCODER)
#else
#define STEP"&amp;B3&amp;"_ENCODER_MASK 0
#endif"</f>
        <v>#ifdef STEP0_ENCODER
#define STEP0_ENCODER_MASK (1 &lt;&lt; STEP0_ENCODER)
#else
#define STEP0_ENCODER_MASK 0
#endif</v>
      </c>
      <c r="F3" s="39" t="str">
        <f>"#if ENCODERS &gt; "&amp;B3&amp;"
#if ENC"&amp;B3&amp;"_TYPE == ENC_TYPE_I2C
SOFTI2C(enc"&amp;B3&amp;", ENC"&amp;B3&amp;"_FREQ, ENC"&amp;B3&amp;"_PULSE, ENC"&amp;B3&amp;"_DIR);
#elif ENC"&amp;B3&amp;"_TYPE == ENC_TYPE_SSI
SOFTSPI(enc"&amp;B3&amp;", ENC"&amp;B3&amp;"_FREQ, 0, UNDEF_PIN, ENC"&amp;B3&amp;"_DIR, ENC"&amp;B3&amp;"_PULSE);
#endif
#endif"</f>
        <v>#if ENCODERS &gt; 0
#if ENC0_TYPE == ENC_TYPE_I2C
SOFTI2C(enc0, ENC0_FREQ, ENC0_PULSE, ENC0_DIR);
#elif ENC0_TYPE == ENC_TYPE_SSI
SOFTSPI(enc0, ENC0_FREQ, 0, UNDEF_PIN, ENC0_DIR, ENC0_PULSE);
#endif
#endif</v>
      </c>
      <c r="G3" s="39" t="str">
        <f>"#ifndef ENC"&amp;B3&amp;"_MASK
#define ENC"&amp;B3&amp;"_MASK 0
#endif"</f>
        <v>#ifndef ENC0_MASK
#define ENC0_MASK 0
#endif</v>
      </c>
      <c r="H3" s="39" t="str">
        <f>"#ifdef ENC"&amp;B3&amp;"_READ // enc"&amp;B3&amp;" has custom read
case ENC"&amp;B3&amp;":
#ifdef ENC"&amp;B3&amp;"_IS_INCREMENTAL // enc"&amp;B3&amp;" is incremental
		encoder_read = ENC"&amp;B3&amp;"_READ;
		diff = (!(g_settings.encoders_dir_invert_mask&amp;(1&lt;&lt;ENC"&amp;B3&amp;"))) ? (encoder_read - encoder_last_read[ENC"&amp;B3&amp;"]) : (encoder_last_read[ENC"&amp;B3&amp;"] - encoder_read);
		encoder_last_read[ENC"&amp;B3&amp;"] = encoder_read;
		if (diff &lt; -(g_settings.encoders_ppr[ENC"&amp;B3&amp;"] &gt;&gt; 1))
		{
			return (diff + g_settings.encoders_ppr[ENC"&amp;B3&amp;"]);
		}
		if (diff &gt; (g_settings.encoders_ppr[ENC"&amp;B3&amp;"] &gt;&gt; 1))
		{
			return (diff + g_settings.encoders_ppr[ENC"&amp;B3&amp;"]);
		}
		encoder_pos[ENC"&amp;B3&amp;"] += diff;
#else
		encoder_pos[ENC"&amp;B3&amp;"] = ENC"&amp;B3&amp;"_READ;
#endif
		return;
#endif"</f>
        <v>#ifdef ENC0_READ // enc0 has custom read
case ENC0:
#ifdef ENC0_IS_INCREMENTAL // enc0 is incremental
		encoder_read = ENC0_READ;
		diff = (!(g_settings.encoders_dir_invert_mask&amp;(1&lt;&lt;ENC0))) ? (encoder_read - encoder_last_read[ENC0]) : (encoder_last_read[ENC0] - encoder_read);
		encoder_last_read[ENC0] = encoder_read;
		if (diff &lt; -(g_settings.encoders_ppr[ENC0] &gt;&gt; 1))
		{
			return (diff + g_settings.encoders_ppr[ENC0]);
		}
		if (diff &gt; (g_settings.encoders_ppr[ENC0] &gt;&gt; 1))
		{
			return (diff + g_settings.encoders_ppr[ENC0]);
		}
		encoder_pos[ENC0] += diff;
#else
		encoder_pos[ENC0] = ENC0_READ;
#endif
		return;
#endif</v>
      </c>
      <c r="I3" s="39" t="str">
        <f>"#if ENCODERS &gt; "&amp;B3&amp;"
	if ((diff &amp; ENC"&amp;B3&amp;"_IO_MASK))
	{
		#if (ENC"&amp;B3&amp;"_PULSE != ENC"&amp;B3&amp;"_DIR)
		encoders_pos[ENC"&amp;B3&amp;"] += (dir &amp; ENC"&amp;B3&amp;"_IO_MASK) ? 1 : -1;
		#else
		encoders_pos[ENC"&amp;B3&amp;"]++;
		encoders_tstamp[ENC"&amp;B3&amp;"][1] = encoders_tstamp[ENC"&amp;B3&amp;"][0];
		encoders_tstamp[ENC"&amp;B3&amp;"][0] = micros;
		#endif
#if (defined(ENC"&amp;B3&amp;"_INDEX) &amp;&amp; !defined(ENC"&amp;B3&amp;"_INDEX_IO_MASK))
		if (io_get_input(ENC"&amp;B3&amp;"_INDEX))
		{
			HOOK_INVOKE(enc"&amp;B3&amp;"_index);
		}
#endif
	}
#if (defined(ENC"&amp;B3&amp;"_INDEX) &amp;&amp; defined(ENC"&amp;B3&amp;"_INDEX_IO_MASK))
	if ((diff &amp; ENC"&amp;B3&amp;"_INDEX_IO_MASK))
	{
		HOOK_INVOKE(enc"&amp;B3&amp;"_index);
	}
#endif
#endif"</f>
        <v>#if ENCODERS &gt; 0
	if ((diff &amp; ENC0_IO_MASK))
	{
		#if (ENC0_PULSE != ENC0_DIR)
		encoders_pos[ENC0] += (dir &amp; ENC0_IO_MASK) ? 1 : -1;
		#else
		encoders_pos[ENC0]++;
		encoders_tstamp[ENC0][1] = encoders_tstamp[ENC0][0];
		encoders_tstamp[ENC0][0] = micros;
		#endif
#if (defined(ENC0_INDEX) &amp;&amp; !defined(ENC0_INDEX_IO_MASK))
		if (io_get_input(ENC0_INDEX))
		{
			HOOK_INVOKE(enc0_index);
		}
#endif
	}
#if (defined(ENC0_INDEX) &amp;&amp; defined(ENC0_INDEX_IO_MASK))
	if ((diff &amp; ENC0_INDEX_IO_MASK))
	{
		HOOK_INVOKE(enc0_index);
	}
#endif
#endif</v>
      </c>
      <c r="J3" t="str">
        <f>"#if ((ENC"&amp;B3&amp;"_INDEX==DIN0 &amp;&amp; defined(DIN0_ISR)) || (ENC"&amp;B3&amp;"_INDEX==DIN1 &amp;&amp; defined(DIN1_ISR)) || (ENC"&amp;B3&amp;"_INDEX==DIN2 &amp;&amp; defined(DIN2_ISR)) || (ENC"&amp;B3&amp;"_INDEX==DIN3 &amp;&amp; defined(DIN3_ISR)) || (ENC"&amp;B3&amp;"_INDEX==DIN4 &amp;&amp; defined(DIN4_ISR)) || (ENC"&amp;B3&amp;"_INDEX==DIN5 &amp;&amp; defined(DIN5_ISR)) || (ENC"&amp;B3&amp;"_INDEX==DIN6 &amp;&amp; defined(DIN6_ISR)) || (ENC"&amp;B3&amp;"_INDEX==DIN7 &amp;&amp; defined(DIN7_ISR)))
#define ENC"&amp;B3&amp;"_INDEX_IO_MASK (1 &lt;&lt; (ENC"&amp;B3&amp;"_INDEX - DIN_PINS_OFFSET))
#endif"</f>
        <v>#if ((ENC0_INDEX==DIN0 &amp;&amp; defined(DIN0_ISR)) || (ENC0_INDEX==DIN1 &amp;&amp; defined(DIN1_ISR)) || (ENC0_INDEX==DIN2 &amp;&amp; defined(DIN2_ISR)) || (ENC0_INDEX==DIN3 &amp;&amp; defined(DIN3_ISR)) || (ENC0_INDEX==DIN4 &amp;&amp; defined(DIN4_ISR)) || (ENC0_INDEX==DIN5 &amp;&amp; defined(DIN5_ISR)) || (ENC0_INDEX==DIN6 &amp;&amp; defined(DIN6_ISR)) || (ENC0_INDEX==DIN7 &amp;&amp; defined(DIN7_ISR)))
#define ENC0_INDEX_IO_MASK (1 &lt;&lt; (ENC0_INDEX - DIN_PINS_OFFSET))
#endif</v>
      </c>
      <c r="K3" s="3"/>
    </row>
    <row r="4" spans="1:11" ht="80.099999999999994" customHeight="1" thickBot="1" x14ac:dyDescent="0.3">
      <c r="A4" s="36">
        <v>2</v>
      </c>
      <c r="B4" s="36">
        <v>1</v>
      </c>
      <c r="C4" s="37" t="str">
        <f t="shared" ref="C4:C10" si="0">"#if ENCODERS &gt; "&amp;B4&amp;"
#if (!ASSERT_PIN(ENC"&amp;B4&amp;"_PULSE))
#error ""The ENC"&amp;B4&amp;" pulse pin is not defined""
#endif
#if (!ASSERT_PIN(ENC"&amp;B4&amp;"_DIR))
#error ""The ENC"&amp;B4&amp;" dir pin is not defined""
#endif
#ifndef ENC"&amp;B4&amp;"_TYPE
#define ENC"&amp;B4&amp;"_TYPE ENC_TYPE_PULSE
#endif
#if ENC"&amp;B4&amp;"_TYPE==ENC_TYPE_PULSE
#define ENC"&amp;B4&amp;"_IO_MASK (1 &lt;&lt; (ENC"&amp;B4&amp;"_PULSE - DIN_PINS_OFFSET))
#elif ENC"&amp;B4&amp;"_TYPE==ENC_TYPE_I2C
#ifndef ENC"&amp;B4&amp;"_FREQ
#define ENC"&amp;B4&amp;"_FREQ 400000
#endif
#ifndef ENC"&amp;B4&amp;"_READ
#define ENC"&amp;B4&amp;"_READ read_encoder_mt6701_i2c(&amp;enc"&amp;B4&amp;")
#endif
#elif ENC"&amp;B4&amp;"_TYPE==ENC_TYPE_SSI
#ifndef ENC"&amp;B4&amp;"_FREQ
#define ENC"&amp;B4&amp;"_FREQ 15000000
#endif
#ifndef ENC"&amp;B4&amp;"_READ
#define ENC"&amp;B4&amp;"_READ read_encoder_mt6701_ssi(&amp;enc"&amp;B4&amp;")
#endif
#elif ENC"&amp;B4&amp;"_TYPE==ENC_TYPE_CUSTOM
#ifndef ENC"&amp;B4&amp;"_READ
#define ENC"&amp;B4&amp;"_READ enc_custom_read(ENC"&amp;B4&amp;")
#endif
#endif
#endif"</f>
        <v>#if ENCODERS &gt; 1
#if (!ASSERT_PIN(ENC1_PULSE))
#error "The ENC1 pulse pin is not defined"
#endif
#if (!ASSERT_PIN(ENC1_DIR))
#error "The ENC1 dir pin is not defined"
#endif
#ifndef ENC1_TYPE
#define ENC1_TYPE ENC_TYPE_PULSE
#endif
#if ENC1_TYPE==ENC_TYPE_PULSE
#define ENC1_IO_MASK (1 &lt;&lt; (ENC1_PULSE - DIN_PINS_OFFSET))
#elif ENC1_TYPE==ENC_TYPE_I2C
#ifndef ENC1_FREQ
#define ENC1_FREQ 400000
#endif
#ifndef ENC1_READ
#define ENC1_READ read_encoder_mt6701_i2c(&amp;enc1)
#endif
#elif ENC1_TYPE==ENC_TYPE_SSI
#ifndef ENC1_FREQ
#define ENC1_FREQ 15000000
#endif
#ifndef ENC1_READ
#define ENC1_READ read_encoder_mt6701_ssi(&amp;enc1)
#endif
#elif ENC1_TYPE==ENC_TYPE_CUSTOM
#ifndef ENC1_READ
#define ENC1_READ enc_custom_read(ENC1)
#endif
#endif
#endif</v>
      </c>
      <c r="D4" s="38" t="s">
        <v>627</v>
      </c>
      <c r="E4" s="37" t="str">
        <f t="shared" ref="E4:E8" si="1">"#ifdef STEP"&amp;B4&amp;"_ENCODER
#define STEP"&amp;B4&amp;"_ENCODER_MASK (1 &lt;&lt; STEP"&amp;B4&amp;"_ENCODER)
#else
#define STEP"&amp;B4&amp;"_ENCODER_MASK 0
#endif"</f>
        <v>#ifdef STEP1_ENCODER
#define STEP1_ENCODER_MASK (1 &lt;&lt; STEP1_ENCODER)
#else
#define STEP1_ENCODER_MASK 0
#endif</v>
      </c>
      <c r="F4" s="39" t="str">
        <f t="shared" ref="F4:F10" si="2">"#if ENCODERS &gt; "&amp;B4&amp;"
#if ENC"&amp;B4&amp;"_TYPE == ENC_TYPE_I2C
SOFTI2C(enc"&amp;B4&amp;", ENC"&amp;B4&amp;"_FREQ, ENC"&amp;B4&amp;"_PULSE, ENC"&amp;B4&amp;"_DIR);
#elif ENC"&amp;B4&amp;"_TYPE == ENC_TYPE_SSI
SOFTSPI(enc"&amp;B4&amp;", ENC"&amp;B4&amp;"_FREQ, 0, UNDEF_PIN, ENC"&amp;B4&amp;"_DIR, ENC"&amp;B4&amp;"_PULSE);
#endif
#endif"</f>
        <v>#if ENCODERS &gt; 1
#if ENC1_TYPE == ENC_TYPE_I2C
SOFTI2C(enc1, ENC1_FREQ, ENC1_PULSE, ENC1_DIR);
#elif ENC1_TYPE == ENC_TYPE_SSI
SOFTSPI(enc1, ENC1_FREQ, 0, UNDEF_PIN, ENC1_DIR, ENC1_PULSE);
#endif
#endif</v>
      </c>
      <c r="G4" s="39" t="str">
        <f t="shared" ref="G4:G10" si="3">"#ifndef ENC"&amp;B4&amp;"_MASK
#define ENC"&amp;B4&amp;"_MASK 0
#endif"</f>
        <v>#ifndef ENC1_MASK
#define ENC1_MASK 0
#endif</v>
      </c>
      <c r="H4" s="39" t="str">
        <f t="shared" ref="H4:H10" si="4">"#ifdef ENC"&amp;B4&amp;"_READ // enc"&amp;B4&amp;" has custom read
case ENC"&amp;B4&amp;":
#ifdef ENC"&amp;B4&amp;"_IS_INCREMENTAL // enc"&amp;B4&amp;" is incremental
		encoder_read = ENC"&amp;B4&amp;"_READ;
		diff = (!(g_settings.encoders_dir_invert_mask&amp;(1&lt;&lt;ENC"&amp;B4&amp;"))) ? (encoder_read - encoder_last_read[ENC"&amp;B4&amp;"]) : (encoder_last_read[ENC"&amp;B4&amp;"] - encoder_read);
		encoder_last_read[ENC"&amp;B4&amp;"] = encoder_read;
		if (diff &lt; -(g_settings.encoders_ppr[ENC"&amp;B4&amp;"] &gt;&gt; 1))
		{
			return (diff + g_settings.encoders_ppr[ENC"&amp;B4&amp;"]);
		}
		if (diff &gt; (g_settings.encoders_ppr[ENC"&amp;B4&amp;"] &gt;&gt; 1))
		{
			return (diff + g_settings.encoders_ppr[ENC"&amp;B4&amp;"]);
		}
		encoder_pos[ENC"&amp;B4&amp;"] += diff;
#else
		encoder_pos[ENC"&amp;B4&amp;"] = ENC"&amp;B4&amp;"_READ;
#endif
		return;
#endif"</f>
        <v>#ifdef ENC1_READ // enc1 has custom read
case ENC1:
#ifdef ENC1_IS_INCREMENTAL // enc1 is incremental
		encoder_read = ENC1_READ;
		diff = (!(g_settings.encoders_dir_invert_mask&amp;(1&lt;&lt;ENC1))) ? (encoder_read - encoder_last_read[ENC1]) : (encoder_last_read[ENC1] - encoder_read);
		encoder_last_read[ENC1] = encoder_read;
		if (diff &lt; -(g_settings.encoders_ppr[ENC1] &gt;&gt; 1))
		{
			return (diff + g_settings.encoders_ppr[ENC1]);
		}
		if (diff &gt; (g_settings.encoders_ppr[ENC1] &gt;&gt; 1))
		{
			return (diff + g_settings.encoders_ppr[ENC1]);
		}
		encoder_pos[ENC1] += diff;
#else
		encoder_pos[ENC1] = ENC1_READ;
#endif
		return;
#endif</v>
      </c>
      <c r="I4" s="39" t="str">
        <f t="shared" ref="I4:I10" si="5">"#if ENCODERS &gt; "&amp;B4&amp;"
	if ((diff &amp; ENC"&amp;B4&amp;"_IO_MASK))
	{
		#if (ENC"&amp;B4&amp;"_PULSE != ENC"&amp;B4&amp;"_DIR)
		encoders_pos[ENC"&amp;B4&amp;"] += (dir &amp; ENC"&amp;B4&amp;"_IO_MASK) ? 1 : -1;
		#else
		encoders_pos[ENC"&amp;B4&amp;"]++;
		encoders_tstamp[ENC"&amp;B4&amp;"][1] = encoders_tstamp[ENC"&amp;B4&amp;"][0];
		encoders_tstamp[ENC"&amp;B4&amp;"][0] = micros;
		#endif
#if (defined(ENC"&amp;B4&amp;"_INDEX) &amp;&amp; !defined(ENC"&amp;B4&amp;"_INDEX_IO_MASK))
		if (io_get_input(ENC"&amp;B4&amp;"_INDEX))
		{
			HOOK_INVOKE(enc"&amp;B4&amp;"_index);
		}
#endif
	}
#if (defined(ENC"&amp;B4&amp;"_INDEX) &amp;&amp; defined(ENC"&amp;B4&amp;"_INDEX_IO_MASK))
	if ((diff &amp; ENC"&amp;B4&amp;"_INDEX_IO_MASK))
	{
		HOOK_INVOKE(enc"&amp;B4&amp;"_index);
	}
#endif
#endif"</f>
        <v>#if ENCODERS &gt; 1
	if ((diff &amp; ENC1_IO_MASK))
	{
		#if (ENC1_PULSE != ENC1_DIR)
		encoders_pos[ENC1] += (dir &amp; ENC1_IO_MASK) ? 1 : -1;
		#else
		encoders_pos[ENC1]++;
		encoders_tstamp[ENC1][1] = encoders_tstamp[ENC1][0];
		encoders_tstamp[ENC1][0] = micros;
		#endif
#if (defined(ENC1_INDEX) &amp;&amp; !defined(ENC1_INDEX_IO_MASK))
		if (io_get_input(ENC1_INDEX))
		{
			HOOK_INVOKE(enc1_index);
		}
#endif
	}
#if (defined(ENC1_INDEX) &amp;&amp; defined(ENC1_INDEX_IO_MASK))
	if ((diff &amp; ENC1_INDEX_IO_MASK))
	{
		HOOK_INVOKE(enc1_index);
	}
#endif
#endif</v>
      </c>
      <c r="J4" t="str">
        <f t="shared" ref="J4:J10" si="6">"#if ((ENC"&amp;B4&amp;"_INDEX==DIN0 &amp;&amp; defined(DIN0_ISR)) || (ENC"&amp;B4&amp;"_INDEX==DIN1 &amp;&amp; defined(DIN1_ISR)) || (ENC"&amp;B4&amp;"_INDEX==DIN2 &amp;&amp; defined(DIN2_ISR)) || (ENC"&amp;B4&amp;"_INDEX==DIN3 &amp;&amp; defined(DIN3_ISR)) || (ENC"&amp;B4&amp;"_INDEX==DIN4 &amp;&amp; defined(DIN4_ISR)) || (ENC"&amp;B4&amp;"_INDEX==DIN5 &amp;&amp; defined(DIN5_ISR)) || (ENC"&amp;B4&amp;"_INDEX==DIN6 &amp;&amp; defined(DIN6_ISR)) || (ENC"&amp;B4&amp;"_INDEX==DIN7 &amp;&amp; defined(DIN7_ISR)))
#define ENC"&amp;B4&amp;"_INDEX_IO_MASK (1 &lt;&lt; (ENC"&amp;B4&amp;"_INDEX - DIN_PINS_OFFSET))
#endif"</f>
        <v>#if ((ENC1_INDEX==DIN0 &amp;&amp; defined(DIN0_ISR)) || (ENC1_INDEX==DIN1 &amp;&amp; defined(DIN1_ISR)) || (ENC1_INDEX==DIN2 &amp;&amp; defined(DIN2_ISR)) || (ENC1_INDEX==DIN3 &amp;&amp; defined(DIN3_ISR)) || (ENC1_INDEX==DIN4 &amp;&amp; defined(DIN4_ISR)) || (ENC1_INDEX==DIN5 &amp;&amp; defined(DIN5_ISR)) || (ENC1_INDEX==DIN6 &amp;&amp; defined(DIN6_ISR)) || (ENC1_INDEX==DIN7 &amp;&amp; defined(DIN7_ISR)))
#define ENC1_INDEX_IO_MASK (1 &lt;&lt; (ENC1_INDEX - DIN_PINS_OFFSET))
#endif</v>
      </c>
      <c r="K4" s="3"/>
    </row>
    <row r="5" spans="1:11" ht="80.099999999999994" customHeight="1" thickBot="1" x14ac:dyDescent="0.3">
      <c r="A5" s="36">
        <v>4</v>
      </c>
      <c r="B5" s="36">
        <v>2</v>
      </c>
      <c r="C5" s="37" t="str">
        <f t="shared" si="0"/>
        <v>#if ENCODERS &gt; 2
#if (!ASSERT_PIN(ENC2_PULSE))
#error "The ENC2 pulse pin is not defined"
#endif
#if (!ASSERT_PIN(ENC2_DIR))
#error "The ENC2 dir pin is not defined"
#endif
#ifndef ENC2_TYPE
#define ENC2_TYPE ENC_TYPE_PULSE
#endif
#if ENC2_TYPE==ENC_TYPE_PULSE
#define ENC2_IO_MASK (1 &lt;&lt; (ENC2_PULSE - DIN_PINS_OFFSET))
#elif ENC2_TYPE==ENC_TYPE_I2C
#ifndef ENC2_FREQ
#define ENC2_FREQ 400000
#endif
#ifndef ENC2_READ
#define ENC2_READ read_encoder_mt6701_i2c(&amp;enc2)
#endif
#elif ENC2_TYPE==ENC_TYPE_SSI
#ifndef ENC2_FREQ
#define ENC2_FREQ 15000000
#endif
#ifndef ENC2_READ
#define ENC2_READ read_encoder_mt6701_ssi(&amp;enc2)
#endif
#elif ENC2_TYPE==ENC_TYPE_CUSTOM
#ifndef ENC2_READ
#define ENC2_READ enc_custom_read(ENC2)
#endif
#endif
#endif</v>
      </c>
      <c r="D5" s="38" t="s">
        <v>628</v>
      </c>
      <c r="E5" s="37" t="str">
        <f t="shared" si="1"/>
        <v>#ifdef STEP2_ENCODER
#define STEP2_ENCODER_MASK (1 &lt;&lt; STEP2_ENCODER)
#else
#define STEP2_ENCODER_MASK 0
#endif</v>
      </c>
      <c r="F5" s="39" t="str">
        <f t="shared" si="2"/>
        <v>#if ENCODERS &gt; 2
#if ENC2_TYPE == ENC_TYPE_I2C
SOFTI2C(enc2, ENC2_FREQ, ENC2_PULSE, ENC2_DIR);
#elif ENC2_TYPE == ENC_TYPE_SSI
SOFTSPI(enc2, ENC2_FREQ, 0, UNDEF_PIN, ENC2_DIR, ENC2_PULSE);
#endif
#endif</v>
      </c>
      <c r="G5" s="39" t="str">
        <f t="shared" si="3"/>
        <v>#ifndef ENC2_MASK
#define ENC2_MASK 0
#endif</v>
      </c>
      <c r="H5" s="39" t="str">
        <f t="shared" si="4"/>
        <v>#ifdef ENC2_READ // enc2 has custom read
case ENC2:
#ifdef ENC2_IS_INCREMENTAL // enc2 is incremental
		encoder_read = ENC2_READ;
		diff = (!(g_settings.encoders_dir_invert_mask&amp;(1&lt;&lt;ENC2))) ? (encoder_read - encoder_last_read[ENC2]) : (encoder_last_read[ENC2] - encoder_read);
		encoder_last_read[ENC2] = encoder_read;
		if (diff &lt; -(g_settings.encoders_ppr[ENC2] &gt;&gt; 1))
		{
			return (diff + g_settings.encoders_ppr[ENC2]);
		}
		if (diff &gt; (g_settings.encoders_ppr[ENC2] &gt;&gt; 1))
		{
			return (diff + g_settings.encoders_ppr[ENC2]);
		}
		encoder_pos[ENC2] += diff;
#else
		encoder_pos[ENC2] = ENC2_READ;
#endif
		return;
#endif</v>
      </c>
      <c r="I5" s="39" t="str">
        <f t="shared" si="5"/>
        <v>#if ENCODERS &gt; 2
	if ((diff &amp; ENC2_IO_MASK))
	{
		#if (ENC2_PULSE != ENC2_DIR)
		encoders_pos[ENC2] += (dir &amp; ENC2_IO_MASK) ? 1 : -1;
		#else
		encoders_pos[ENC2]++;
		encoders_tstamp[ENC2][1] = encoders_tstamp[ENC2][0];
		encoders_tstamp[ENC2][0] = micros;
		#endif
#if (defined(ENC2_INDEX) &amp;&amp; !defined(ENC2_INDEX_IO_MASK))
		if (io_get_input(ENC2_INDEX))
		{
			HOOK_INVOKE(enc2_index);
		}
#endif
	}
#if (defined(ENC2_INDEX) &amp;&amp; defined(ENC2_INDEX_IO_MASK))
	if ((diff &amp; ENC2_INDEX_IO_MASK))
	{
		HOOK_INVOKE(enc2_index);
	}
#endif
#endif</v>
      </c>
      <c r="J5" t="str">
        <f t="shared" si="6"/>
        <v>#if ((ENC2_INDEX==DIN0 &amp;&amp; defined(DIN0_ISR)) || (ENC2_INDEX==DIN1 &amp;&amp; defined(DIN1_ISR)) || (ENC2_INDEX==DIN2 &amp;&amp; defined(DIN2_ISR)) || (ENC2_INDEX==DIN3 &amp;&amp; defined(DIN3_ISR)) || (ENC2_INDEX==DIN4 &amp;&amp; defined(DIN4_ISR)) || (ENC2_INDEX==DIN5 &amp;&amp; defined(DIN5_ISR)) || (ENC2_INDEX==DIN6 &amp;&amp; defined(DIN6_ISR)) || (ENC2_INDEX==DIN7 &amp;&amp; defined(DIN7_ISR)))
#define ENC2_INDEX_IO_MASK (1 &lt;&lt; (ENC2_INDEX - DIN_PINS_OFFSET))
#endif</v>
      </c>
    </row>
    <row r="6" spans="1:11" ht="80.099999999999994" customHeight="1" thickBot="1" x14ac:dyDescent="0.3">
      <c r="A6" s="36">
        <v>8</v>
      </c>
      <c r="B6" s="36">
        <v>3</v>
      </c>
      <c r="C6" s="37" t="str">
        <f t="shared" si="0"/>
        <v>#if ENCODERS &gt; 3
#if (!ASSERT_PIN(ENC3_PULSE))
#error "The ENC3 pulse pin is not defined"
#endif
#if (!ASSERT_PIN(ENC3_DIR))
#error "The ENC3 dir pin is not defined"
#endif
#ifndef ENC3_TYPE
#define ENC3_TYPE ENC_TYPE_PULSE
#endif
#if ENC3_TYPE==ENC_TYPE_PULSE
#define ENC3_IO_MASK (1 &lt;&lt; (ENC3_PULSE - DIN_PINS_OFFSET))
#elif ENC3_TYPE==ENC_TYPE_I2C
#ifndef ENC3_FREQ
#define ENC3_FREQ 400000
#endif
#ifndef ENC3_READ
#define ENC3_READ read_encoder_mt6701_i2c(&amp;enc3)
#endif
#elif ENC3_TYPE==ENC_TYPE_SSI
#ifndef ENC3_FREQ
#define ENC3_FREQ 15000000
#endif
#ifndef ENC3_READ
#define ENC3_READ read_encoder_mt6701_ssi(&amp;enc3)
#endif
#elif ENC3_TYPE==ENC_TYPE_CUSTOM
#ifndef ENC3_READ
#define ENC3_READ enc_custom_read(ENC3)
#endif
#endif
#endif</v>
      </c>
      <c r="D6" s="38" t="s">
        <v>629</v>
      </c>
      <c r="E6" s="37" t="str">
        <f t="shared" si="1"/>
        <v>#ifdef STEP3_ENCODER
#define STEP3_ENCODER_MASK (1 &lt;&lt; STEP3_ENCODER)
#else
#define STEP3_ENCODER_MASK 0
#endif</v>
      </c>
      <c r="F6" s="39" t="str">
        <f t="shared" si="2"/>
        <v>#if ENCODERS &gt; 3
#if ENC3_TYPE == ENC_TYPE_I2C
SOFTI2C(enc3, ENC3_FREQ, ENC3_PULSE, ENC3_DIR);
#elif ENC3_TYPE == ENC_TYPE_SSI
SOFTSPI(enc3, ENC3_FREQ, 0, UNDEF_PIN, ENC3_DIR, ENC3_PULSE);
#endif
#endif</v>
      </c>
      <c r="G6" s="39" t="str">
        <f t="shared" si="3"/>
        <v>#ifndef ENC3_MASK
#define ENC3_MASK 0
#endif</v>
      </c>
      <c r="H6" s="39" t="str">
        <f t="shared" si="4"/>
        <v>#ifdef ENC3_READ // enc3 has custom read
case ENC3:
#ifdef ENC3_IS_INCREMENTAL // enc3 is incremental
		encoder_read = ENC3_READ;
		diff = (!(g_settings.encoders_dir_invert_mask&amp;(1&lt;&lt;ENC3))) ? (encoder_read - encoder_last_read[ENC3]) : (encoder_last_read[ENC3] - encoder_read);
		encoder_last_read[ENC3] = encoder_read;
		if (diff &lt; -(g_settings.encoders_ppr[ENC3] &gt;&gt; 1))
		{
			return (diff + g_settings.encoders_ppr[ENC3]);
		}
		if (diff &gt; (g_settings.encoders_ppr[ENC3] &gt;&gt; 1))
		{
			return (diff + g_settings.encoders_ppr[ENC3]);
		}
		encoder_pos[ENC3] += diff;
#else
		encoder_pos[ENC3] = ENC3_READ;
#endif
		return;
#endif</v>
      </c>
      <c r="I6" s="39" t="str">
        <f t="shared" si="5"/>
        <v>#if ENCODERS &gt; 3
	if ((diff &amp; ENC3_IO_MASK))
	{
		#if (ENC3_PULSE != ENC3_DIR)
		encoders_pos[ENC3] += (dir &amp; ENC3_IO_MASK) ? 1 : -1;
		#else
		encoders_pos[ENC3]++;
		encoders_tstamp[ENC3][1] = encoders_tstamp[ENC3][0];
		encoders_tstamp[ENC3][0] = micros;
		#endif
#if (defined(ENC3_INDEX) &amp;&amp; !defined(ENC3_INDEX_IO_MASK))
		if (io_get_input(ENC3_INDEX))
		{
			HOOK_INVOKE(enc3_index);
		}
#endif
	}
#if (defined(ENC3_INDEX) &amp;&amp; defined(ENC3_INDEX_IO_MASK))
	if ((diff &amp; ENC3_INDEX_IO_MASK))
	{
		HOOK_INVOKE(enc3_index);
	}
#endif
#endif</v>
      </c>
      <c r="J6" t="str">
        <f t="shared" si="6"/>
        <v>#if ((ENC3_INDEX==DIN0 &amp;&amp; defined(DIN0_ISR)) || (ENC3_INDEX==DIN1 &amp;&amp; defined(DIN1_ISR)) || (ENC3_INDEX==DIN2 &amp;&amp; defined(DIN2_ISR)) || (ENC3_INDEX==DIN3 &amp;&amp; defined(DIN3_ISR)) || (ENC3_INDEX==DIN4 &amp;&amp; defined(DIN4_ISR)) || (ENC3_INDEX==DIN5 &amp;&amp; defined(DIN5_ISR)) || (ENC3_INDEX==DIN6 &amp;&amp; defined(DIN6_ISR)) || (ENC3_INDEX==DIN7 &amp;&amp; defined(DIN7_ISR)))
#define ENC3_INDEX_IO_MASK (1 &lt;&lt; (ENC3_INDEX - DIN_PINS_OFFSET))
#endif</v>
      </c>
    </row>
    <row r="7" spans="1:11" ht="80.099999999999994" customHeight="1" thickBot="1" x14ac:dyDescent="0.3">
      <c r="A7" s="36">
        <v>16</v>
      </c>
      <c r="B7" s="36">
        <v>4</v>
      </c>
      <c r="C7" s="37" t="str">
        <f t="shared" si="0"/>
        <v>#if ENCODERS &gt; 4
#if (!ASSERT_PIN(ENC4_PULSE))
#error "The ENC4 pulse pin is not defined"
#endif
#if (!ASSERT_PIN(ENC4_DIR))
#error "The ENC4 dir pin is not defined"
#endif
#ifndef ENC4_TYPE
#define ENC4_TYPE ENC_TYPE_PULSE
#endif
#if ENC4_TYPE==ENC_TYPE_PULSE
#define ENC4_IO_MASK (1 &lt;&lt; (ENC4_PULSE - DIN_PINS_OFFSET))
#elif ENC4_TYPE==ENC_TYPE_I2C
#ifndef ENC4_FREQ
#define ENC4_FREQ 400000
#endif
#ifndef ENC4_READ
#define ENC4_READ read_encoder_mt6701_i2c(&amp;enc4)
#endif
#elif ENC4_TYPE==ENC_TYPE_SSI
#ifndef ENC4_FREQ
#define ENC4_FREQ 15000000
#endif
#ifndef ENC4_READ
#define ENC4_READ read_encoder_mt6701_ssi(&amp;enc4)
#endif
#elif ENC4_TYPE==ENC_TYPE_CUSTOM
#ifndef ENC4_READ
#define ENC4_READ enc_custom_read(ENC4)
#endif
#endif
#endif</v>
      </c>
      <c r="D7" s="38" t="s">
        <v>630</v>
      </c>
      <c r="E7" s="37" t="str">
        <f t="shared" si="1"/>
        <v>#ifdef STEP4_ENCODER
#define STEP4_ENCODER_MASK (1 &lt;&lt; STEP4_ENCODER)
#else
#define STEP4_ENCODER_MASK 0
#endif</v>
      </c>
      <c r="F7" s="39" t="str">
        <f t="shared" si="2"/>
        <v>#if ENCODERS &gt; 4
#if ENC4_TYPE == ENC_TYPE_I2C
SOFTI2C(enc4, ENC4_FREQ, ENC4_PULSE, ENC4_DIR);
#elif ENC4_TYPE == ENC_TYPE_SSI
SOFTSPI(enc4, ENC4_FREQ, 0, UNDEF_PIN, ENC4_DIR, ENC4_PULSE);
#endif
#endif</v>
      </c>
      <c r="G7" s="39" t="str">
        <f t="shared" si="3"/>
        <v>#ifndef ENC4_MASK
#define ENC4_MASK 0
#endif</v>
      </c>
      <c r="H7" s="39" t="str">
        <f t="shared" si="4"/>
        <v>#ifdef ENC4_READ // enc4 has custom read
case ENC4:
#ifdef ENC4_IS_INCREMENTAL // enc4 is incremental
		encoder_read = ENC4_READ;
		diff = (!(g_settings.encoders_dir_invert_mask&amp;(1&lt;&lt;ENC4))) ? (encoder_read - encoder_last_read[ENC4]) : (encoder_last_read[ENC4] - encoder_read);
		encoder_last_read[ENC4] = encoder_read;
		if (diff &lt; -(g_settings.encoders_ppr[ENC4] &gt;&gt; 1))
		{
			return (diff + g_settings.encoders_ppr[ENC4]);
		}
		if (diff &gt; (g_settings.encoders_ppr[ENC4] &gt;&gt; 1))
		{
			return (diff + g_settings.encoders_ppr[ENC4]);
		}
		encoder_pos[ENC4] += diff;
#else
		encoder_pos[ENC4] = ENC4_READ;
#endif
		return;
#endif</v>
      </c>
      <c r="I7" s="39" t="str">
        <f t="shared" si="5"/>
        <v>#if ENCODERS &gt; 4
	if ((diff &amp; ENC4_IO_MASK))
	{
		#if (ENC4_PULSE != ENC4_DIR)
		encoders_pos[ENC4] += (dir &amp; ENC4_IO_MASK) ? 1 : -1;
		#else
		encoders_pos[ENC4]++;
		encoders_tstamp[ENC4][1] = encoders_tstamp[ENC4][0];
		encoders_tstamp[ENC4][0] = micros;
		#endif
#if (defined(ENC4_INDEX) &amp;&amp; !defined(ENC4_INDEX_IO_MASK))
		if (io_get_input(ENC4_INDEX))
		{
			HOOK_INVOKE(enc4_index);
		}
#endif
	}
#if (defined(ENC4_INDEX) &amp;&amp; defined(ENC4_INDEX_IO_MASK))
	if ((diff &amp; ENC4_INDEX_IO_MASK))
	{
		HOOK_INVOKE(enc4_index);
	}
#endif
#endif</v>
      </c>
      <c r="J7" t="str">
        <f t="shared" si="6"/>
        <v>#if ((ENC4_INDEX==DIN0 &amp;&amp; defined(DIN0_ISR)) || (ENC4_INDEX==DIN1 &amp;&amp; defined(DIN1_ISR)) || (ENC4_INDEX==DIN2 &amp;&amp; defined(DIN2_ISR)) || (ENC4_INDEX==DIN3 &amp;&amp; defined(DIN3_ISR)) || (ENC4_INDEX==DIN4 &amp;&amp; defined(DIN4_ISR)) || (ENC4_INDEX==DIN5 &amp;&amp; defined(DIN5_ISR)) || (ENC4_INDEX==DIN6 &amp;&amp; defined(DIN6_ISR)) || (ENC4_INDEX==DIN7 &amp;&amp; defined(DIN7_ISR)))
#define ENC4_INDEX_IO_MASK (1 &lt;&lt; (ENC4_INDEX - DIN_PINS_OFFSET))
#endif</v>
      </c>
    </row>
    <row r="8" spans="1:11" ht="80.099999999999994" customHeight="1" thickBot="1" x14ac:dyDescent="0.3">
      <c r="A8" s="36">
        <v>32</v>
      </c>
      <c r="B8" s="36">
        <v>5</v>
      </c>
      <c r="C8" s="37" t="str">
        <f t="shared" si="0"/>
        <v>#if ENCODERS &gt; 5
#if (!ASSERT_PIN(ENC5_PULSE))
#error "The ENC5 pulse pin is not defined"
#endif
#if (!ASSERT_PIN(ENC5_DIR))
#error "The ENC5 dir pin is not defined"
#endif
#ifndef ENC5_TYPE
#define ENC5_TYPE ENC_TYPE_PULSE
#endif
#if ENC5_TYPE==ENC_TYPE_PULSE
#define ENC5_IO_MASK (1 &lt;&lt; (ENC5_PULSE - DIN_PINS_OFFSET))
#elif ENC5_TYPE==ENC_TYPE_I2C
#ifndef ENC5_FREQ
#define ENC5_FREQ 400000
#endif
#ifndef ENC5_READ
#define ENC5_READ read_encoder_mt6701_i2c(&amp;enc5)
#endif
#elif ENC5_TYPE==ENC_TYPE_SSI
#ifndef ENC5_FREQ
#define ENC5_FREQ 15000000
#endif
#ifndef ENC5_READ
#define ENC5_READ read_encoder_mt6701_ssi(&amp;enc5)
#endif
#elif ENC5_TYPE==ENC_TYPE_CUSTOM
#ifndef ENC5_READ
#define ENC5_READ enc_custom_read(ENC5)
#endif
#endif
#endif</v>
      </c>
      <c r="D8" s="38" t="s">
        <v>631</v>
      </c>
      <c r="E8" s="37" t="str">
        <f t="shared" si="1"/>
        <v>#ifdef STEP5_ENCODER
#define STEP5_ENCODER_MASK (1 &lt;&lt; STEP5_ENCODER)
#else
#define STEP5_ENCODER_MASK 0
#endif</v>
      </c>
      <c r="F8" s="39" t="str">
        <f t="shared" si="2"/>
        <v>#if ENCODERS &gt; 5
#if ENC5_TYPE == ENC_TYPE_I2C
SOFTI2C(enc5, ENC5_FREQ, ENC5_PULSE, ENC5_DIR);
#elif ENC5_TYPE == ENC_TYPE_SSI
SOFTSPI(enc5, ENC5_FREQ, 0, UNDEF_PIN, ENC5_DIR, ENC5_PULSE);
#endif
#endif</v>
      </c>
      <c r="G8" s="39" t="str">
        <f t="shared" si="3"/>
        <v>#ifndef ENC5_MASK
#define ENC5_MASK 0
#endif</v>
      </c>
      <c r="H8" s="39" t="str">
        <f t="shared" si="4"/>
        <v>#ifdef ENC5_READ // enc5 has custom read
case ENC5:
#ifdef ENC5_IS_INCREMENTAL // enc5 is incremental
		encoder_read = ENC5_READ;
		diff = (!(g_settings.encoders_dir_invert_mask&amp;(1&lt;&lt;ENC5))) ? (encoder_read - encoder_last_read[ENC5]) : (encoder_last_read[ENC5] - encoder_read);
		encoder_last_read[ENC5] = encoder_read;
		if (diff &lt; -(g_settings.encoders_ppr[ENC5] &gt;&gt; 1))
		{
			return (diff + g_settings.encoders_ppr[ENC5]);
		}
		if (diff &gt; (g_settings.encoders_ppr[ENC5] &gt;&gt; 1))
		{
			return (diff + g_settings.encoders_ppr[ENC5]);
		}
		encoder_pos[ENC5] += diff;
#else
		encoder_pos[ENC5] = ENC5_READ;
#endif
		return;
#endif</v>
      </c>
      <c r="I8" s="39" t="str">
        <f t="shared" si="5"/>
        <v>#if ENCODERS &gt; 5
	if ((diff &amp; ENC5_IO_MASK))
	{
		#if (ENC5_PULSE != ENC5_DIR)
		encoders_pos[ENC5] += (dir &amp; ENC5_IO_MASK) ? 1 : -1;
		#else
		encoders_pos[ENC5]++;
		encoders_tstamp[ENC5][1] = encoders_tstamp[ENC5][0];
		encoders_tstamp[ENC5][0] = micros;
		#endif
#if (defined(ENC5_INDEX) &amp;&amp; !defined(ENC5_INDEX_IO_MASK))
		if (io_get_input(ENC5_INDEX))
		{
			HOOK_INVOKE(enc5_index);
		}
#endif
	}
#if (defined(ENC5_INDEX) &amp;&amp; defined(ENC5_INDEX_IO_MASK))
	if ((diff &amp; ENC5_INDEX_IO_MASK))
	{
		HOOK_INVOKE(enc5_index);
	}
#endif
#endif</v>
      </c>
      <c r="J8" t="str">
        <f t="shared" si="6"/>
        <v>#if ((ENC5_INDEX==DIN0 &amp;&amp; defined(DIN0_ISR)) || (ENC5_INDEX==DIN1 &amp;&amp; defined(DIN1_ISR)) || (ENC5_INDEX==DIN2 &amp;&amp; defined(DIN2_ISR)) || (ENC5_INDEX==DIN3 &amp;&amp; defined(DIN3_ISR)) || (ENC5_INDEX==DIN4 &amp;&amp; defined(DIN4_ISR)) || (ENC5_INDEX==DIN5 &amp;&amp; defined(DIN5_ISR)) || (ENC5_INDEX==DIN6 &amp;&amp; defined(DIN6_ISR)) || (ENC5_INDEX==DIN7 &amp;&amp; defined(DIN7_ISR)))
#define ENC5_INDEX_IO_MASK (1 &lt;&lt; (ENC5_INDEX - DIN_PINS_OFFSET))
#endif</v>
      </c>
    </row>
    <row r="9" spans="1:11" ht="80.099999999999994" customHeight="1" thickBot="1" x14ac:dyDescent="0.3">
      <c r="A9" s="36">
        <v>64</v>
      </c>
      <c r="B9" s="36">
        <v>6</v>
      </c>
      <c r="C9" s="37" t="str">
        <f t="shared" si="0"/>
        <v>#if ENCODERS &gt; 6
#if (!ASSERT_PIN(ENC6_PULSE))
#error "The ENC6 pulse pin is not defined"
#endif
#if (!ASSERT_PIN(ENC6_DIR))
#error "The ENC6 dir pin is not defined"
#endif
#ifndef ENC6_TYPE
#define ENC6_TYPE ENC_TYPE_PULSE
#endif
#if ENC6_TYPE==ENC_TYPE_PULSE
#define ENC6_IO_MASK (1 &lt;&lt; (ENC6_PULSE - DIN_PINS_OFFSET))
#elif ENC6_TYPE==ENC_TYPE_I2C
#ifndef ENC6_FREQ
#define ENC6_FREQ 400000
#endif
#ifndef ENC6_READ
#define ENC6_READ read_encoder_mt6701_i2c(&amp;enc6)
#endif
#elif ENC6_TYPE==ENC_TYPE_SSI
#ifndef ENC6_FREQ
#define ENC6_FREQ 15000000
#endif
#ifndef ENC6_READ
#define ENC6_READ read_encoder_mt6701_ssi(&amp;enc6)
#endif
#elif ENC6_TYPE==ENC_TYPE_CUSTOM
#ifndef ENC6_READ
#define ENC6_READ enc_custom_read(ENC6)
#endif
#endif
#endif</v>
      </c>
      <c r="D9" s="38"/>
      <c r="E9" s="38"/>
      <c r="F9" s="39" t="str">
        <f t="shared" si="2"/>
        <v>#if ENCODERS &gt; 6
#if ENC6_TYPE == ENC_TYPE_I2C
SOFTI2C(enc6, ENC6_FREQ, ENC6_PULSE, ENC6_DIR);
#elif ENC6_TYPE == ENC_TYPE_SSI
SOFTSPI(enc6, ENC6_FREQ, 0, UNDEF_PIN, ENC6_DIR, ENC6_PULSE);
#endif
#endif</v>
      </c>
      <c r="G9" s="39" t="str">
        <f t="shared" si="3"/>
        <v>#ifndef ENC6_MASK
#define ENC6_MASK 0
#endif</v>
      </c>
      <c r="H9" s="39" t="str">
        <f t="shared" si="4"/>
        <v>#ifdef ENC6_READ // enc6 has custom read
case ENC6:
#ifdef ENC6_IS_INCREMENTAL // enc6 is incremental
		encoder_read = ENC6_READ;
		diff = (!(g_settings.encoders_dir_invert_mask&amp;(1&lt;&lt;ENC6))) ? (encoder_read - encoder_last_read[ENC6]) : (encoder_last_read[ENC6] - encoder_read);
		encoder_last_read[ENC6] = encoder_read;
		if (diff &lt; -(g_settings.encoders_ppr[ENC6] &gt;&gt; 1))
		{
			return (diff + g_settings.encoders_ppr[ENC6]);
		}
		if (diff &gt; (g_settings.encoders_ppr[ENC6] &gt;&gt; 1))
		{
			return (diff + g_settings.encoders_ppr[ENC6]);
		}
		encoder_pos[ENC6] += diff;
#else
		encoder_pos[ENC6] = ENC6_READ;
#endif
		return;
#endif</v>
      </c>
      <c r="I9" s="39" t="str">
        <f t="shared" si="5"/>
        <v>#if ENCODERS &gt; 6
	if ((diff &amp; ENC6_IO_MASK))
	{
		#if (ENC6_PULSE != ENC6_DIR)
		encoders_pos[ENC6] += (dir &amp; ENC6_IO_MASK) ? 1 : -1;
		#else
		encoders_pos[ENC6]++;
		encoders_tstamp[ENC6][1] = encoders_tstamp[ENC6][0];
		encoders_tstamp[ENC6][0] = micros;
		#endif
#if (defined(ENC6_INDEX) &amp;&amp; !defined(ENC6_INDEX_IO_MASK))
		if (io_get_input(ENC6_INDEX))
		{
			HOOK_INVOKE(enc6_index);
		}
#endif
	}
#if (defined(ENC6_INDEX) &amp;&amp; defined(ENC6_INDEX_IO_MASK))
	if ((diff &amp; ENC6_INDEX_IO_MASK))
	{
		HOOK_INVOKE(enc6_index);
	}
#endif
#endif</v>
      </c>
      <c r="J9" t="str">
        <f t="shared" si="6"/>
        <v>#if ((ENC6_INDEX==DIN0 &amp;&amp; defined(DIN0_ISR)) || (ENC6_INDEX==DIN1 &amp;&amp; defined(DIN1_ISR)) || (ENC6_INDEX==DIN2 &amp;&amp; defined(DIN2_ISR)) || (ENC6_INDEX==DIN3 &amp;&amp; defined(DIN3_ISR)) || (ENC6_INDEX==DIN4 &amp;&amp; defined(DIN4_ISR)) || (ENC6_INDEX==DIN5 &amp;&amp; defined(DIN5_ISR)) || (ENC6_INDEX==DIN6 &amp;&amp; defined(DIN6_ISR)) || (ENC6_INDEX==DIN7 &amp;&amp; defined(DIN7_ISR)))
#define ENC6_INDEX_IO_MASK (1 &lt;&lt; (ENC6_INDEX - DIN_PINS_OFFSET))
#endif</v>
      </c>
    </row>
    <row r="10" spans="1:11" ht="80.099999999999994" customHeight="1" thickBot="1" x14ac:dyDescent="0.3">
      <c r="A10" s="36">
        <v>128</v>
      </c>
      <c r="B10" s="36">
        <v>7</v>
      </c>
      <c r="C10" s="37" t="str">
        <f t="shared" si="0"/>
        <v>#if ENCODERS &gt; 7
#if (!ASSERT_PIN(ENC7_PULSE))
#error "The ENC7 pulse pin is not defined"
#endif
#if (!ASSERT_PIN(ENC7_DIR))
#error "The ENC7 dir pin is not defined"
#endif
#ifndef ENC7_TYPE
#define ENC7_TYPE ENC_TYPE_PULSE
#endif
#if ENC7_TYPE==ENC_TYPE_PULSE
#define ENC7_IO_MASK (1 &lt;&lt; (ENC7_PULSE - DIN_PINS_OFFSET))
#elif ENC7_TYPE==ENC_TYPE_I2C
#ifndef ENC7_FREQ
#define ENC7_FREQ 400000
#endif
#ifndef ENC7_READ
#define ENC7_READ read_encoder_mt6701_i2c(&amp;enc7)
#endif
#elif ENC7_TYPE==ENC_TYPE_SSI
#ifndef ENC7_FREQ
#define ENC7_FREQ 15000000
#endif
#ifndef ENC7_READ
#define ENC7_READ read_encoder_mt6701_ssi(&amp;enc7)
#endif
#elif ENC7_TYPE==ENC_TYPE_CUSTOM
#ifndef ENC7_READ
#define ENC7_READ enc_custom_read(ENC7)
#endif
#endif
#endif</v>
      </c>
      <c r="D10" s="38"/>
      <c r="E10" s="38"/>
      <c r="F10" s="39" t="str">
        <f t="shared" si="2"/>
        <v>#if ENCODERS &gt; 7
#if ENC7_TYPE == ENC_TYPE_I2C
SOFTI2C(enc7, ENC7_FREQ, ENC7_PULSE, ENC7_DIR);
#elif ENC7_TYPE == ENC_TYPE_SSI
SOFTSPI(enc7, ENC7_FREQ, 0, UNDEF_PIN, ENC7_DIR, ENC7_PULSE);
#endif
#endif</v>
      </c>
      <c r="G10" s="39" t="str">
        <f t="shared" si="3"/>
        <v>#ifndef ENC7_MASK
#define ENC7_MASK 0
#endif</v>
      </c>
      <c r="H10" s="39" t="str">
        <f t="shared" si="4"/>
        <v>#ifdef ENC7_READ // enc7 has custom read
case ENC7:
#ifdef ENC7_IS_INCREMENTAL // enc7 is incremental
		encoder_read = ENC7_READ;
		diff = (!(g_settings.encoders_dir_invert_mask&amp;(1&lt;&lt;ENC7))) ? (encoder_read - encoder_last_read[ENC7]) : (encoder_last_read[ENC7] - encoder_read);
		encoder_last_read[ENC7] = encoder_read;
		if (diff &lt; -(g_settings.encoders_ppr[ENC7] &gt;&gt; 1))
		{
			return (diff + g_settings.encoders_ppr[ENC7]);
		}
		if (diff &gt; (g_settings.encoders_ppr[ENC7] &gt;&gt; 1))
		{
			return (diff + g_settings.encoders_ppr[ENC7]);
		}
		encoder_pos[ENC7] += diff;
#else
		encoder_pos[ENC7] = ENC7_READ;
#endif
		return;
#endif</v>
      </c>
      <c r="I10" s="39" t="str">
        <f t="shared" si="5"/>
        <v>#if ENCODERS &gt; 7
	if ((diff &amp; ENC7_IO_MASK))
	{
		#if (ENC7_PULSE != ENC7_DIR)
		encoders_pos[ENC7] += (dir &amp; ENC7_IO_MASK) ? 1 : -1;
		#else
		encoders_pos[ENC7]++;
		encoders_tstamp[ENC7][1] = encoders_tstamp[ENC7][0];
		encoders_tstamp[ENC7][0] = micros;
		#endif
#if (defined(ENC7_INDEX) &amp;&amp; !defined(ENC7_INDEX_IO_MASK))
		if (io_get_input(ENC7_INDEX))
		{
			HOOK_INVOKE(enc7_index);
		}
#endif
	}
#if (defined(ENC7_INDEX) &amp;&amp; defined(ENC7_INDEX_IO_MASK))
	if ((diff &amp; ENC7_INDEX_IO_MASK))
	{
		HOOK_INVOKE(enc7_index);
	}
#endif
#endif</v>
      </c>
      <c r="J10" t="str">
        <f t="shared" si="6"/>
        <v>#if ((ENC7_INDEX==DIN0 &amp;&amp; defined(DIN0_ISR)) || (ENC7_INDEX==DIN1 &amp;&amp; defined(DIN1_ISR)) || (ENC7_INDEX==DIN2 &amp;&amp; defined(DIN2_ISR)) || (ENC7_INDEX==DIN3 &amp;&amp; defined(DIN3_ISR)) || (ENC7_INDEX==DIN4 &amp;&amp; defined(DIN4_ISR)) || (ENC7_INDEX==DIN5 &amp;&amp; defined(DIN5_ISR)) || (ENC7_INDEX==DIN6 &amp;&amp; defined(DIN6_ISR)) || (ENC7_INDEX==DIN7 &amp;&amp; defined(DIN7_ISR)))
#define ENC7_INDEX_IO_MASK (1 &lt;&lt; (ENC7_INDEX - DIN_PINS_OFFSET))
#endif</v>
      </c>
    </row>
  </sheetData>
  <mergeCells count="1">
    <mergeCell ref="A1:C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18</vt:i4>
      </vt:variant>
    </vt:vector>
  </HeadingPairs>
  <TitlesOfParts>
    <vt:vector size="18" baseType="lpstr">
      <vt:lpstr>Defaults</vt:lpstr>
      <vt:lpstr>IO HAL</vt:lpstr>
      <vt:lpstr>Virtual</vt:lpstr>
      <vt:lpstr>Tools</vt:lpstr>
      <vt:lpstr>AVR</vt:lpstr>
      <vt:lpstr>SAMD21</vt:lpstr>
      <vt:lpstr>STM32F0</vt:lpstr>
      <vt:lpstr>STM32F1</vt:lpstr>
      <vt:lpstr>STM32F4</vt:lpstr>
      <vt:lpstr>STM32H7</vt:lpstr>
      <vt:lpstr>ESP8266</vt:lpstr>
      <vt:lpstr>ESP32</vt:lpstr>
      <vt:lpstr>LPC176x</vt:lpstr>
      <vt:lpstr>RP2040</vt:lpstr>
      <vt:lpstr>Dual-Axis</vt:lpstr>
      <vt:lpstr>ShiftRegister</vt:lpstr>
      <vt:lpstr>TMC</vt:lpstr>
      <vt:lpstr>Encoders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Carlos Extreia Martins</dc:creator>
  <cp:lastModifiedBy>João Carlos Extreia Martins</cp:lastModifiedBy>
  <dcterms:created xsi:type="dcterms:W3CDTF">2022-04-28T18:19:29Z</dcterms:created>
  <dcterms:modified xsi:type="dcterms:W3CDTF">2026-04-13T15:22:50Z</dcterms:modified>
</cp:coreProperties>
</file>